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Automatizacion\Conciliacion Bancaria - Automatizacion\"/>
    </mc:Choice>
  </mc:AlternateContent>
  <xr:revisionPtr revIDLastSave="0" documentId="13_ncr:1_{7D2E3A4D-2650-4FD8-ACD9-9E976DC765A4}" xr6:coauthVersionLast="47" xr6:coauthVersionMax="47" xr10:uidLastSave="{00000000-0000-0000-0000-000000000000}"/>
  <bookViews>
    <workbookView xWindow="-12735" yWindow="0" windowWidth="11070" windowHeight="13050" tabRatio="870" xr2:uid="{845D416E-DBF3-486F-BCB6-9707D5A54EBD}"/>
  </bookViews>
  <sheets>
    <sheet name="Menu" sheetId="25" r:id="rId1"/>
    <sheet name="Banco" sheetId="28" r:id="rId2"/>
    <sheet name="01" sheetId="13" r:id="rId3"/>
    <sheet name="02" sheetId="14" r:id="rId4"/>
    <sheet name="03" sheetId="15" r:id="rId5"/>
    <sheet name="04" sheetId="16" r:id="rId6"/>
    <sheet name="05" sheetId="21" r:id="rId7"/>
    <sheet name="06" sheetId="23" r:id="rId8"/>
    <sheet name="07" sheetId="3" r:id="rId9"/>
    <sheet name="08" sheetId="4" r:id="rId10"/>
    <sheet name="09" sheetId="5" r:id="rId11"/>
    <sheet name="10" sheetId="6" r:id="rId12"/>
    <sheet name="11" sheetId="7" r:id="rId13"/>
    <sheet name="12" sheetId="12" r:id="rId14"/>
    <sheet name="REFERENCIAS" sheetId="2" r:id="rId15"/>
  </sheets>
  <definedNames>
    <definedName name="_xlnm._FilterDatabase" localSheetId="2" hidden="1">'01'!$B$1:$AD$229</definedName>
    <definedName name="_xlnm._FilterDatabase" localSheetId="3" hidden="1">'02'!$B$1:$AD$145</definedName>
    <definedName name="_xlnm._FilterDatabase" localSheetId="4" hidden="1">'03'!$B$1:$AD$118</definedName>
    <definedName name="_xlnm._FilterDatabase" localSheetId="5" hidden="1">'04'!$B$1:$AE$143</definedName>
    <definedName name="_xlnm._FilterDatabase" localSheetId="6" hidden="1">'05'!$B$1:$AE$231</definedName>
    <definedName name="_xlnm._FilterDatabase" localSheetId="7" hidden="1">'06'!$B$1:$AE$112</definedName>
    <definedName name="_xlnm._FilterDatabase" localSheetId="8" hidden="1">'07'!$A$1:$AF$143</definedName>
    <definedName name="_xlnm._FilterDatabase" localSheetId="9" hidden="1">'08'!$A$1:$WVU$1</definedName>
    <definedName name="_xlnm._FilterDatabase" localSheetId="10" hidden="1">'09'!$A$1:$AF$1</definedName>
    <definedName name="_xlnm._FilterDatabase" localSheetId="11" hidden="1">'10'!$A$1:$AG$1</definedName>
    <definedName name="_xlnm._FilterDatabase" localSheetId="12" hidden="1">'11'!$A$1:$AG$67</definedName>
    <definedName name="_xlnm._FilterDatabase" localSheetId="13" hidden="1">'12'!$A$1:$AD$140</definedName>
    <definedName name="_xlnm._FilterDatabase" localSheetId="14" hidden="1">REFERENCIAS!$A$1:$J$91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1" i="7" l="1"/>
  <c r="E78" i="7"/>
  <c r="I62" i="7"/>
  <c r="J62" i="7"/>
  <c r="K62" i="7"/>
  <c r="I63" i="7"/>
  <c r="J63" i="7"/>
  <c r="K63" i="7"/>
  <c r="P63" i="7" s="1"/>
  <c r="E79" i="7"/>
  <c r="I67" i="7"/>
  <c r="J67" i="7"/>
  <c r="K67" i="7"/>
  <c r="N2" i="7"/>
  <c r="N3" i="7" s="1"/>
  <c r="N4" i="7" s="1"/>
  <c r="N5" i="7" s="1"/>
  <c r="N6" i="7" s="1"/>
  <c r="N7" i="7" s="1"/>
  <c r="N8" i="7" s="1"/>
  <c r="N9" i="7" s="1"/>
  <c r="N10" i="7" s="1"/>
  <c r="N11" i="7" s="1"/>
  <c r="N12" i="7" s="1"/>
  <c r="N13" i="7" s="1"/>
  <c r="N14" i="7" s="1"/>
  <c r="N15" i="7" s="1"/>
  <c r="N16" i="7" s="1"/>
  <c r="N17" i="7" s="1"/>
  <c r="N18" i="7" s="1"/>
  <c r="N19" i="7" s="1"/>
  <c r="N20" i="7" s="1"/>
  <c r="N21" i="7" s="1"/>
  <c r="N22" i="7" s="1"/>
  <c r="N23" i="7" s="1"/>
  <c r="N24" i="7" s="1"/>
  <c r="N25" i="7" s="1"/>
  <c r="N26" i="7" s="1"/>
  <c r="N27" i="7" s="1"/>
  <c r="N28" i="7" s="1"/>
  <c r="N29" i="7" s="1"/>
  <c r="N30" i="7" s="1"/>
  <c r="N31" i="7" s="1"/>
  <c r="N32" i="7" s="1"/>
  <c r="N33" i="7" s="1"/>
  <c r="N34" i="7" s="1"/>
  <c r="N35" i="7" s="1"/>
  <c r="N36" i="7" s="1"/>
  <c r="N37" i="7" s="1"/>
  <c r="N38" i="7" s="1"/>
  <c r="N39" i="7" s="1"/>
  <c r="N40" i="7" s="1"/>
  <c r="N41" i="7" s="1"/>
  <c r="N42" i="7" s="1"/>
  <c r="N43" i="7" s="1"/>
  <c r="N44" i="7" s="1"/>
  <c r="N45" i="7" s="1"/>
  <c r="N46" i="7" s="1"/>
  <c r="N47" i="7" s="1"/>
  <c r="N48" i="7" s="1"/>
  <c r="N49" i="7" s="1"/>
  <c r="N50" i="7" s="1"/>
  <c r="N51" i="7" s="1"/>
  <c r="N52" i="7" s="1"/>
  <c r="N53" i="7" s="1"/>
  <c r="N54" i="7" s="1"/>
  <c r="N55" i="7" s="1"/>
  <c r="N56" i="7" s="1"/>
  <c r="N57" i="7" s="1"/>
  <c r="N58" i="7" s="1"/>
  <c r="N59" i="7" s="1"/>
  <c r="N60" i="7" s="1"/>
  <c r="N61" i="7" s="1"/>
  <c r="N62" i="7" s="1"/>
  <c r="N63" i="7" s="1"/>
  <c r="N64" i="7" s="1"/>
  <c r="N65" i="7" s="1"/>
  <c r="N66" i="7" s="1"/>
  <c r="N67" i="7" s="1"/>
  <c r="N70" i="7" s="1"/>
  <c r="F69" i="7"/>
  <c r="E69" i="7"/>
  <c r="I2" i="7"/>
  <c r="J2" i="7"/>
  <c r="K2" i="7"/>
  <c r="O2" i="7" s="1"/>
  <c r="I3" i="7"/>
  <c r="J3" i="7"/>
  <c r="K3" i="7"/>
  <c r="I4" i="7"/>
  <c r="J4" i="7"/>
  <c r="K4" i="7"/>
  <c r="V4" i="7" s="1"/>
  <c r="I5" i="7"/>
  <c r="J5" i="7"/>
  <c r="K5" i="7"/>
  <c r="Z5" i="7" s="1"/>
  <c r="I6" i="7"/>
  <c r="J6" i="7"/>
  <c r="K6" i="7"/>
  <c r="W6" i="7" s="1"/>
  <c r="I7" i="7"/>
  <c r="J7" i="7"/>
  <c r="K7" i="7"/>
  <c r="AF7" i="7" s="1"/>
  <c r="I8" i="7"/>
  <c r="J8" i="7"/>
  <c r="K8" i="7"/>
  <c r="AA8" i="7" s="1"/>
  <c r="I9" i="7"/>
  <c r="J9" i="7"/>
  <c r="K9" i="7"/>
  <c r="Y9" i="7" s="1"/>
  <c r="I10" i="7"/>
  <c r="J10" i="7"/>
  <c r="K10" i="7"/>
  <c r="Z10" i="7" s="1"/>
  <c r="I11" i="7"/>
  <c r="J11" i="7"/>
  <c r="K11" i="7"/>
  <c r="AF11" i="7" s="1"/>
  <c r="I12" i="7"/>
  <c r="J12" i="7"/>
  <c r="K12" i="7"/>
  <c r="AB12" i="7" s="1"/>
  <c r="I13" i="7"/>
  <c r="J13" i="7"/>
  <c r="K13" i="7"/>
  <c r="AE13" i="7" s="1"/>
  <c r="I14" i="7"/>
  <c r="J14" i="7"/>
  <c r="K14" i="7"/>
  <c r="I15" i="7"/>
  <c r="J15" i="7"/>
  <c r="K15" i="7"/>
  <c r="Q15" i="7" s="1"/>
  <c r="I16" i="7"/>
  <c r="J16" i="7"/>
  <c r="K16" i="7"/>
  <c r="W16" i="7" s="1"/>
  <c r="I17" i="7"/>
  <c r="J17" i="7"/>
  <c r="K17" i="7"/>
  <c r="I18" i="7"/>
  <c r="J18" i="7"/>
  <c r="K18" i="7"/>
  <c r="Q18" i="7" s="1"/>
  <c r="I19" i="7"/>
  <c r="J19" i="7"/>
  <c r="K19" i="7"/>
  <c r="AB19" i="7" s="1"/>
  <c r="I20" i="7"/>
  <c r="J20" i="7"/>
  <c r="K20" i="7"/>
  <c r="O20" i="7" s="1"/>
  <c r="I21" i="7"/>
  <c r="J21" i="7"/>
  <c r="K21" i="7"/>
  <c r="AF21" i="7" s="1"/>
  <c r="I22" i="7"/>
  <c r="J22" i="7"/>
  <c r="K22" i="7"/>
  <c r="AB22" i="7" s="1"/>
  <c r="I23" i="7"/>
  <c r="J23" i="7"/>
  <c r="K23" i="7"/>
  <c r="R23" i="7" s="1"/>
  <c r="I24" i="7"/>
  <c r="J24" i="7"/>
  <c r="K24" i="7"/>
  <c r="I25" i="7"/>
  <c r="J25" i="7"/>
  <c r="K25" i="7"/>
  <c r="AC25" i="7" s="1"/>
  <c r="I26" i="7"/>
  <c r="J26" i="7"/>
  <c r="K26" i="7"/>
  <c r="P26" i="7" s="1"/>
  <c r="I27" i="7"/>
  <c r="J27" i="7"/>
  <c r="K27" i="7"/>
  <c r="AA27" i="7" s="1"/>
  <c r="I28" i="7"/>
  <c r="J28" i="7"/>
  <c r="K28" i="7"/>
  <c r="AA28" i="7" s="1"/>
  <c r="I29" i="7"/>
  <c r="J29" i="7"/>
  <c r="K29" i="7"/>
  <c r="O29" i="7" s="1"/>
  <c r="I30" i="7"/>
  <c r="J30" i="7"/>
  <c r="K30" i="7"/>
  <c r="I31" i="7"/>
  <c r="J31" i="7"/>
  <c r="K31" i="7"/>
  <c r="S31" i="7" s="1"/>
  <c r="I33" i="7"/>
  <c r="J33" i="7"/>
  <c r="K33" i="7"/>
  <c r="U33" i="7" s="1"/>
  <c r="I34" i="7"/>
  <c r="J34" i="7"/>
  <c r="K34" i="7"/>
  <c r="X34" i="7" s="1"/>
  <c r="I35" i="7"/>
  <c r="J35" i="7"/>
  <c r="K35" i="7"/>
  <c r="O35" i="7" s="1"/>
  <c r="I36" i="7"/>
  <c r="J36" i="7"/>
  <c r="K36" i="7"/>
  <c r="P36" i="7" s="1"/>
  <c r="I37" i="7"/>
  <c r="J37" i="7"/>
  <c r="K37" i="7"/>
  <c r="I38" i="7"/>
  <c r="J38" i="7"/>
  <c r="K38" i="7"/>
  <c r="O38" i="7" s="1"/>
  <c r="I39" i="7"/>
  <c r="J39" i="7"/>
  <c r="K39" i="7"/>
  <c r="AB39" i="7" s="1"/>
  <c r="I40" i="7"/>
  <c r="J40" i="7"/>
  <c r="K40" i="7"/>
  <c r="Q40" i="7" s="1"/>
  <c r="I41" i="7"/>
  <c r="J41" i="7"/>
  <c r="K41" i="7"/>
  <c r="Q41" i="7" s="1"/>
  <c r="I42" i="7"/>
  <c r="J42" i="7"/>
  <c r="K42" i="7"/>
  <c r="O42" i="7" s="1"/>
  <c r="I43" i="7"/>
  <c r="J43" i="7"/>
  <c r="K43" i="7"/>
  <c r="AB43" i="7" s="1"/>
  <c r="I44" i="7"/>
  <c r="J44" i="7"/>
  <c r="K44" i="7"/>
  <c r="V44" i="7" s="1"/>
  <c r="I45" i="7"/>
  <c r="J45" i="7"/>
  <c r="K45" i="7"/>
  <c r="AB45" i="7" s="1"/>
  <c r="I47" i="7"/>
  <c r="J47" i="7"/>
  <c r="K47" i="7"/>
  <c r="W47" i="7" s="1"/>
  <c r="I48" i="7"/>
  <c r="J48" i="7"/>
  <c r="K48" i="7"/>
  <c r="V48" i="7" s="1"/>
  <c r="I49" i="7"/>
  <c r="J49" i="7"/>
  <c r="K49" i="7"/>
  <c r="AE49" i="7" s="1"/>
  <c r="I50" i="7"/>
  <c r="J50" i="7"/>
  <c r="K50" i="7"/>
  <c r="I53" i="7"/>
  <c r="J53" i="7"/>
  <c r="K53" i="7"/>
  <c r="I55" i="7"/>
  <c r="J55" i="7"/>
  <c r="K55" i="7"/>
  <c r="AC55" i="7" s="1"/>
  <c r="I56" i="7"/>
  <c r="J56" i="7"/>
  <c r="K56" i="7"/>
  <c r="O56" i="7" s="1"/>
  <c r="I57" i="7"/>
  <c r="J57" i="7"/>
  <c r="K57" i="7"/>
  <c r="V57" i="7" s="1"/>
  <c r="I58" i="7"/>
  <c r="J58" i="7"/>
  <c r="K58" i="7"/>
  <c r="I59" i="7"/>
  <c r="J59" i="7"/>
  <c r="K59" i="7"/>
  <c r="V59" i="7" s="1"/>
  <c r="I60" i="7"/>
  <c r="J60" i="7"/>
  <c r="K60" i="7"/>
  <c r="AA60" i="7" s="1"/>
  <c r="I61" i="7"/>
  <c r="J61" i="7"/>
  <c r="K61" i="7"/>
  <c r="P61" i="7" s="1"/>
  <c r="I64" i="7"/>
  <c r="J64" i="7"/>
  <c r="K64" i="7"/>
  <c r="W64" i="7" s="1"/>
  <c r="I65" i="7"/>
  <c r="J65" i="7"/>
  <c r="K65" i="7"/>
  <c r="Z65" i="7" s="1"/>
  <c r="I66" i="7"/>
  <c r="J66" i="7"/>
  <c r="K66" i="7"/>
  <c r="Q66" i="7" s="1"/>
  <c r="Y6" i="7" l="1"/>
  <c r="T7" i="7"/>
  <c r="O61" i="7"/>
  <c r="P65" i="7"/>
  <c r="S5" i="7"/>
  <c r="R6" i="7"/>
  <c r="P64" i="7"/>
  <c r="R13" i="7"/>
  <c r="AA22" i="7"/>
  <c r="O18" i="7"/>
  <c r="AF23" i="7"/>
  <c r="AD23" i="7"/>
  <c r="T48" i="7"/>
  <c r="R48" i="7"/>
  <c r="O33" i="7"/>
  <c r="P18" i="7"/>
  <c r="Y55" i="7"/>
  <c r="X55" i="7"/>
  <c r="V38" i="7"/>
  <c r="U6" i="7"/>
  <c r="R2" i="7"/>
  <c r="P10" i="7"/>
  <c r="W5" i="7"/>
  <c r="P33" i="7"/>
  <c r="P38" i="7"/>
  <c r="S23" i="7"/>
  <c r="S7" i="7"/>
  <c r="O5" i="7"/>
  <c r="S64" i="7"/>
  <c r="Z55" i="7"/>
  <c r="AA40" i="7"/>
  <c r="Z4" i="7"/>
  <c r="X9" i="7"/>
  <c r="Z6" i="7"/>
  <c r="AA57" i="7"/>
  <c r="Z57" i="7"/>
  <c r="Y57" i="7"/>
  <c r="X57" i="7"/>
  <c r="W57" i="7"/>
  <c r="AF18" i="7"/>
  <c r="AB57" i="7"/>
  <c r="U31" i="7"/>
  <c r="P34" i="7"/>
  <c r="O8" i="7"/>
  <c r="AC6" i="7"/>
  <c r="V6" i="7"/>
  <c r="P57" i="7"/>
  <c r="AB42" i="7"/>
  <c r="T31" i="7"/>
  <c r="AA42" i="7"/>
  <c r="R31" i="7"/>
  <c r="W8" i="7"/>
  <c r="AF6" i="7"/>
  <c r="AF5" i="7"/>
  <c r="P44" i="7"/>
  <c r="Y42" i="7"/>
  <c r="R34" i="7"/>
  <c r="Q31" i="7"/>
  <c r="S15" i="7"/>
  <c r="V8" i="7"/>
  <c r="AE6" i="7"/>
  <c r="AE5" i="7"/>
  <c r="O49" i="7"/>
  <c r="Q34" i="7"/>
  <c r="P31" i="7"/>
  <c r="R8" i="7"/>
  <c r="AD6" i="7"/>
  <c r="X5" i="7"/>
  <c r="X65" i="7"/>
  <c r="U48" i="7"/>
  <c r="AE36" i="7"/>
  <c r="T34" i="7"/>
  <c r="V31" i="7"/>
  <c r="R28" i="7"/>
  <c r="P12" i="7"/>
  <c r="R10" i="7"/>
  <c r="AA4" i="7"/>
  <c r="AD10" i="7"/>
  <c r="AF34" i="7"/>
  <c r="AC10" i="7"/>
  <c r="AD65" i="7"/>
  <c r="AE34" i="7"/>
  <c r="U10" i="7"/>
  <c r="AC65" i="7"/>
  <c r="AD34" i="7"/>
  <c r="V12" i="7"/>
  <c r="T10" i="7"/>
  <c r="Y65" i="7"/>
  <c r="O60" i="7"/>
  <c r="V34" i="7"/>
  <c r="AF31" i="7"/>
  <c r="Y28" i="7"/>
  <c r="U12" i="7"/>
  <c r="S10" i="7"/>
  <c r="Q6" i="7"/>
  <c r="T12" i="7"/>
  <c r="AA10" i="7"/>
  <c r="U8" i="7"/>
  <c r="AB47" i="7"/>
  <c r="V47" i="7"/>
  <c r="AC33" i="7"/>
  <c r="T47" i="7"/>
  <c r="S34" i="7"/>
  <c r="AA33" i="7"/>
  <c r="AD31" i="7"/>
  <c r="S28" i="7"/>
  <c r="X25" i="7"/>
  <c r="Q10" i="7"/>
  <c r="X6" i="7"/>
  <c r="AA5" i="7"/>
  <c r="U25" i="7"/>
  <c r="Y12" i="7"/>
  <c r="AC8" i="7"/>
  <c r="AC47" i="7"/>
  <c r="AF33" i="7"/>
  <c r="AE33" i="7"/>
  <c r="Z31" i="7"/>
  <c r="T25" i="7"/>
  <c r="X12" i="7"/>
  <c r="AF10" i="7"/>
  <c r="AB8" i="7"/>
  <c r="T6" i="7"/>
  <c r="U5" i="7"/>
  <c r="Z47" i="7"/>
  <c r="Y47" i="7"/>
  <c r="X47" i="7"/>
  <c r="AD33" i="7"/>
  <c r="U47" i="7"/>
  <c r="AB33" i="7"/>
  <c r="AE31" i="7"/>
  <c r="AA25" i="7"/>
  <c r="R47" i="7"/>
  <c r="Z33" i="7"/>
  <c r="AC31" i="7"/>
  <c r="W25" i="7"/>
  <c r="AA12" i="7"/>
  <c r="AF47" i="7"/>
  <c r="Q47" i="7"/>
  <c r="V33" i="7"/>
  <c r="AB31" i="7"/>
  <c r="AE47" i="7"/>
  <c r="P47" i="7"/>
  <c r="AA45" i="7"/>
  <c r="AD39" i="7"/>
  <c r="S33" i="7"/>
  <c r="AD47" i="7"/>
  <c r="O47" i="7"/>
  <c r="Z45" i="7"/>
  <c r="AC39" i="7"/>
  <c r="Q33" i="7"/>
  <c r="Y31" i="7"/>
  <c r="S25" i="7"/>
  <c r="W13" i="7"/>
  <c r="W12" i="7"/>
  <c r="AE10" i="7"/>
  <c r="Y8" i="7"/>
  <c r="S6" i="7"/>
  <c r="T5" i="7"/>
  <c r="S35" i="7"/>
  <c r="AE35" i="7"/>
  <c r="U35" i="7"/>
  <c r="V35" i="7"/>
  <c r="T35" i="7"/>
  <c r="AF35" i="7"/>
  <c r="W35" i="7"/>
  <c r="X35" i="7"/>
  <c r="Y35" i="7"/>
  <c r="V20" i="7"/>
  <c r="P20" i="7"/>
  <c r="AF20" i="7"/>
  <c r="Q20" i="7"/>
  <c r="R20" i="7"/>
  <c r="S20" i="7"/>
  <c r="T20" i="7"/>
  <c r="U20" i="7"/>
  <c r="Y20" i="7"/>
  <c r="AC20" i="7"/>
  <c r="O23" i="7"/>
  <c r="T23" i="7"/>
  <c r="U23" i="7"/>
  <c r="V23" i="7"/>
  <c r="W23" i="7"/>
  <c r="Y23" i="7"/>
  <c r="Z23" i="7"/>
  <c r="AB23" i="7"/>
  <c r="P23" i="7"/>
  <c r="P15" i="7"/>
  <c r="O15" i="7"/>
  <c r="AC35" i="7"/>
  <c r="AC19" i="7"/>
  <c r="O19" i="7"/>
  <c r="P19" i="7"/>
  <c r="Q19" i="7"/>
  <c r="R19" i="7"/>
  <c r="S19" i="7"/>
  <c r="U19" i="7"/>
  <c r="AA19" i="7"/>
  <c r="T41" i="7"/>
  <c r="R41" i="7"/>
  <c r="V41" i="7"/>
  <c r="W41" i="7"/>
  <c r="S41" i="7"/>
  <c r="AB35" i="7"/>
  <c r="V29" i="7"/>
  <c r="AD35" i="7"/>
  <c r="O48" i="7"/>
  <c r="W48" i="7"/>
  <c r="Y48" i="7"/>
  <c r="Z48" i="7"/>
  <c r="X48" i="7"/>
  <c r="AA48" i="7"/>
  <c r="AF48" i="7"/>
  <c r="AD66" i="7"/>
  <c r="R66" i="7"/>
  <c r="AA35" i="7"/>
  <c r="Q29" i="7"/>
  <c r="P17" i="7"/>
  <c r="Q17" i="7"/>
  <c r="AB17" i="7"/>
  <c r="AD17" i="7"/>
  <c r="AB4" i="7"/>
  <c r="AC4" i="7"/>
  <c r="Y4" i="7"/>
  <c r="Q38" i="7"/>
  <c r="Z35" i="7"/>
  <c r="AE20" i="7"/>
  <c r="X50" i="7"/>
  <c r="U50" i="7"/>
  <c r="V50" i="7"/>
  <c r="AB29" i="7"/>
  <c r="W29" i="7"/>
  <c r="AD29" i="7"/>
  <c r="Z29" i="7"/>
  <c r="AA29" i="7"/>
  <c r="P29" i="7"/>
  <c r="AD20" i="7"/>
  <c r="O53" i="7"/>
  <c r="AB53" i="7"/>
  <c r="AE53" i="7"/>
  <c r="AD53" i="7"/>
  <c r="R50" i="7"/>
  <c r="R35" i="7"/>
  <c r="Q50" i="7"/>
  <c r="Q35" i="7"/>
  <c r="AB20" i="7"/>
  <c r="P3" i="7"/>
  <c r="Y3" i="7"/>
  <c r="Z3" i="7"/>
  <c r="AA3" i="7"/>
  <c r="AB3" i="7"/>
  <c r="AD3" i="7"/>
  <c r="V61" i="7"/>
  <c r="S61" i="7"/>
  <c r="AF24" i="7"/>
  <c r="P24" i="7"/>
  <c r="AD24" i="7"/>
  <c r="R61" i="7"/>
  <c r="P50" i="7"/>
  <c r="O40" i="7"/>
  <c r="R40" i="7"/>
  <c r="V40" i="7"/>
  <c r="W40" i="7"/>
  <c r="U40" i="7"/>
  <c r="X40" i="7"/>
  <c r="Y40" i="7"/>
  <c r="Z40" i="7"/>
  <c r="W38" i="7"/>
  <c r="AD38" i="7"/>
  <c r="P35" i="7"/>
  <c r="AA20" i="7"/>
  <c r="AB18" i="7"/>
  <c r="O57" i="7"/>
  <c r="AA49" i="7"/>
  <c r="S47" i="7"/>
  <c r="O45" i="7"/>
  <c r="O39" i="7"/>
  <c r="AD36" i="7"/>
  <c r="O34" i="7"/>
  <c r="T33" i="7"/>
  <c r="R25" i="7"/>
  <c r="S12" i="7"/>
  <c r="AB10" i="7"/>
  <c r="O10" i="7"/>
  <c r="R5" i="7"/>
  <c r="AA65" i="7"/>
  <c r="R49" i="7"/>
  <c r="Z28" i="7"/>
  <c r="Y10" i="7"/>
  <c r="X28" i="7"/>
  <c r="Z13" i="7"/>
  <c r="X10" i="7"/>
  <c r="AA7" i="7"/>
  <c r="X59" i="7"/>
  <c r="AC57" i="7"/>
  <c r="AB34" i="7"/>
  <c r="W28" i="7"/>
  <c r="Y13" i="7"/>
  <c r="W10" i="7"/>
  <c r="Y7" i="7"/>
  <c r="T28" i="7"/>
  <c r="AF25" i="7"/>
  <c r="X13" i="7"/>
  <c r="Z12" i="7"/>
  <c r="V10" i="7"/>
  <c r="Z8" i="7"/>
  <c r="X7" i="7"/>
  <c r="AB5" i="7"/>
  <c r="U30" i="7"/>
  <c r="V30" i="7"/>
  <c r="X30" i="7"/>
  <c r="AA30" i="7"/>
  <c r="R30" i="7"/>
  <c r="V56" i="7"/>
  <c r="AD56" i="7"/>
  <c r="Y16" i="7"/>
  <c r="Z16" i="7"/>
  <c r="AA16" i="7"/>
  <c r="AD16" i="7"/>
  <c r="AE16" i="7"/>
  <c r="P16" i="7"/>
  <c r="O66" i="7"/>
  <c r="O64" i="7"/>
  <c r="Q61" i="7"/>
  <c r="T50" i="7"/>
  <c r="P49" i="7"/>
  <c r="Y45" i="7"/>
  <c r="P2" i="7"/>
  <c r="Y2" i="7"/>
  <c r="Z2" i="7"/>
  <c r="AA2" i="7"/>
  <c r="AB2" i="7"/>
  <c r="AC2" i="7"/>
  <c r="Q2" i="7"/>
  <c r="AE30" i="7"/>
  <c r="AC26" i="7"/>
  <c r="Z15" i="7"/>
  <c r="U15" i="7"/>
  <c r="V15" i="7"/>
  <c r="W15" i="7"/>
  <c r="X15" i="7"/>
  <c r="Y15" i="7"/>
  <c r="R15" i="7"/>
  <c r="AE15" i="7"/>
  <c r="Q3" i="7"/>
  <c r="AF64" i="7"/>
  <c r="Z39" i="7"/>
  <c r="AA39" i="7"/>
  <c r="AE64" i="7"/>
  <c r="AF15" i="7"/>
  <c r="AA66" i="7"/>
  <c r="P66" i="7"/>
  <c r="AE61" i="7"/>
  <c r="AC17" i="7"/>
  <c r="T17" i="7"/>
  <c r="U17" i="7"/>
  <c r="V17" i="7"/>
  <c r="W17" i="7"/>
  <c r="Y17" i="7"/>
  <c r="O17" i="7"/>
  <c r="AD15" i="7"/>
  <c r="AC14" i="7"/>
  <c r="AD14" i="7"/>
  <c r="AE14" i="7"/>
  <c r="R3" i="7"/>
  <c r="AF3" i="7"/>
  <c r="S3" i="7"/>
  <c r="T3" i="7"/>
  <c r="W3" i="7"/>
  <c r="X3" i="7"/>
  <c r="O3" i="7"/>
  <c r="AC3" i="7"/>
  <c r="AF30" i="7"/>
  <c r="AE26" i="7"/>
  <c r="O24" i="7"/>
  <c r="AC24" i="7"/>
  <c r="X41" i="7"/>
  <c r="Y41" i="7"/>
  <c r="U41" i="7"/>
  <c r="AB56" i="7"/>
  <c r="W30" i="7"/>
  <c r="U26" i="7"/>
  <c r="AB66" i="7"/>
  <c r="AC61" i="7"/>
  <c r="AB60" i="7"/>
  <c r="T57" i="7"/>
  <c r="T56" i="7"/>
  <c r="W55" i="7"/>
  <c r="AA55" i="7"/>
  <c r="AD50" i="7"/>
  <c r="AD48" i="7"/>
  <c r="Q48" i="7"/>
  <c r="U44" i="7"/>
  <c r="AF41" i="7"/>
  <c r="W34" i="7"/>
  <c r="Y34" i="7"/>
  <c r="Z34" i="7"/>
  <c r="U34" i="7"/>
  <c r="T30" i="7"/>
  <c r="T26" i="7"/>
  <c r="AC15" i="7"/>
  <c r="AD61" i="7"/>
  <c r="U57" i="7"/>
  <c r="AF44" i="7"/>
  <c r="W66" i="7"/>
  <c r="Z50" i="7"/>
  <c r="AF49" i="7"/>
  <c r="AC48" i="7"/>
  <c r="P48" i="7"/>
  <c r="S40" i="7"/>
  <c r="AE40" i="7"/>
  <c r="T40" i="7"/>
  <c r="AF40" i="7"/>
  <c r="P40" i="7"/>
  <c r="AB40" i="7"/>
  <c r="S30" i="7"/>
  <c r="Q26" i="7"/>
  <c r="AB15" i="7"/>
  <c r="Z64" i="7"/>
  <c r="R64" i="7"/>
  <c r="AE66" i="7"/>
  <c r="AF56" i="7"/>
  <c r="AD30" i="7"/>
  <c r="AB26" i="7"/>
  <c r="AD64" i="7"/>
  <c r="AC56" i="7"/>
  <c r="AB30" i="7"/>
  <c r="AA26" i="7"/>
  <c r="AC66" i="7"/>
  <c r="AB64" i="7"/>
  <c r="AF50" i="7"/>
  <c r="V64" i="7"/>
  <c r="X61" i="7"/>
  <c r="R60" i="7"/>
  <c r="AF57" i="7"/>
  <c r="S57" i="7"/>
  <c r="S56" i="7"/>
  <c r="T44" i="7"/>
  <c r="AE41" i="7"/>
  <c r="AD40" i="7"/>
  <c r="V66" i="7"/>
  <c r="U64" i="7"/>
  <c r="U61" i="7"/>
  <c r="Q60" i="7"/>
  <c r="AE57" i="7"/>
  <c r="R57" i="7"/>
  <c r="Q56" i="7"/>
  <c r="Y50" i="7"/>
  <c r="AD49" i="7"/>
  <c r="AB48" i="7"/>
  <c r="S44" i="7"/>
  <c r="AC42" i="7"/>
  <c r="AD42" i="7"/>
  <c r="Z42" i="7"/>
  <c r="AD41" i="7"/>
  <c r="AC40" i="7"/>
  <c r="AC34" i="7"/>
  <c r="Q30" i="7"/>
  <c r="AF16" i="7"/>
  <c r="AA15" i="7"/>
  <c r="AD2" i="7"/>
  <c r="V26" i="7"/>
  <c r="W26" i="7"/>
  <c r="X26" i="7"/>
  <c r="Y26" i="7"/>
  <c r="Z26" i="7"/>
  <c r="S26" i="7"/>
  <c r="AF26" i="7"/>
  <c r="AF61" i="7"/>
  <c r="T66" i="7"/>
  <c r="T64" i="7"/>
  <c r="T61" i="7"/>
  <c r="P60" i="7"/>
  <c r="AD57" i="7"/>
  <c r="Q57" i="7"/>
  <c r="P56" i="7"/>
  <c r="W50" i="7"/>
  <c r="AB49" i="7"/>
  <c r="S48" i="7"/>
  <c r="AE48" i="7"/>
  <c r="R44" i="7"/>
  <c r="Z41" i="7"/>
  <c r="O30" i="7"/>
  <c r="O26" i="7"/>
  <c r="X16" i="7"/>
  <c r="T15" i="7"/>
  <c r="AE3" i="7"/>
  <c r="X2" i="7"/>
  <c r="X8" i="7"/>
  <c r="Z7" i="7"/>
  <c r="V5" i="7"/>
  <c r="Q25" i="7"/>
  <c r="AA18" i="7"/>
  <c r="T13" i="7"/>
  <c r="Q8" i="7"/>
  <c r="P7" i="7"/>
  <c r="AD5" i="7"/>
  <c r="Q5" i="7"/>
  <c r="AE29" i="7"/>
  <c r="O25" i="7"/>
  <c r="AE23" i="7"/>
  <c r="Q23" i="7"/>
  <c r="Z20" i="7"/>
  <c r="Y18" i="7"/>
  <c r="S13" i="7"/>
  <c r="AF12" i="7"/>
  <c r="AD8" i="7"/>
  <c r="P8" i="7"/>
  <c r="O7" i="7"/>
  <c r="AC5" i="7"/>
  <c r="P5" i="7"/>
  <c r="X18" i="7"/>
  <c r="R33" i="7"/>
  <c r="AC29" i="7"/>
  <c r="AF28" i="7"/>
  <c r="AE25" i="7"/>
  <c r="AC23" i="7"/>
  <c r="Q21" i="7"/>
  <c r="X20" i="7"/>
  <c r="AE19" i="7"/>
  <c r="R18" i="7"/>
  <c r="Q13" i="7"/>
  <c r="AD25" i="7"/>
  <c r="W20" i="7"/>
  <c r="Y5" i="7"/>
  <c r="W59" i="7"/>
  <c r="O58" i="7"/>
  <c r="AA58" i="7"/>
  <c r="X58" i="7"/>
  <c r="P58" i="7"/>
  <c r="AD58" i="7"/>
  <c r="R58" i="7"/>
  <c r="U58" i="7"/>
  <c r="Q58" i="7"/>
  <c r="AE58" i="7"/>
  <c r="AF58" i="7"/>
  <c r="S58" i="7"/>
  <c r="T58" i="7"/>
  <c r="Q37" i="7"/>
  <c r="AC37" i="7"/>
  <c r="W37" i="7"/>
  <c r="X37" i="7"/>
  <c r="Y37" i="7"/>
  <c r="O37" i="7"/>
  <c r="AF37" i="7"/>
  <c r="U37" i="7"/>
  <c r="P37" i="7"/>
  <c r="R37" i="7"/>
  <c r="T37" i="7"/>
  <c r="S37" i="7"/>
  <c r="P21" i="7"/>
  <c r="O63" i="7"/>
  <c r="AA63" i="7"/>
  <c r="T63" i="7"/>
  <c r="S63" i="7"/>
  <c r="V63" i="7"/>
  <c r="Y63" i="7"/>
  <c r="U63" i="7"/>
  <c r="W63" i="7"/>
  <c r="X63" i="7"/>
  <c r="T27" i="7"/>
  <c r="AF27" i="7"/>
  <c r="Q27" i="7"/>
  <c r="AD27" i="7"/>
  <c r="V27" i="7"/>
  <c r="W27" i="7"/>
  <c r="X27" i="7"/>
  <c r="Y27" i="7"/>
  <c r="O27" i="7"/>
  <c r="U27" i="7"/>
  <c r="Z27" i="7"/>
  <c r="P27" i="7"/>
  <c r="R27" i="7"/>
  <c r="S27" i="7"/>
  <c r="U60" i="7"/>
  <c r="X60" i="7"/>
  <c r="S60" i="7"/>
  <c r="T60" i="7"/>
  <c r="V60" i="7"/>
  <c r="W60" i="7"/>
  <c r="Y60" i="7"/>
  <c r="Z60" i="7"/>
  <c r="AC58" i="7"/>
  <c r="Z53" i="7"/>
  <c r="AC43" i="7"/>
  <c r="W39" i="7"/>
  <c r="U39" i="7"/>
  <c r="V39" i="7"/>
  <c r="X39" i="7"/>
  <c r="P39" i="7"/>
  <c r="AF39" i="7"/>
  <c r="S39" i="7"/>
  <c r="T39" i="7"/>
  <c r="Y39" i="7"/>
  <c r="Q39" i="7"/>
  <c r="R39" i="7"/>
  <c r="AE37" i="7"/>
  <c r="V36" i="7"/>
  <c r="AC63" i="7"/>
  <c r="AF60" i="7"/>
  <c r="AB58" i="7"/>
  <c r="Y53" i="7"/>
  <c r="AD37" i="7"/>
  <c r="R36" i="7"/>
  <c r="T22" i="7"/>
  <c r="AF22" i="7"/>
  <c r="S22" i="7"/>
  <c r="O22" i="7"/>
  <c r="AC22" i="7"/>
  <c r="P22" i="7"/>
  <c r="AD22" i="7"/>
  <c r="Q22" i="7"/>
  <c r="AE22" i="7"/>
  <c r="R22" i="7"/>
  <c r="U22" i="7"/>
  <c r="Y22" i="7"/>
  <c r="Z22" i="7"/>
  <c r="V22" i="7"/>
  <c r="W22" i="7"/>
  <c r="X22" i="7"/>
  <c r="AE63" i="7"/>
  <c r="AA53" i="7"/>
  <c r="U9" i="7"/>
  <c r="V9" i="7"/>
  <c r="S9" i="7"/>
  <c r="T9" i="7"/>
  <c r="W9" i="7"/>
  <c r="O9" i="7"/>
  <c r="AF9" i="7"/>
  <c r="P9" i="7"/>
  <c r="Q9" i="7"/>
  <c r="R9" i="7"/>
  <c r="Z9" i="7"/>
  <c r="AB9" i="7"/>
  <c r="AD9" i="7"/>
  <c r="AA9" i="7"/>
  <c r="AE9" i="7"/>
  <c r="AC9" i="7"/>
  <c r="P53" i="7"/>
  <c r="U55" i="7"/>
  <c r="O55" i="7"/>
  <c r="AB55" i="7"/>
  <c r="P55" i="7"/>
  <c r="AD55" i="7"/>
  <c r="V55" i="7"/>
  <c r="Q55" i="7"/>
  <c r="AE55" i="7"/>
  <c r="R55" i="7"/>
  <c r="AF55" i="7"/>
  <c r="S55" i="7"/>
  <c r="T55" i="7"/>
  <c r="AE27" i="7"/>
  <c r="W14" i="7"/>
  <c r="X14" i="7"/>
  <c r="R14" i="7"/>
  <c r="AF14" i="7"/>
  <c r="S14" i="7"/>
  <c r="U14" i="7"/>
  <c r="V14" i="7"/>
  <c r="Y14" i="7"/>
  <c r="Z14" i="7"/>
  <c r="O14" i="7"/>
  <c r="Q14" i="7"/>
  <c r="AA14" i="7"/>
  <c r="AB14" i="7"/>
  <c r="P14" i="7"/>
  <c r="T14" i="7"/>
  <c r="O11" i="7"/>
  <c r="AA11" i="7"/>
  <c r="P11" i="7"/>
  <c r="AB11" i="7"/>
  <c r="U11" i="7"/>
  <c r="V11" i="7"/>
  <c r="W11" i="7"/>
  <c r="Y11" i="7"/>
  <c r="Z11" i="7"/>
  <c r="AC11" i="7"/>
  <c r="AD11" i="7"/>
  <c r="Q11" i="7"/>
  <c r="S11" i="7"/>
  <c r="X11" i="7"/>
  <c r="R11" i="7"/>
  <c r="AE11" i="7"/>
  <c r="T11" i="7"/>
  <c r="O43" i="7"/>
  <c r="AA43" i="7"/>
  <c r="W43" i="7"/>
  <c r="X43" i="7"/>
  <c r="AD43" i="7"/>
  <c r="Q43" i="7"/>
  <c r="AF43" i="7"/>
  <c r="R43" i="7"/>
  <c r="T43" i="7"/>
  <c r="P43" i="7"/>
  <c r="AE43" i="7"/>
  <c r="S43" i="7"/>
  <c r="S59" i="7"/>
  <c r="AE59" i="7"/>
  <c r="T59" i="7"/>
  <c r="AB59" i="7"/>
  <c r="AD59" i="7"/>
  <c r="U59" i="7"/>
  <c r="O59" i="7"/>
  <c r="AC59" i="7"/>
  <c r="P59" i="7"/>
  <c r="Q59" i="7"/>
  <c r="R59" i="7"/>
  <c r="AF59" i="7"/>
  <c r="AF63" i="7"/>
  <c r="S45" i="7"/>
  <c r="AE45" i="7"/>
  <c r="R45" i="7"/>
  <c r="AF45" i="7"/>
  <c r="T45" i="7"/>
  <c r="P45" i="7"/>
  <c r="U45" i="7"/>
  <c r="V45" i="7"/>
  <c r="X45" i="7"/>
  <c r="Q45" i="7"/>
  <c r="W45" i="7"/>
  <c r="AD63" i="7"/>
  <c r="AB63" i="7"/>
  <c r="AE60" i="7"/>
  <c r="Z58" i="7"/>
  <c r="Z43" i="7"/>
  <c r="S42" i="7"/>
  <c r="AE42" i="7"/>
  <c r="W42" i="7"/>
  <c r="X42" i="7"/>
  <c r="P42" i="7"/>
  <c r="AF42" i="7"/>
  <c r="T42" i="7"/>
  <c r="Q42" i="7"/>
  <c r="R42" i="7"/>
  <c r="U42" i="7"/>
  <c r="V42" i="7"/>
  <c r="AB37" i="7"/>
  <c r="Q36" i="7"/>
  <c r="Z24" i="7"/>
  <c r="R24" i="7"/>
  <c r="AE24" i="7"/>
  <c r="S24" i="7"/>
  <c r="T24" i="7"/>
  <c r="U24" i="7"/>
  <c r="V24" i="7"/>
  <c r="Q24" i="7"/>
  <c r="AA24" i="7"/>
  <c r="AB24" i="7"/>
  <c r="W24" i="7"/>
  <c r="X24" i="7"/>
  <c r="Y24" i="7"/>
  <c r="Z63" i="7"/>
  <c r="AD60" i="7"/>
  <c r="AA59" i="7"/>
  <c r="Y58" i="7"/>
  <c r="AD45" i="7"/>
  <c r="Y43" i="7"/>
  <c r="AA37" i="7"/>
  <c r="S65" i="7"/>
  <c r="AE65" i="7"/>
  <c r="O65" i="7"/>
  <c r="AB65" i="7"/>
  <c r="Q65" i="7"/>
  <c r="AF65" i="7"/>
  <c r="W65" i="7"/>
  <c r="R65" i="7"/>
  <c r="T65" i="7"/>
  <c r="V65" i="7"/>
  <c r="U65" i="7"/>
  <c r="R63" i="7"/>
  <c r="AC60" i="7"/>
  <c r="Z59" i="7"/>
  <c r="W58" i="7"/>
  <c r="Q49" i="7"/>
  <c r="AC49" i="7"/>
  <c r="W49" i="7"/>
  <c r="X49" i="7"/>
  <c r="S49" i="7"/>
  <c r="Z49" i="7"/>
  <c r="T49" i="7"/>
  <c r="U49" i="7"/>
  <c r="V49" i="7"/>
  <c r="Y49" i="7"/>
  <c r="AC45" i="7"/>
  <c r="V43" i="7"/>
  <c r="AE39" i="7"/>
  <c r="Z37" i="7"/>
  <c r="AC27" i="7"/>
  <c r="R21" i="7"/>
  <c r="AD21" i="7"/>
  <c r="O21" i="7"/>
  <c r="AB21" i="7"/>
  <c r="W21" i="7"/>
  <c r="X21" i="7"/>
  <c r="Y21" i="7"/>
  <c r="Z21" i="7"/>
  <c r="S21" i="7"/>
  <c r="AA21" i="7"/>
  <c r="AC21" i="7"/>
  <c r="T21" i="7"/>
  <c r="U21" i="7"/>
  <c r="V21" i="7"/>
  <c r="Q63" i="7"/>
  <c r="Y59" i="7"/>
  <c r="V58" i="7"/>
  <c r="Q53" i="7"/>
  <c r="AC53" i="7"/>
  <c r="T53" i="7"/>
  <c r="R53" i="7"/>
  <c r="AF53" i="7"/>
  <c r="U53" i="7"/>
  <c r="X53" i="7"/>
  <c r="S53" i="7"/>
  <c r="V53" i="7"/>
  <c r="W53" i="7"/>
  <c r="U43" i="7"/>
  <c r="V37" i="7"/>
  <c r="O36" i="7"/>
  <c r="AA36" i="7"/>
  <c r="S36" i="7"/>
  <c r="AF36" i="7"/>
  <c r="T36" i="7"/>
  <c r="U36" i="7"/>
  <c r="W36" i="7"/>
  <c r="Y36" i="7"/>
  <c r="X36" i="7"/>
  <c r="AB36" i="7"/>
  <c r="Z36" i="7"/>
  <c r="AC36" i="7"/>
  <c r="AB27" i="7"/>
  <c r="AE21" i="7"/>
  <c r="AA56" i="7"/>
  <c r="U38" i="7"/>
  <c r="R38" i="7"/>
  <c r="AE38" i="7"/>
  <c r="S38" i="7"/>
  <c r="AF38" i="7"/>
  <c r="T38" i="7"/>
  <c r="Z56" i="7"/>
  <c r="Y56" i="7"/>
  <c r="Z18" i="7"/>
  <c r="V18" i="7"/>
  <c r="S18" i="7"/>
  <c r="T18" i="7"/>
  <c r="U18" i="7"/>
  <c r="W18" i="7"/>
  <c r="Q44" i="7"/>
  <c r="AC44" i="7"/>
  <c r="AA44" i="7"/>
  <c r="O44" i="7"/>
  <c r="AB44" i="7"/>
  <c r="W4" i="7"/>
  <c r="X4" i="7"/>
  <c r="Q4" i="7"/>
  <c r="AE4" i="7"/>
  <c r="R4" i="7"/>
  <c r="AF4" i="7"/>
  <c r="S4" i="7"/>
  <c r="O4" i="7"/>
  <c r="P4" i="7"/>
  <c r="T4" i="7"/>
  <c r="U4" i="7"/>
  <c r="U66" i="7"/>
  <c r="S66" i="7"/>
  <c r="AF66" i="7"/>
  <c r="AA64" i="7"/>
  <c r="W61" i="7"/>
  <c r="AA61" i="7"/>
  <c r="X56" i="7"/>
  <c r="Z38" i="7"/>
  <c r="Z61" i="7"/>
  <c r="S50" i="7"/>
  <c r="AE50" i="7"/>
  <c r="AA50" i="7"/>
  <c r="O50" i="7"/>
  <c r="AB50" i="7"/>
  <c r="X44" i="7"/>
  <c r="Y38" i="7"/>
  <c r="T19" i="7"/>
  <c r="AF19" i="7"/>
  <c r="V19" i="7"/>
  <c r="W19" i="7"/>
  <c r="X19" i="7"/>
  <c r="Y19" i="7"/>
  <c r="Z19" i="7"/>
  <c r="AD18" i="7"/>
  <c r="W56" i="7"/>
  <c r="R56" i="7"/>
  <c r="AE56" i="7"/>
  <c r="AE44" i="7"/>
  <c r="AC38" i="7"/>
  <c r="AD44" i="7"/>
  <c r="AB38" i="7"/>
  <c r="Z44" i="7"/>
  <c r="AA38" i="7"/>
  <c r="Z66" i="7"/>
  <c r="Q64" i="7"/>
  <c r="AC64" i="7"/>
  <c r="X64" i="7"/>
  <c r="AB61" i="7"/>
  <c r="Y44" i="7"/>
  <c r="AE18" i="7"/>
  <c r="U16" i="7"/>
  <c r="V16" i="7"/>
  <c r="AB16" i="7"/>
  <c r="O16" i="7"/>
  <c r="AC16" i="7"/>
  <c r="Q16" i="7"/>
  <c r="R16" i="7"/>
  <c r="S16" i="7"/>
  <c r="T16" i="7"/>
  <c r="Y66" i="7"/>
  <c r="X66" i="7"/>
  <c r="Y64" i="7"/>
  <c r="Y61" i="7"/>
  <c r="U56" i="7"/>
  <c r="AC50" i="7"/>
  <c r="W44" i="7"/>
  <c r="O41" i="7"/>
  <c r="AA41" i="7"/>
  <c r="AB41" i="7"/>
  <c r="P41" i="7"/>
  <c r="AC41" i="7"/>
  <c r="X38" i="7"/>
  <c r="X29" i="7"/>
  <c r="Y29" i="7"/>
  <c r="R29" i="7"/>
  <c r="AF29" i="7"/>
  <c r="S29" i="7"/>
  <c r="T29" i="7"/>
  <c r="U29" i="7"/>
  <c r="V28" i="7"/>
  <c r="U28" i="7"/>
  <c r="AB28" i="7"/>
  <c r="O28" i="7"/>
  <c r="AC28" i="7"/>
  <c r="P28" i="7"/>
  <c r="AD28" i="7"/>
  <c r="Q28" i="7"/>
  <c r="AE28" i="7"/>
  <c r="AD19" i="7"/>
  <c r="AC18" i="7"/>
  <c r="AD4" i="7"/>
  <c r="O31" i="7"/>
  <c r="AA31" i="7"/>
  <c r="Z30" i="7"/>
  <c r="P30" i="7"/>
  <c r="AC30" i="7"/>
  <c r="AF13" i="7"/>
  <c r="P13" i="7"/>
  <c r="Y33" i="7"/>
  <c r="P25" i="7"/>
  <c r="AB25" i="7"/>
  <c r="V25" i="7"/>
  <c r="X17" i="7"/>
  <c r="R17" i="7"/>
  <c r="AE17" i="7"/>
  <c r="S17" i="7"/>
  <c r="AF17" i="7"/>
  <c r="U13" i="7"/>
  <c r="V13" i="7"/>
  <c r="AB13" i="7"/>
  <c r="O13" i="7"/>
  <c r="AC13" i="7"/>
  <c r="Q7" i="7"/>
  <c r="AC7" i="7"/>
  <c r="R7" i="7"/>
  <c r="AD7" i="7"/>
  <c r="U7" i="7"/>
  <c r="V7" i="7"/>
  <c r="W7" i="7"/>
  <c r="AA47" i="7"/>
  <c r="AA34" i="7"/>
  <c r="X33" i="7"/>
  <c r="X31" i="7"/>
  <c r="Y30" i="7"/>
  <c r="Z25" i="7"/>
  <c r="X23" i="7"/>
  <c r="AA23" i="7"/>
  <c r="AA17" i="7"/>
  <c r="AD13" i="7"/>
  <c r="AE7" i="7"/>
  <c r="W33" i="7"/>
  <c r="W31" i="7"/>
  <c r="Y25" i="7"/>
  <c r="Z17" i="7"/>
  <c r="AA13" i="7"/>
  <c r="AB7" i="7"/>
  <c r="S2" i="7"/>
  <c r="AE2" i="7"/>
  <c r="T2" i="7"/>
  <c r="AF2" i="7"/>
  <c r="U2" i="7"/>
  <c r="V2" i="7"/>
  <c r="W2" i="7"/>
  <c r="AE12" i="7"/>
  <c r="O12" i="7"/>
  <c r="R26" i="7"/>
  <c r="AD26" i="7"/>
  <c r="Q12" i="7"/>
  <c r="AC12" i="7"/>
  <c r="R12" i="7"/>
  <c r="AD12" i="7"/>
  <c r="S8" i="7"/>
  <c r="AE8" i="7"/>
  <c r="T8" i="7"/>
  <c r="AF8" i="7"/>
  <c r="O6" i="7"/>
  <c r="AA6" i="7"/>
  <c r="P6" i="7"/>
  <c r="AB6" i="7"/>
  <c r="U3" i="7"/>
  <c r="V3" i="7"/>
  <c r="I32" i="7" l="1"/>
  <c r="J51" i="7"/>
  <c r="K51" i="7"/>
  <c r="I52" i="7"/>
  <c r="J32" i="7"/>
  <c r="I51" i="7"/>
  <c r="I54" i="7"/>
  <c r="K32" i="7"/>
  <c r="J54" i="7"/>
  <c r="K54" i="7"/>
  <c r="I46" i="7"/>
  <c r="J46" i="7"/>
  <c r="J52" i="7"/>
  <c r="K46" i="7"/>
  <c r="K52" i="7"/>
  <c r="U67" i="7" l="1"/>
  <c r="AB67" i="7"/>
  <c r="R67" i="7"/>
  <c r="AF67" i="7"/>
  <c r="W67" i="7"/>
  <c r="AE67" i="7"/>
  <c r="Q67" i="7"/>
  <c r="Z67" i="7"/>
  <c r="S67" i="7"/>
  <c r="T67" i="7"/>
  <c r="Y67" i="7"/>
  <c r="AC67" i="7"/>
  <c r="AA67" i="7"/>
  <c r="AD67" i="7"/>
  <c r="X67" i="7"/>
  <c r="V67" i="7"/>
  <c r="O67" i="7"/>
  <c r="P67" i="7"/>
  <c r="O54" i="7"/>
  <c r="R54" i="7"/>
  <c r="AA54" i="7"/>
  <c r="T54" i="7"/>
  <c r="AB54" i="7"/>
  <c r="U54" i="7"/>
  <c r="P54" i="7"/>
  <c r="S54" i="7"/>
  <c r="Y54" i="7"/>
  <c r="X54" i="7"/>
  <c r="V54" i="7"/>
  <c r="AC54" i="7"/>
  <c r="AF54" i="7"/>
  <c r="Z54" i="7"/>
  <c r="Q54" i="7"/>
  <c r="AE54" i="7"/>
  <c r="AD54" i="7"/>
  <c r="W54" i="7"/>
  <c r="AC32" i="7"/>
  <c r="W32" i="7"/>
  <c r="S32" i="7"/>
  <c r="AE32" i="7"/>
  <c r="R32" i="7"/>
  <c r="Y32" i="7"/>
  <c r="AB32" i="7"/>
  <c r="X32" i="7"/>
  <c r="AA32" i="7"/>
  <c r="AF32" i="7"/>
  <c r="Z32" i="7"/>
  <c r="T32" i="7"/>
  <c r="U32" i="7"/>
  <c r="AD32" i="7"/>
  <c r="O32" i="7"/>
  <c r="V32" i="7"/>
  <c r="Q32" i="7"/>
  <c r="P32" i="7"/>
  <c r="P51" i="7"/>
  <c r="AD51" i="7"/>
  <c r="R51" i="7"/>
  <c r="Y51" i="7"/>
  <c r="S51" i="7"/>
  <c r="AE51" i="7"/>
  <c r="AC51" i="7"/>
  <c r="Q51" i="7"/>
  <c r="O51" i="7"/>
  <c r="Z51" i="7"/>
  <c r="AF51" i="7"/>
  <c r="T51" i="7"/>
  <c r="V51" i="7"/>
  <c r="W51" i="7"/>
  <c r="AB51" i="7"/>
  <c r="U51" i="7"/>
  <c r="X51" i="7"/>
  <c r="AA51" i="7"/>
  <c r="AD46" i="7"/>
  <c r="T46" i="7"/>
  <c r="X46" i="7"/>
  <c r="AB46" i="7"/>
  <c r="R46" i="7"/>
  <c r="V46" i="7"/>
  <c r="AF46" i="7"/>
  <c r="AA46" i="7"/>
  <c r="S46" i="7"/>
  <c r="W46" i="7"/>
  <c r="Y46" i="7"/>
  <c r="P46" i="7"/>
  <c r="U46" i="7"/>
  <c r="O46" i="7"/>
  <c r="Q46" i="7"/>
  <c r="Z46" i="7"/>
  <c r="AE46" i="7"/>
  <c r="AC46" i="7"/>
  <c r="AC62" i="7"/>
  <c r="V62" i="7"/>
  <c r="AA62" i="7"/>
  <c r="P62" i="7"/>
  <c r="R62" i="7"/>
  <c r="Y62" i="7"/>
  <c r="O62" i="7"/>
  <c r="AF62" i="7"/>
  <c r="AB62" i="7"/>
  <c r="S62" i="7"/>
  <c r="Q62" i="7"/>
  <c r="X62" i="7"/>
  <c r="T62" i="7"/>
  <c r="W62" i="7"/>
  <c r="AD62" i="7"/>
  <c r="U62" i="7"/>
  <c r="Z62" i="7"/>
  <c r="AE62" i="7"/>
  <c r="R52" i="7"/>
  <c r="AD52" i="7"/>
  <c r="U52" i="7"/>
  <c r="W52" i="7"/>
  <c r="AE52" i="7"/>
  <c r="X52" i="7"/>
  <c r="AF52" i="7"/>
  <c r="AA52" i="7"/>
  <c r="Z52" i="7"/>
  <c r="S52" i="7"/>
  <c r="Y52" i="7"/>
  <c r="Q52" i="7"/>
  <c r="T52" i="7"/>
  <c r="V52" i="7"/>
  <c r="AB52" i="7"/>
  <c r="O52" i="7"/>
  <c r="P52" i="7"/>
  <c r="AC52" i="7"/>
  <c r="AF69" i="7" l="1"/>
  <c r="E74" i="7" s="1"/>
  <c r="P69" i="7"/>
  <c r="E73" i="7" s="1"/>
  <c r="AE69" i="7"/>
  <c r="Q69" i="7"/>
  <c r="E75" i="7" s="1"/>
  <c r="Z69" i="7"/>
  <c r="W69" i="7"/>
  <c r="V69" i="7"/>
  <c r="E80" i="7" s="1"/>
  <c r="AB69" i="7"/>
  <c r="U69" i="7"/>
  <c r="AC69" i="7"/>
  <c r="X69" i="7"/>
  <c r="O69" i="7"/>
  <c r="E72" i="7" s="1"/>
  <c r="AA69" i="7"/>
  <c r="T69" i="7"/>
  <c r="E77" i="7" s="1"/>
  <c r="AD69" i="7"/>
  <c r="S69" i="7"/>
  <c r="E84" i="7" s="1"/>
  <c r="Y69" i="7"/>
  <c r="R69" i="7"/>
  <c r="E76" i="7" s="1"/>
  <c r="E81" i="7" l="1"/>
  <c r="E83" i="7"/>
  <c r="E8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82" authorId="0" shapeId="0" xr:uid="{A846F865-A8C9-446A-B7C7-AC7AD86B8D03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87" authorId="0" shapeId="0" xr:uid="{5905532E-05D1-4F44-9D59-CFE1C531D84C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93" authorId="0" shapeId="0" xr:uid="{62DF6827-2B2B-4ACB-80A1-68CE818F35A2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Z203" authorId="1" shapeId="0" xr:uid="{64485C33-63A9-4F7B-AF92-4448903445CB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77" authorId="0" shapeId="0" xr:uid="{09F7F6F3-5E6F-47C6-9C04-BBF191C569AB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82" authorId="0" shapeId="0" xr:uid="{8159C0F6-E922-4618-A0BE-F27480F5EAC4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88" authorId="0" shapeId="0" xr:uid="{955732A7-9C64-46C1-9D45-A338FFEF1BC0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U192" authorId="1" shapeId="0" xr:uid="{22E51C1B-73DF-4B7D-B548-7C44F6BA23C4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Z199" authorId="1" shapeId="0" xr:uid="{78122BBB-92D2-4F57-B1E4-5EEB00A01A21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71" authorId="0" shapeId="0" xr:uid="{73B35EEA-CC8C-471D-9135-EF2327AA0B8F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76" authorId="0" shapeId="0" xr:uid="{F80B91FB-72C7-4CA1-97B8-C8BE750DE3B9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82" authorId="0" shapeId="0" xr:uid="{B8223480-485A-4EB2-809A-6E5B8B550E22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U186" authorId="1" shapeId="0" xr:uid="{EE9E7308-3B7B-4422-AB25-10621493EC68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Z193" authorId="1" shapeId="0" xr:uid="{0322E27C-5717-412B-90C6-3BA94D3F284C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75" authorId="0" shapeId="0" xr:uid="{7301FCE0-DA70-4F51-BF1F-23C03834CF54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80" authorId="0" shapeId="0" xr:uid="{5B8DCB8E-049A-42FF-B80C-C38127012A66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86" authorId="0" shapeId="0" xr:uid="{1181A214-AE47-4BC2-9882-AC1902D1DBEA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U190" authorId="1" shapeId="0" xr:uid="{A72291C6-B3EE-4D4B-B100-F2615BD1F359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Z197" authorId="1" shapeId="0" xr:uid="{5758F1BB-4B8E-41F6-93B4-EEA5AC47AAFD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74" authorId="0" shapeId="0" xr:uid="{EC9365E8-2BFC-4754-9121-BE8AFF061443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79" authorId="0" shapeId="0" xr:uid="{69C265D2-6149-4848-9A75-A68EBE334C59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85" authorId="0" shapeId="0" xr:uid="{418A7E4C-A879-45CE-8F81-F7F6FDD969CE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U189" authorId="1" shapeId="0" xr:uid="{F3A1D732-1980-46F8-A89F-4F6C21D6088F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Z196" authorId="1" shapeId="0" xr:uid="{FA045F51-4853-43EF-8F37-64898F6A0AFB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67" authorId="0" shapeId="0" xr:uid="{CD86FA46-3CEC-464B-804F-33B761A547D6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72" authorId="0" shapeId="0" xr:uid="{E2AEA411-23EC-4AA9-842E-9E1903A73E85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78" authorId="0" shapeId="0" xr:uid="{6D442088-2B7B-485F-A4A8-593EEC8867A4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U182" authorId="1" shapeId="0" xr:uid="{814F0F83-7B9E-4106-BBA1-E4F9F5512C83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Z189" authorId="1" shapeId="0" xr:uid="{27C6CB0D-DC8E-4252-A135-B55D139F1093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Y183" authorId="0" shapeId="0" xr:uid="{3C7166AA-8749-4032-A622-DE9430529D95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Y188" authorId="0" shapeId="0" xr:uid="{A9435332-3299-431D-8423-8FEAE9705C68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Y194" authorId="0" shapeId="0" xr:uid="{6F8F14CE-CDF7-489A-B2F5-F1332D46EED5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V198" authorId="1" shapeId="0" xr:uid="{5D9347DA-4B4A-4DA3-A561-CC35CD73CED8}">
      <text>
        <r>
          <rPr>
            <b/>
            <sz val="9"/>
            <color indexed="81"/>
            <rFont val="Tahoma"/>
            <family val="2"/>
          </rPr>
          <t xml:space="preserve">Andy:
</t>
        </r>
        <r>
          <rPr>
            <sz val="9"/>
            <color indexed="81"/>
            <rFont val="Tahoma"/>
            <family val="2"/>
          </rPr>
          <t>Falta crear en el catedral la cuenta "Tarjeta VISA - Banco Credicoop"</t>
        </r>
      </text>
    </comment>
    <comment ref="AA205" authorId="1" shapeId="0" xr:uid="{0CF642BE-7046-4555-B728-489D8DBB7397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Alejandra Oppizzi</author>
    <author>Usuario</author>
  </authors>
  <commentList>
    <comment ref="X181" authorId="0" shapeId="0" xr:uid="{1780C6F6-FCAB-4FD8-95DB-0E909548FF43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Tasa Serv Generales - MUNI
 Inmobiliario - ARBA
</t>
        </r>
      </text>
    </comment>
    <comment ref="X186" authorId="0" shapeId="0" xr:uid="{D4D7404C-945D-4F38-B68B-2AC0DCCB4402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AGUA
GAS NATURAL FENOSA</t>
        </r>
      </text>
    </comment>
    <comment ref="X192" authorId="0" shapeId="0" xr:uid="{7692AA0E-B5CD-4C2C-8FA0-495C68693F10}">
      <text>
        <r>
          <rPr>
            <b/>
            <sz val="9"/>
            <color indexed="81"/>
            <rFont val="Tahoma"/>
            <family val="2"/>
          </rPr>
          <t>Alejandra Oppizzi:</t>
        </r>
        <r>
          <rPr>
            <sz val="9"/>
            <color indexed="81"/>
            <rFont val="Tahoma"/>
            <family val="2"/>
          </rPr>
          <t xml:space="preserve">
CNP Seguros CNP ASSURANCES
Segurcoop Comercio SEGUR.SOCIO INT.COM.</t>
        </r>
      </text>
    </comment>
    <comment ref="Z202" authorId="1" shapeId="0" xr:uid="{629EE8B7-EF12-4CC4-9977-39572E921A35}">
      <text>
        <r>
          <rPr>
            <b/>
            <sz val="9"/>
            <color indexed="81"/>
            <rFont val="Tahoma"/>
            <family val="2"/>
          </rPr>
          <t xml:space="preserve">Andy: </t>
        </r>
        <r>
          <rPr>
            <sz val="9"/>
            <color indexed="81"/>
            <rFont val="Tahoma"/>
            <family val="2"/>
          </rPr>
          <t>No se tiene en cuenta las cuentas Proveedores que estan en "Pagos del mes" y tampoco los pagos del mes que estan en la columna proveedores.</t>
        </r>
      </text>
    </comment>
  </commentList>
</comments>
</file>

<file path=xl/sharedStrings.xml><?xml version="1.0" encoding="utf-8"?>
<sst xmlns="http://schemas.openxmlformats.org/spreadsheetml/2006/main" count="1013" uniqueCount="150">
  <si>
    <t>Fecha</t>
  </si>
  <si>
    <t>Concepto</t>
  </si>
  <si>
    <t>Nro.Cpbte.</t>
  </si>
  <si>
    <t>Débito</t>
  </si>
  <si>
    <t>Crédito</t>
  </si>
  <si>
    <t>Saldo</t>
  </si>
  <si>
    <t>Cód.</t>
  </si>
  <si>
    <t>Com. mantenimiento cuenta</t>
  </si>
  <si>
    <t>Comision por Depositos chqs - Remoto</t>
  </si>
  <si>
    <t>Suscripcion al Periodico Accion</t>
  </si>
  <si>
    <t>Impuesto Ley 25.413 Ali Gral s/Creditos</t>
  </si>
  <si>
    <t>IDCC1</t>
  </si>
  <si>
    <t>Impuesto Ley 25.413 Ali Gral s/Debitos</t>
  </si>
  <si>
    <t>IDCC3</t>
  </si>
  <si>
    <t>IVA - Alicuota Inscripto</t>
  </si>
  <si>
    <t>IVA08</t>
  </si>
  <si>
    <t>IVA-Ali Adic RG 2408 s/Comis-Rec Gastos</t>
  </si>
  <si>
    <t>IVAA1</t>
  </si>
  <si>
    <t>Pago de Servicios Ente: AYSA</t>
  </si>
  <si>
    <t>Pago de Servicios Ente: EDENOR</t>
  </si>
  <si>
    <t>Pago de Servicios Ente: OSDE</t>
  </si>
  <si>
    <t>Pago de Servicios Ente: TV/ INTERNET PERSONAL FLOW</t>
  </si>
  <si>
    <t>Acreditacion Valores Camara/C.Interno</t>
  </si>
  <si>
    <t>AVGUV</t>
  </si>
  <si>
    <t>Ajuste p/ Operacion de Titulos/Acciones</t>
  </si>
  <si>
    <t>Suscripcion a Fondo Comun de Inversion</t>
  </si>
  <si>
    <t>Rescate Fondo Comun de Inversion</t>
  </si>
  <si>
    <t>D</t>
  </si>
  <si>
    <t>Ret. Embargo Judicial Empledos a Pagar</t>
  </si>
  <si>
    <t xml:space="preserve">Seguros                                      </t>
  </si>
  <si>
    <t>Pagos del mes</t>
  </si>
  <si>
    <t>C</t>
  </si>
  <si>
    <t xml:space="preserve">Valores a Depositar                          </t>
  </si>
  <si>
    <t xml:space="preserve">Transfer. a Otro Banco-Pago de Haberes </t>
  </si>
  <si>
    <t>Sueldos</t>
  </si>
  <si>
    <t xml:space="preserve">Transferencia por Pago de Haberes </t>
  </si>
  <si>
    <t>Proveedores</t>
  </si>
  <si>
    <t>Pago de Servicios Ente: NATURGY BAN - BUENOS AIRES</t>
  </si>
  <si>
    <t>Com.certificacion firmas</t>
  </si>
  <si>
    <t>Comision E-CHEQ pagado por Clearing</t>
  </si>
  <si>
    <t>ECHEQ - Pago cheque de camara</t>
  </si>
  <si>
    <t>Arancel por Informe de Domino DOM Y TASA ARANCEL-C00435537</t>
  </si>
  <si>
    <t>Honorarios por Informes DOM Y TASA HONORARIO-C00435537</t>
  </si>
  <si>
    <t>Pago de Servicios Ente: ARBA INMOBILIARIO</t>
  </si>
  <si>
    <t>Pago de Servicios Ente: MUNICIPALIDAD TRES DE FEBRERO</t>
  </si>
  <si>
    <t>IVA - ALICUOTA INSCRIPTO REDUCIDA</t>
  </si>
  <si>
    <t>IVA09</t>
  </si>
  <si>
    <t>Imp. Sellos - Alcanzado - Buenos Aires</t>
  </si>
  <si>
    <t>SEBAI</t>
  </si>
  <si>
    <t>Intereses por Saldo Deudor</t>
  </si>
  <si>
    <t>Transferencia por Pago de Haberes Se acreditara en: 2 Cuentas</t>
  </si>
  <si>
    <t>Ajuste Rescate Fondo Comun de Inversion</t>
  </si>
  <si>
    <t>Com.pedido chequeras</t>
  </si>
  <si>
    <t>Servicio Modulo Pyme y Agro</t>
  </si>
  <si>
    <t>Comentarios</t>
  </si>
  <si>
    <t>Prestamos</t>
  </si>
  <si>
    <t>Descuentos y custodia</t>
  </si>
  <si>
    <t>Cobranzas (Ds. X Vtas)</t>
  </si>
  <si>
    <t>FCI</t>
  </si>
  <si>
    <t xml:space="preserve">Comisiones y Gastos Bancarios </t>
  </si>
  <si>
    <t>IMP. L.25413-DEB</t>
  </si>
  <si>
    <t xml:space="preserve">IVA DEB.FISCAL 27%   </t>
  </si>
  <si>
    <t>PERC. IVA</t>
  </si>
  <si>
    <t>SIRCREB</t>
  </si>
  <si>
    <t>Depósito de Ch. (Val. A Dep)</t>
  </si>
  <si>
    <t xml:space="preserve">Ctas Part. Socios                            </t>
  </si>
  <si>
    <t xml:space="preserve">Centro Médico Asist.                         </t>
  </si>
  <si>
    <t>OSDE PRESIDENTE</t>
  </si>
  <si>
    <t xml:space="preserve">Gas y Agua                                </t>
  </si>
  <si>
    <t>AGUA</t>
  </si>
  <si>
    <t xml:space="preserve">Impuestos y Tasa Varias                      </t>
  </si>
  <si>
    <t>Inmobiliario</t>
  </si>
  <si>
    <t xml:space="preserve">Tasa Serv Generales </t>
  </si>
  <si>
    <t>Debito/Credito Automatico - CNP Seguros CNP ASSURANCES-CNP</t>
  </si>
  <si>
    <t>Cobranzas</t>
  </si>
  <si>
    <t>Pago de Sueldos</t>
  </si>
  <si>
    <t>IVA DEB.FISCAL 10,5%</t>
  </si>
  <si>
    <t>Nº Cta</t>
  </si>
  <si>
    <t>Nombre Cuenta</t>
  </si>
  <si>
    <t>Clasificacion Concepto</t>
  </si>
  <si>
    <t>IVA Percepciones</t>
  </si>
  <si>
    <t>IMP. L.25413-DEB Y/O CRED</t>
  </si>
  <si>
    <t>Sueldos a pagar</t>
  </si>
  <si>
    <t>Caja</t>
  </si>
  <si>
    <t>Diferencia de Cambio FCI</t>
  </si>
  <si>
    <t xml:space="preserve">IVA Alícuota General          </t>
  </si>
  <si>
    <t>IVA Alícuota Reducida</t>
  </si>
  <si>
    <t xml:space="preserve">Deudores por Ventas   </t>
  </si>
  <si>
    <t>Servicio acreditaciones automaticas SERV ACRED AUTOMATIC-*</t>
  </si>
  <si>
    <t>Gestion de Documentos Diferidos</t>
  </si>
  <si>
    <t>Transfer. a Otro Banco-Pago de Haberes Se acreditara en 2 cuentas</t>
  </si>
  <si>
    <t>TESORERIA</t>
  </si>
  <si>
    <t>Transferencias Entre Ctas. Propias</t>
  </si>
  <si>
    <t>Depósito de Ch. (Val. A Dep - Gest.)</t>
  </si>
  <si>
    <t>OP/LIBRANZAS/RECIBOS</t>
  </si>
  <si>
    <t>IVA - Alic Adic RG 2408 Sobre Intereses</t>
  </si>
  <si>
    <t>Transferencia por Pago de Haberes Se acreditara en: 8 Cuentas</t>
  </si>
  <si>
    <t>+</t>
  </si>
  <si>
    <t>Saldo Inicial</t>
  </si>
  <si>
    <t>-</t>
  </si>
  <si>
    <t>Gastos Bancarios</t>
  </si>
  <si>
    <t>Saldo final</t>
  </si>
  <si>
    <t>IVA DEB.FISCAL 21%</t>
  </si>
  <si>
    <t>IMP.LEY 25413-S/CRED 6%</t>
  </si>
  <si>
    <t>PERC. ING. BRUTOS BS.AS.</t>
  </si>
  <si>
    <t>SUMATORIA</t>
  </si>
  <si>
    <t>Depósito de Cheques - Acred Valores</t>
  </si>
  <si>
    <t>Acreditaciones pendientes de Clasificar</t>
  </si>
  <si>
    <t>Débitos pendientes de Clasificar</t>
  </si>
  <si>
    <t>Debito/Credito Aut - Segurcoop Comercio SEGUR.SOCIO INT.COM.</t>
  </si>
  <si>
    <t>GASTOS</t>
  </si>
  <si>
    <t>PAGOS</t>
  </si>
  <si>
    <t>Grupo</t>
  </si>
  <si>
    <t>ACREDITACIONES</t>
  </si>
  <si>
    <t>Acreditación Préstamos Bancarios</t>
  </si>
  <si>
    <t>Liquidacion de Prestamo</t>
  </si>
  <si>
    <t>Pago Cuotas Préstamos Bancarios</t>
  </si>
  <si>
    <t>Comision Cheque Pagado por Clearing</t>
  </si>
  <si>
    <t>+/-</t>
  </si>
  <si>
    <t>30/11/2025</t>
  </si>
  <si>
    <t>28/11/2025</t>
  </si>
  <si>
    <t>Transferencia por Pago de Haberes Se acreditara en: 6 Cuentas</t>
  </si>
  <si>
    <t>27/11/2025</t>
  </si>
  <si>
    <t>26/11/2025</t>
  </si>
  <si>
    <t>25/11/2025</t>
  </si>
  <si>
    <t>20/11/2025</t>
  </si>
  <si>
    <t>19/11/2025</t>
  </si>
  <si>
    <t>18/11/2025</t>
  </si>
  <si>
    <t>17/11/2025</t>
  </si>
  <si>
    <t>14/11/2025</t>
  </si>
  <si>
    <t>13/11/2025</t>
  </si>
  <si>
    <t>11/11/2025</t>
  </si>
  <si>
    <t>10/11/2025</t>
  </si>
  <si>
    <t>07/11/2025</t>
  </si>
  <si>
    <t>05/11/2025</t>
  </si>
  <si>
    <t>04/11/2025</t>
  </si>
  <si>
    <t>03/11/2025</t>
  </si>
  <si>
    <t>11</t>
  </si>
  <si>
    <t xml:space="preserve">Transferencia Inmediata e/Ctas. Propias </t>
  </si>
  <si>
    <t xml:space="preserve">Nuevo Sistema de Creditos CTAS CREDITOS C M-BC  </t>
  </si>
  <si>
    <t>Deposito por caja en efectivo Filial</t>
  </si>
  <si>
    <t>Servicio acreditaciones automaticas SERV ACRED</t>
  </si>
  <si>
    <t xml:space="preserve">Comision por Transferencia B. INTERNET </t>
  </si>
  <si>
    <t>Comision por Transferencia Ident:</t>
  </si>
  <si>
    <t xml:space="preserve">Transfer. a Otro Banco-Distinto Titular Benef.: </t>
  </si>
  <si>
    <t>Debito/Credito Aut-ARCA Recaud. Previs. ARCA  EX AFIP)-</t>
  </si>
  <si>
    <t>Debito/Credito Aut-ARCA Recaud. Previs. AFIP-</t>
  </si>
  <si>
    <t>Debito/Credito Aut-AFIP Recaud. Previs. AFIP-</t>
  </si>
  <si>
    <t>Transf.Inmediata e/Ctas.Dist Tit.O/Bco 20888888880</t>
  </si>
  <si>
    <t>Transf. Interbanking - Distinto Titular VAR Ord.:30111111110-ZZZZZ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</si>
</sst>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_ * #,##0.00_ ;_ * \-#,##0.00_ ;_ * &quot;-&quot;??_ ;_ @_ "/>
    <numFmt numFmtId="165" formatCode="_-&quot;$&quot;\ * #,##0.00_-;\-&quot;$&quot;\ * #,##0.00_-;_-&quot;$&quot;\ * &quot;-&quot;??_-;_-@_-"/>
    <numFmt numFmtId="166" formatCode="_(* #,##0.00_);_(* \(#,##0.00\);_(* &quot;-&quot;??_);_(@_)"/>
    <numFmt numFmtId="167" formatCode="_-&quot;$&quot;* #,##0.00_-;\-&quot;$&quot;* #,##0.00_-;_-&quot;$&quot;* &quot;-&quot;??_-;_-@_-"/>
    <numFmt numFmtId="168" formatCode="_-* #,##0.00\ _€_-;\-* #,##0.00\ _€_-;_-* &quot;-&quot;??\ _€_-;_-@_-"/>
    <numFmt numFmtId="169" formatCode="#."/>
    <numFmt numFmtId="170" formatCode="_-* #,##0.00\ [$€-1]_-;\-* #,##0.00\ [$€-1]_-;_-* &quot;-&quot;??\ [$€-1]_-"/>
    <numFmt numFmtId="171" formatCode="#.00"/>
    <numFmt numFmtId="172" formatCode="\$#.00"/>
    <numFmt numFmtId="173" formatCode="_-* #,##0\ _$_-;\-* #,##0\ _$_-;_-* &quot;-&quot;\ _$_-;_-@_-"/>
    <numFmt numFmtId="174" formatCode="#,##0.00_ ;[Red]\-#,##0.00\ "/>
    <numFmt numFmtId="175" formatCode="0.0%"/>
    <numFmt numFmtId="176" formatCode="dd/mm/yy;@"/>
    <numFmt numFmtId="178" formatCode="%#.00"/>
    <numFmt numFmtId="179" formatCode="_-* #,##0.00\ _P_t_s_-;\-* #,##0.00\ _P_t_s_-;_-* &quot;-&quot;??\ _P_t_s_-;_-@_-"/>
    <numFmt numFmtId="180" formatCode="_-[$€-2]* #,##0.00_-;\-[$€-2]* #,##0.00_-;_-[$€-2]* &quot;-&quot;??_-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sansserif"/>
    </font>
    <font>
      <b/>
      <sz val="10"/>
      <color indexed="8"/>
      <name val="Verdana"/>
      <family val="2"/>
    </font>
    <font>
      <b/>
      <sz val="12"/>
      <color theme="7" tint="-0.249977111117893"/>
      <name val="Arial"/>
      <family val="2"/>
    </font>
    <font>
      <sz val="9"/>
      <color indexed="8"/>
      <name val="Verdana"/>
      <family val="2"/>
    </font>
    <font>
      <sz val="10"/>
      <name val="Arial"/>
      <family val="2"/>
    </font>
    <font>
      <b/>
      <sz val="10"/>
      <color indexed="8"/>
      <name val="sansserif"/>
    </font>
    <font>
      <sz val="8"/>
      <color indexed="8"/>
      <name val="MS Sans Serif"/>
      <family val="2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0"/>
      <name val="Arial"/>
      <family val="2"/>
    </font>
    <font>
      <i/>
      <sz val="8"/>
      <color theme="4" tint="-0.249977111117893"/>
      <name val="MS Sans Serif"/>
    </font>
    <font>
      <sz val="11"/>
      <name val="Calibri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2"/>
      <name val="Courier"/>
      <family val="3"/>
    </font>
    <font>
      <sz val="12"/>
      <name val="Times New Roman"/>
      <family val="1"/>
    </font>
    <font>
      <sz val="8"/>
      <color indexed="8"/>
      <name val="MS Sans Serif"/>
    </font>
    <font>
      <b/>
      <u/>
      <sz val="11"/>
      <color indexed="8"/>
      <name val="Calibri"/>
      <family val="2"/>
    </font>
    <font>
      <b/>
      <u/>
      <sz val="11"/>
      <color theme="1"/>
      <name val="Calibri"/>
      <family val="2"/>
      <scheme val="minor"/>
    </font>
    <font>
      <b/>
      <i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indexed="8"/>
      <name val="MS Sans Serif"/>
      <family val="2"/>
    </font>
    <font>
      <sz val="11"/>
      <color indexed="8"/>
      <name val="Calibri"/>
      <family val="2"/>
    </font>
    <font>
      <b/>
      <sz val="10"/>
      <color indexed="9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5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8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i/>
      <sz val="10"/>
      <color theme="1"/>
      <name val="Arial"/>
      <family val="2"/>
    </font>
    <font>
      <sz val="9"/>
      <color indexed="8"/>
      <name val="Verdana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1"/>
      <color indexed="17"/>
      <name val="Calibri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sz val="11"/>
      <color rgb="FF9C5700"/>
      <name val="Calibri"/>
      <family val="2"/>
      <scheme val="minor"/>
    </font>
    <font>
      <sz val="11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0"/>
      <name val="sansserif"/>
    </font>
    <font>
      <b/>
      <sz val="10"/>
      <color rgb="FF008080"/>
      <name val="Arial"/>
      <family val="2"/>
    </font>
    <font>
      <b/>
      <i/>
      <sz val="10"/>
      <name val="Arial"/>
      <family val="2"/>
    </font>
  </fonts>
  <fills count="6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747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CE4D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DEBF7"/>
        <bgColor indexed="64"/>
      </patternFill>
    </fill>
  </fills>
  <borders count="6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indexed="64"/>
      </right>
      <top/>
      <bottom/>
      <diagonal/>
    </border>
    <border>
      <left/>
      <right/>
      <top style="mediumDashDot">
        <color auto="1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DashDotDot">
        <color auto="1"/>
      </bottom>
      <diagonal/>
    </border>
    <border>
      <left style="thick">
        <color rgb="FF2AABA8"/>
      </left>
      <right style="thick">
        <color rgb="FF2AABA8"/>
      </right>
      <top style="thick">
        <color rgb="FF2AABA8"/>
      </top>
      <bottom style="thick">
        <color rgb="FF2AABA8"/>
      </bottom>
      <diagonal/>
    </border>
    <border>
      <left/>
      <right/>
      <top/>
      <bottom style="mediumDashDot">
        <color auto="1"/>
      </bottom>
      <diagonal/>
    </border>
  </borders>
  <cellStyleXfs count="7608">
    <xf numFmtId="0" fontId="0" fillId="0" borderId="0"/>
    <xf numFmtId="166" fontId="21" fillId="0" borderId="0" applyFon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>
      <protection locked="0"/>
    </xf>
    <xf numFmtId="0" fontId="16" fillId="0" borderId="0"/>
    <xf numFmtId="166" fontId="16" fillId="0" borderId="0" applyFont="0" applyFill="0" applyBorder="0" applyAlignment="0" applyProtection="0"/>
    <xf numFmtId="0" fontId="15" fillId="0" borderId="0"/>
    <xf numFmtId="0" fontId="23" fillId="0" borderId="0">
      <protection locked="0"/>
    </xf>
    <xf numFmtId="0" fontId="23" fillId="0" borderId="0">
      <protection locked="0"/>
    </xf>
    <xf numFmtId="9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16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0" fillId="0" borderId="0">
      <protection locked="0"/>
    </xf>
    <xf numFmtId="169" fontId="31" fillId="0" borderId="0">
      <protection locked="0"/>
    </xf>
    <xf numFmtId="169" fontId="31" fillId="0" borderId="0">
      <protection locked="0"/>
    </xf>
    <xf numFmtId="170" fontId="16" fillId="0" borderId="0" applyFont="0" applyFill="0" applyBorder="0" applyAlignment="0" applyProtection="0"/>
    <xf numFmtId="170" fontId="16" fillId="0" borderId="0" applyFont="0" applyFill="0" applyBorder="0" applyAlignment="0" applyProtection="0"/>
    <xf numFmtId="171" fontId="30" fillId="0" borderId="0">
      <protection locked="0"/>
    </xf>
    <xf numFmtId="4" fontId="30" fillId="0" borderId="0">
      <protection locked="0"/>
    </xf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65" fontId="15" fillId="0" borderId="0" applyFont="0" applyFill="0" applyBorder="0" applyAlignment="0" applyProtection="0"/>
    <xf numFmtId="172" fontId="30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16" fillId="0" borderId="0"/>
    <xf numFmtId="0" fontId="16" fillId="0" borderId="0"/>
    <xf numFmtId="0" fontId="23" fillId="0" borderId="0">
      <protection locked="0"/>
    </xf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>
      <protection locked="0"/>
    </xf>
    <xf numFmtId="0" fontId="23" fillId="0" borderId="0">
      <protection locked="0"/>
    </xf>
    <xf numFmtId="0" fontId="16" fillId="0" borderId="0"/>
    <xf numFmtId="0" fontId="16" fillId="0" borderId="0"/>
    <xf numFmtId="0" fontId="34" fillId="0" borderId="0">
      <protection locked="0"/>
    </xf>
    <xf numFmtId="0" fontId="15" fillId="0" borderId="0"/>
    <xf numFmtId="0" fontId="15" fillId="0" borderId="0"/>
    <xf numFmtId="0" fontId="15" fillId="0" borderId="0"/>
    <xf numFmtId="0" fontId="34" fillId="0" borderId="0">
      <protection locked="0"/>
    </xf>
    <xf numFmtId="0" fontId="15" fillId="0" borderId="0"/>
    <xf numFmtId="0" fontId="15" fillId="0" borderId="0"/>
    <xf numFmtId="0" fontId="15" fillId="0" borderId="0"/>
    <xf numFmtId="0" fontId="16" fillId="0" borderId="0"/>
    <xf numFmtId="0" fontId="32" fillId="0" borderId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23" fillId="0" borderId="0">
      <protection locked="0"/>
    </xf>
    <xf numFmtId="0" fontId="23" fillId="0" borderId="0">
      <protection locked="0"/>
    </xf>
    <xf numFmtId="0" fontId="16" fillId="0" borderId="0" applyNumberFormat="0" applyFill="0" applyBorder="0" applyAlignment="0" applyProtection="0"/>
    <xf numFmtId="0" fontId="15" fillId="0" borderId="0"/>
    <xf numFmtId="0" fontId="16" fillId="0" borderId="0"/>
    <xf numFmtId="0" fontId="23" fillId="0" borderId="0">
      <protection locked="0"/>
    </xf>
    <xf numFmtId="0" fontId="23" fillId="0" borderId="0">
      <protection locked="0"/>
    </xf>
    <xf numFmtId="0" fontId="15" fillId="0" borderId="0"/>
    <xf numFmtId="0" fontId="23" fillId="0" borderId="0">
      <protection locked="0"/>
    </xf>
    <xf numFmtId="0" fontId="16" fillId="0" borderId="0"/>
    <xf numFmtId="0" fontId="32" fillId="0" borderId="0"/>
    <xf numFmtId="0" fontId="16" fillId="0" borderId="0"/>
    <xf numFmtId="0" fontId="32" fillId="0" borderId="0"/>
    <xf numFmtId="173" fontId="32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16" fillId="0" borderId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4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4" fillId="0" borderId="0" applyFont="0" applyFill="0" applyBorder="0" applyAlignment="0" applyProtection="0"/>
    <xf numFmtId="167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165" fontId="14" fillId="0" borderId="0" applyFont="0" applyFill="0" applyBorder="0" applyAlignment="0" applyProtection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0" borderId="0"/>
    <xf numFmtId="43" fontId="16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3" fillId="0" borderId="0" applyFont="0" applyFill="0" applyBorder="0" applyAlignment="0" applyProtection="0"/>
    <xf numFmtId="167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165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2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2" fillId="0" borderId="0" applyFont="0" applyFill="0" applyBorder="0" applyAlignment="0" applyProtection="0"/>
    <xf numFmtId="167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9" fontId="47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7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41" fillId="0" borderId="0"/>
    <xf numFmtId="0" fontId="11" fillId="0" borderId="0"/>
    <xf numFmtId="0" fontId="50" fillId="0" borderId="0"/>
    <xf numFmtId="0" fontId="11" fillId="0" borderId="0"/>
    <xf numFmtId="43" fontId="16" fillId="0" borderId="0" applyFont="0" applyFill="0" applyBorder="0" applyAlignment="0" applyProtection="0"/>
    <xf numFmtId="0" fontId="11" fillId="0" borderId="0"/>
    <xf numFmtId="0" fontId="41" fillId="11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4" borderId="0" applyNumberFormat="0" applyBorder="0" applyAlignment="0" applyProtection="0"/>
    <xf numFmtId="0" fontId="41" fillId="10" borderId="0" applyNumberFormat="0" applyBorder="0" applyAlignment="0" applyProtection="0"/>
    <xf numFmtId="0" fontId="41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9" borderId="0" applyNumberFormat="0" applyBorder="0" applyAlignment="0" applyProtection="0"/>
    <xf numFmtId="0" fontId="41" fillId="17" borderId="0" applyNumberFormat="0" applyBorder="0" applyAlignment="0" applyProtection="0"/>
    <xf numFmtId="0" fontId="41" fillId="14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9" borderId="0" applyNumberFormat="0" applyBorder="0" applyAlignment="0" applyProtection="0"/>
    <xf numFmtId="0" fontId="51" fillId="17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2" borderId="0" applyNumberFormat="0" applyBorder="0" applyAlignment="0" applyProtection="0"/>
    <xf numFmtId="0" fontId="52" fillId="8" borderId="17" applyNumberFormat="0" applyAlignment="0" applyProtection="0"/>
    <xf numFmtId="0" fontId="53" fillId="23" borderId="18" applyNumberFormat="0" applyAlignment="0" applyProtection="0"/>
    <xf numFmtId="0" fontId="54" fillId="0" borderId="19" applyNumberFormat="0" applyFill="0" applyAlignment="0" applyProtection="0"/>
    <xf numFmtId="0" fontId="55" fillId="0" borderId="20" applyNumberFormat="0" applyFill="0" applyAlignment="0" applyProtection="0"/>
    <xf numFmtId="0" fontId="55" fillId="0" borderId="20" applyNumberFormat="0" applyFill="0" applyAlignment="0" applyProtection="0"/>
    <xf numFmtId="0" fontId="56" fillId="0" borderId="0" applyNumberFormat="0" applyFill="0" applyBorder="0" applyAlignment="0" applyProtection="0"/>
    <xf numFmtId="0" fontId="51" fillId="24" borderId="0" applyNumberFormat="0" applyBorder="0" applyAlignment="0" applyProtection="0"/>
    <xf numFmtId="0" fontId="51" fillId="25" borderId="0" applyNumberFormat="0" applyBorder="0" applyAlignment="0" applyProtection="0"/>
    <xf numFmtId="0" fontId="51" fillId="26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7" borderId="0" applyNumberFormat="0" applyBorder="0" applyAlignment="0" applyProtection="0"/>
    <xf numFmtId="0" fontId="57" fillId="15" borderId="17" applyNumberFormat="0" applyAlignment="0" applyProtection="0"/>
    <xf numFmtId="0" fontId="58" fillId="12" borderId="0" applyNumberFormat="0" applyBorder="0" applyAlignment="0" applyProtection="0"/>
    <xf numFmtId="0" fontId="59" fillId="28" borderId="0" applyNumberFormat="0" applyBorder="0" applyAlignment="0" applyProtection="0"/>
    <xf numFmtId="0" fontId="16" fillId="0" borderId="0"/>
    <xf numFmtId="0" fontId="16" fillId="0" borderId="0"/>
    <xf numFmtId="0" fontId="23" fillId="0" borderId="0">
      <protection locked="0"/>
    </xf>
    <xf numFmtId="0" fontId="32" fillId="0" borderId="0"/>
    <xf numFmtId="0" fontId="60" fillId="0" borderId="0"/>
    <xf numFmtId="0" fontId="16" fillId="0" borderId="0"/>
    <xf numFmtId="0" fontId="32" fillId="0" borderId="0"/>
    <xf numFmtId="173" fontId="32" fillId="0" borderId="0"/>
    <xf numFmtId="0" fontId="11" fillId="0" borderId="0"/>
    <xf numFmtId="0" fontId="11" fillId="0" borderId="0"/>
    <xf numFmtId="0" fontId="11" fillId="0" borderId="0"/>
    <xf numFmtId="0" fontId="16" fillId="0" borderId="0"/>
    <xf numFmtId="0" fontId="41" fillId="29" borderId="21" applyNumberFormat="0" applyFont="0" applyAlignment="0" applyProtection="0"/>
    <xf numFmtId="178" fontId="30" fillId="0" borderId="0">
      <protection locked="0"/>
    </xf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61" fillId="8" borderId="22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23" applyNumberFormat="0" applyFill="0" applyAlignment="0" applyProtection="0"/>
    <xf numFmtId="0" fontId="56" fillId="0" borderId="24" applyNumberFormat="0" applyFill="0" applyAlignment="0" applyProtection="0"/>
    <xf numFmtId="0" fontId="65" fillId="0" borderId="0" applyNumberFormat="0" applyFill="0" applyBorder="0" applyAlignment="0" applyProtection="0"/>
    <xf numFmtId="0" fontId="49" fillId="0" borderId="25" applyNumberFormat="0" applyFill="0" applyAlignment="0" applyProtection="0"/>
    <xf numFmtId="0" fontId="16" fillId="0" borderId="0" applyNumberFormat="0" applyFill="0" applyBorder="0" applyAlignment="0" applyProtection="0"/>
    <xf numFmtId="43" fontId="11" fillId="0" borderId="0" applyFont="0" applyFill="0" applyBorder="0" applyAlignment="0" applyProtection="0"/>
    <xf numFmtId="0" fontId="60" fillId="0" borderId="0"/>
    <xf numFmtId="0" fontId="11" fillId="0" borderId="0"/>
    <xf numFmtId="0" fontId="16" fillId="0" borderId="0"/>
    <xf numFmtId="0" fontId="11" fillId="0" borderId="0"/>
    <xf numFmtId="0" fontId="23" fillId="0" borderId="0">
      <protection locked="0"/>
    </xf>
    <xf numFmtId="0" fontId="11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56" fillId="0" borderId="24" applyNumberFormat="0" applyFill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23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8" fontId="16" fillId="0" borderId="0" applyFont="0" applyFill="0" applyBorder="0" applyAlignment="0" applyProtection="0"/>
    <xf numFmtId="0" fontId="11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7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6" fillId="0" borderId="0"/>
    <xf numFmtId="0" fontId="11" fillId="0" borderId="0"/>
    <xf numFmtId="9" fontId="16" fillId="0" borderId="0"/>
    <xf numFmtId="0" fontId="11" fillId="0" borderId="0"/>
    <xf numFmtId="0" fontId="11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23" fillId="0" borderId="0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23" fillId="0" borderId="0">
      <protection locked="0"/>
    </xf>
    <xf numFmtId="0" fontId="16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" fillId="0" borderId="0"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3" fillId="0" borderId="0">
      <protection locked="0"/>
    </xf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1" fillId="0" borderId="0" applyFont="0" applyFill="0" applyBorder="0" applyAlignment="0" applyProtection="0"/>
    <xf numFmtId="167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47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9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5" fontId="8" fillId="0" borderId="0" applyFont="0" applyFill="0" applyBorder="0" applyAlignment="0" applyProtection="0"/>
    <xf numFmtId="0" fontId="68" fillId="0" borderId="0" applyNumberFormat="0" applyFill="0" applyBorder="0" applyAlignment="0" applyProtection="0"/>
    <xf numFmtId="0" fontId="16" fillId="0" borderId="0"/>
    <xf numFmtId="0" fontId="70" fillId="0" borderId="0"/>
    <xf numFmtId="0" fontId="70" fillId="0" borderId="0"/>
    <xf numFmtId="180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0" fontId="69" fillId="0" borderId="0"/>
    <xf numFmtId="9" fontId="16" fillId="0" borderId="0" applyFont="0" applyFill="0" applyBorder="0" applyAlignment="0" applyProtection="0"/>
    <xf numFmtId="0" fontId="68" fillId="2" borderId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1" borderId="0" applyNumberFormat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34" borderId="0" applyNumberFormat="0" applyBorder="0" applyAlignment="0" applyProtection="0"/>
    <xf numFmtId="0" fontId="41" fillId="37" borderId="0" applyNumberFormat="0" applyBorder="0" applyAlignment="0" applyProtection="0"/>
    <xf numFmtId="0" fontId="41" fillId="40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39" borderId="0" applyNumberFormat="0" applyBorder="0" applyAlignment="0" applyProtection="0"/>
    <xf numFmtId="0" fontId="41" fillId="34" borderId="0" applyNumberFormat="0" applyBorder="0" applyAlignment="0" applyProtection="0"/>
    <xf numFmtId="0" fontId="41" fillId="34" borderId="0" applyNumberFormat="0" applyBorder="0" applyAlignment="0" applyProtection="0"/>
    <xf numFmtId="0" fontId="41" fillId="37" borderId="0" applyNumberFormat="0" applyBorder="0" applyAlignment="0" applyProtection="0"/>
    <xf numFmtId="0" fontId="41" fillId="37" borderId="0" applyNumberFormat="0" applyBorder="0" applyAlignment="0" applyProtection="0"/>
    <xf numFmtId="0" fontId="41" fillId="40" borderId="0" applyNumberFormat="0" applyBorder="0" applyAlignment="0" applyProtection="0"/>
    <xf numFmtId="0" fontId="41" fillId="40" borderId="0" applyNumberFormat="0" applyBorder="0" applyAlignment="0" applyProtection="0"/>
    <xf numFmtId="0" fontId="51" fillId="41" borderId="0" applyNumberFormat="0" applyBorder="0" applyAlignment="0" applyProtection="0"/>
    <xf numFmtId="0" fontId="51" fillId="38" borderId="0" applyNumberFormat="0" applyBorder="0" applyAlignment="0" applyProtection="0"/>
    <xf numFmtId="0" fontId="51" fillId="39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1" borderId="0" applyNumberFormat="0" applyBorder="0" applyAlignment="0" applyProtection="0"/>
    <xf numFmtId="0" fontId="51" fillId="41" borderId="0" applyNumberFormat="0" applyBorder="0" applyAlignment="0" applyProtection="0"/>
    <xf numFmtId="0" fontId="51" fillId="38" borderId="0" applyNumberFormat="0" applyBorder="0" applyAlignment="0" applyProtection="0"/>
    <xf numFmtId="0" fontId="51" fillId="38" borderId="0" applyNumberFormat="0" applyBorder="0" applyAlignment="0" applyProtection="0"/>
    <xf numFmtId="0" fontId="51" fillId="39" borderId="0" applyNumberFormat="0" applyBorder="0" applyAlignment="0" applyProtection="0"/>
    <xf numFmtId="0" fontId="51" fillId="39" borderId="0" applyNumberFormat="0" applyBorder="0" applyAlignment="0" applyProtection="0"/>
    <xf numFmtId="0" fontId="51" fillId="42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3" borderId="0" applyNumberFormat="0" applyBorder="0" applyAlignment="0" applyProtection="0"/>
    <xf numFmtId="0" fontId="51" fillId="44" borderId="0" applyNumberFormat="0" applyBorder="0" applyAlignment="0" applyProtection="0"/>
    <xf numFmtId="0" fontId="51" fillId="44" borderId="0" applyNumberFormat="0" applyBorder="0" applyAlignment="0" applyProtection="0"/>
    <xf numFmtId="0" fontId="51" fillId="45" borderId="0" applyNumberFormat="0" applyBorder="0" applyAlignment="0" applyProtection="0"/>
    <xf numFmtId="0" fontId="51" fillId="46" borderId="0" applyNumberFormat="0" applyBorder="0" applyAlignment="0" applyProtection="0"/>
    <xf numFmtId="0" fontId="51" fillId="47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8" borderId="0" applyNumberFormat="0" applyBorder="0" applyAlignment="0" applyProtection="0"/>
    <xf numFmtId="0" fontId="58" fillId="32" borderId="0" applyNumberFormat="0" applyBorder="0" applyAlignment="0" applyProtection="0"/>
    <xf numFmtId="0" fontId="71" fillId="33" borderId="0" applyNumberFormat="0" applyBorder="0" applyAlignment="0" applyProtection="0"/>
    <xf numFmtId="0" fontId="71" fillId="33" borderId="0" applyNumberFormat="0" applyBorder="0" applyAlignment="0" applyProtection="0"/>
    <xf numFmtId="0" fontId="52" fillId="49" borderId="17" applyNumberFormat="0" applyAlignment="0" applyProtection="0"/>
    <xf numFmtId="0" fontId="52" fillId="49" borderId="17" applyNumberFormat="0" applyAlignment="0" applyProtection="0"/>
    <xf numFmtId="0" fontId="52" fillId="49" borderId="17" applyNumberFormat="0" applyAlignment="0" applyProtection="0"/>
    <xf numFmtId="0" fontId="53" fillId="50" borderId="18" applyNumberFormat="0" applyAlignment="0" applyProtection="0"/>
    <xf numFmtId="0" fontId="53" fillId="50" borderId="18" applyNumberFormat="0" applyAlignment="0" applyProtection="0"/>
    <xf numFmtId="0" fontId="54" fillId="0" borderId="19" applyNumberFormat="0" applyFill="0" applyAlignment="0" applyProtection="0"/>
    <xf numFmtId="0" fontId="53" fillId="50" borderId="18" applyNumberFormat="0" applyAlignment="0" applyProtection="0"/>
    <xf numFmtId="0" fontId="56" fillId="0" borderId="0" applyNumberFormat="0" applyFill="0" applyBorder="0" applyAlignment="0" applyProtection="0"/>
    <xf numFmtId="0" fontId="51" fillId="45" borderId="0" applyNumberFormat="0" applyBorder="0" applyAlignment="0" applyProtection="0"/>
    <xf numFmtId="0" fontId="51" fillId="45" borderId="0" applyNumberFormat="0" applyBorder="0" applyAlignment="0" applyProtection="0"/>
    <xf numFmtId="0" fontId="51" fillId="46" borderId="0" applyNumberFormat="0" applyBorder="0" applyAlignment="0" applyProtection="0"/>
    <xf numFmtId="0" fontId="51" fillId="46" borderId="0" applyNumberFormat="0" applyBorder="0" applyAlignment="0" applyProtection="0"/>
    <xf numFmtId="0" fontId="51" fillId="47" borderId="0" applyNumberFormat="0" applyBorder="0" applyAlignment="0" applyProtection="0"/>
    <xf numFmtId="0" fontId="51" fillId="47" borderId="0" applyNumberFormat="0" applyBorder="0" applyAlignment="0" applyProtection="0"/>
    <xf numFmtId="0" fontId="51" fillId="42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3" borderId="0" applyNumberFormat="0" applyBorder="0" applyAlignment="0" applyProtection="0"/>
    <xf numFmtId="0" fontId="51" fillId="48" borderId="0" applyNumberFormat="0" applyBorder="0" applyAlignment="0" applyProtection="0"/>
    <xf numFmtId="0" fontId="51" fillId="48" borderId="0" applyNumberFormat="0" applyBorder="0" applyAlignment="0" applyProtection="0"/>
    <xf numFmtId="0" fontId="57" fillId="36" borderId="17" applyNumberFormat="0" applyAlignment="0" applyProtection="0"/>
    <xf numFmtId="0" fontId="57" fillId="36" borderId="17" applyNumberFormat="0" applyAlignment="0" applyProtection="0"/>
    <xf numFmtId="0" fontId="63" fillId="0" borderId="0" applyNumberFormat="0" applyFill="0" applyBorder="0" applyAlignment="0" applyProtection="0"/>
    <xf numFmtId="0" fontId="71" fillId="33" borderId="0" applyNumberFormat="0" applyBorder="0" applyAlignment="0" applyProtection="0"/>
    <xf numFmtId="0" fontId="55" fillId="0" borderId="20" applyNumberFormat="0" applyFill="0" applyAlignment="0" applyProtection="0"/>
    <xf numFmtId="0" fontId="64" fillId="0" borderId="23" applyNumberFormat="0" applyFill="0" applyAlignment="0" applyProtection="0"/>
    <xf numFmtId="0" fontId="56" fillId="0" borderId="24" applyNumberFormat="0" applyFill="0" applyAlignment="0" applyProtection="0"/>
    <xf numFmtId="0" fontId="56" fillId="0" borderId="0" applyNumberFormat="0" applyFill="0" applyBorder="0" applyAlignment="0" applyProtection="0"/>
    <xf numFmtId="0" fontId="58" fillId="32" borderId="0" applyNumberFormat="0" applyBorder="0" applyAlignment="0" applyProtection="0"/>
    <xf numFmtId="0" fontId="58" fillId="32" borderId="0" applyNumberFormat="0" applyBorder="0" applyAlignment="0" applyProtection="0"/>
    <xf numFmtId="0" fontId="57" fillId="36" borderId="17" applyNumberFormat="0" applyAlignment="0" applyProtection="0"/>
    <xf numFmtId="0" fontId="54" fillId="0" borderId="19" applyNumberFormat="0" applyFill="0" applyAlignment="0" applyProtection="0"/>
    <xf numFmtId="0" fontId="59" fillId="51" borderId="0" applyNumberFormat="0" applyBorder="0" applyAlignment="0" applyProtection="0"/>
    <xf numFmtId="0" fontId="59" fillId="51" borderId="0" applyNumberFormat="0" applyBorder="0" applyAlignment="0" applyProtection="0"/>
    <xf numFmtId="0" fontId="16" fillId="0" borderId="0"/>
    <xf numFmtId="0" fontId="16" fillId="0" borderId="0"/>
    <xf numFmtId="0" fontId="16" fillId="52" borderId="21" applyNumberFormat="0" applyFont="0" applyAlignment="0" applyProtection="0"/>
    <xf numFmtId="0" fontId="16" fillId="52" borderId="21" applyNumberFormat="0" applyFont="0" applyAlignment="0" applyProtection="0"/>
    <xf numFmtId="0" fontId="16" fillId="52" borderId="21" applyNumberFormat="0" applyFont="0" applyAlignment="0" applyProtection="0"/>
    <xf numFmtId="0" fontId="61" fillId="49" borderId="22" applyNumberFormat="0" applyAlignment="0" applyProtection="0"/>
    <xf numFmtId="0" fontId="61" fillId="49" borderId="22" applyNumberFormat="0" applyAlignment="0" applyProtection="0"/>
    <xf numFmtId="0" fontId="61" fillId="49" borderId="22" applyNumberFormat="0" applyAlignment="0" applyProtection="0"/>
    <xf numFmtId="0" fontId="62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55" fillId="0" borderId="20" applyNumberFormat="0" applyFill="0" applyAlignment="0" applyProtection="0"/>
    <xf numFmtId="0" fontId="55" fillId="0" borderId="20" applyNumberFormat="0" applyFill="0" applyAlignment="0" applyProtection="0"/>
    <xf numFmtId="0" fontId="64" fillId="0" borderId="23" applyNumberFormat="0" applyFill="0" applyAlignment="0" applyProtection="0"/>
    <xf numFmtId="0" fontId="56" fillId="0" borderId="24" applyNumberFormat="0" applyFill="0" applyAlignment="0" applyProtection="0"/>
    <xf numFmtId="0" fontId="65" fillId="0" borderId="0" applyNumberFormat="0" applyFill="0" applyBorder="0" applyAlignment="0" applyProtection="0"/>
    <xf numFmtId="0" fontId="49" fillId="0" borderId="25" applyNumberFormat="0" applyFill="0" applyAlignment="0" applyProtection="0"/>
    <xf numFmtId="0" fontId="62" fillId="0" borderId="0" applyNumberFormat="0" applyFill="0" applyBorder="0" applyAlignment="0" applyProtection="0"/>
    <xf numFmtId="0" fontId="8" fillId="0" borderId="0"/>
    <xf numFmtId="0" fontId="1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16" fillId="0" borderId="0" applyNumberFormat="0" applyFill="0" applyBorder="0" applyAlignment="0" applyProtection="0"/>
    <xf numFmtId="9" fontId="8" fillId="0" borderId="0" applyFont="0" applyFill="0" applyBorder="0" applyAlignment="0" applyProtection="0"/>
    <xf numFmtId="170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43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23" fillId="0" borderId="0">
      <protection locked="0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73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23" fillId="0" borderId="0">
      <protection locked="0"/>
    </xf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16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1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6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41" fillId="11" borderId="0" applyNumberFormat="0" applyBorder="0" applyAlignment="0" applyProtection="0"/>
    <xf numFmtId="0" fontId="41" fillId="12" borderId="0" applyNumberFormat="0" applyBorder="0" applyAlignment="0" applyProtection="0"/>
    <xf numFmtId="0" fontId="41" fillId="13" borderId="0" applyNumberFormat="0" applyBorder="0" applyAlignment="0" applyProtection="0"/>
    <xf numFmtId="0" fontId="41" fillId="14" borderId="0" applyNumberFormat="0" applyBorder="0" applyAlignment="0" applyProtection="0"/>
    <xf numFmtId="0" fontId="41" fillId="10" borderId="0" applyNumberFormat="0" applyBorder="0" applyAlignment="0" applyProtection="0"/>
    <xf numFmtId="0" fontId="41" fillId="15" borderId="0" applyNumberFormat="0" applyBorder="0" applyAlignment="0" applyProtection="0"/>
    <xf numFmtId="0" fontId="41" fillId="16" borderId="0" applyNumberFormat="0" applyBorder="0" applyAlignment="0" applyProtection="0"/>
    <xf numFmtId="0" fontId="41" fillId="9" borderId="0" applyNumberFormat="0" applyBorder="0" applyAlignment="0" applyProtection="0"/>
    <xf numFmtId="0" fontId="41" fillId="17" borderId="0" applyNumberFormat="0" applyBorder="0" applyAlignment="0" applyProtection="0"/>
    <xf numFmtId="0" fontId="41" fillId="14" borderId="0" applyNumberFormat="0" applyBorder="0" applyAlignment="0" applyProtection="0"/>
    <xf numFmtId="0" fontId="41" fillId="16" borderId="0" applyNumberFormat="0" applyBorder="0" applyAlignment="0" applyProtection="0"/>
    <xf numFmtId="0" fontId="41" fillId="18" borderId="0" applyNumberFormat="0" applyBorder="0" applyAlignment="0" applyProtection="0"/>
    <xf numFmtId="0" fontId="51" fillId="19" borderId="0" applyNumberFormat="0" applyBorder="0" applyAlignment="0" applyProtection="0"/>
    <xf numFmtId="0" fontId="51" fillId="9" borderId="0" applyNumberFormat="0" applyBorder="0" applyAlignment="0" applyProtection="0"/>
    <xf numFmtId="0" fontId="51" fillId="17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2" borderId="0" applyNumberFormat="0" applyBorder="0" applyAlignment="0" applyProtection="0"/>
    <xf numFmtId="0" fontId="52" fillId="8" borderId="17" applyNumberFormat="0" applyAlignment="0" applyProtection="0"/>
    <xf numFmtId="0" fontId="53" fillId="23" borderId="18" applyNumberFormat="0" applyAlignment="0" applyProtection="0"/>
    <xf numFmtId="0" fontId="51" fillId="24" borderId="0" applyNumberFormat="0" applyBorder="0" applyAlignment="0" applyProtection="0"/>
    <xf numFmtId="0" fontId="51" fillId="25" borderId="0" applyNumberFormat="0" applyBorder="0" applyAlignment="0" applyProtection="0"/>
    <xf numFmtId="0" fontId="51" fillId="26" borderId="0" applyNumberFormat="0" applyBorder="0" applyAlignment="0" applyProtection="0"/>
    <xf numFmtId="0" fontId="51" fillId="20" borderId="0" applyNumberFormat="0" applyBorder="0" applyAlignment="0" applyProtection="0"/>
    <xf numFmtId="0" fontId="51" fillId="21" borderId="0" applyNumberFormat="0" applyBorder="0" applyAlignment="0" applyProtection="0"/>
    <xf numFmtId="0" fontId="51" fillId="27" borderId="0" applyNumberFormat="0" applyBorder="0" applyAlignment="0" applyProtection="0"/>
    <xf numFmtId="0" fontId="57" fillId="15" borderId="17" applyNumberFormat="0" applyAlignment="0" applyProtection="0"/>
    <xf numFmtId="0" fontId="58" fillId="12" borderId="0" applyNumberFormat="0" applyBorder="0" applyAlignment="0" applyProtection="0"/>
    <xf numFmtId="0" fontId="59" fillId="28" borderId="0" applyNumberFormat="0" applyBorder="0" applyAlignment="0" applyProtection="0"/>
    <xf numFmtId="0" fontId="16" fillId="0" borderId="0"/>
    <xf numFmtId="0" fontId="8" fillId="0" borderId="0"/>
    <xf numFmtId="0" fontId="8" fillId="0" borderId="0"/>
    <xf numFmtId="0" fontId="8" fillId="0" borderId="0"/>
    <xf numFmtId="0" fontId="16" fillId="0" borderId="0"/>
    <xf numFmtId="0" fontId="41" fillId="29" borderId="21" applyNumberFormat="0" applyFont="0" applyAlignment="0" applyProtection="0"/>
    <xf numFmtId="0" fontId="61" fillId="8" borderId="22" applyNumberFormat="0" applyAlignment="0" applyProtection="0"/>
    <xf numFmtId="43" fontId="8" fillId="0" borderId="0" applyFont="0" applyFill="0" applyBorder="0" applyAlignment="0" applyProtection="0"/>
    <xf numFmtId="0" fontId="8" fillId="0" borderId="0"/>
    <xf numFmtId="0" fontId="16" fillId="0" borderId="0"/>
    <xf numFmtId="0" fontId="8" fillId="0" borderId="0"/>
    <xf numFmtId="0" fontId="8" fillId="0" borderId="0"/>
    <xf numFmtId="43" fontId="16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23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8" fontId="16" fillId="0" borderId="0" applyFont="0" applyFill="0" applyBorder="0" applyAlignment="0" applyProtection="0"/>
    <xf numFmtId="0" fontId="8" fillId="0" borderId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167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16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7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7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2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2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7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7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165" fontId="7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43" fontId="16" fillId="0" borderId="0" applyFont="0" applyFill="0" applyBorder="0" applyAlignment="0" applyProtection="0"/>
    <xf numFmtId="0" fontId="7" fillId="0" borderId="0"/>
    <xf numFmtId="0" fontId="75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41" fillId="31" borderId="0" applyNumberFormat="0" applyBorder="0" applyAlignment="0" applyProtection="0"/>
    <xf numFmtId="0" fontId="41" fillId="32" borderId="0" applyNumberFormat="0" applyBorder="0" applyAlignment="0" applyProtection="0"/>
    <xf numFmtId="0" fontId="41" fillId="33" borderId="0" applyNumberFormat="0" applyBorder="0" applyAlignment="0" applyProtection="0"/>
    <xf numFmtId="0" fontId="41" fillId="34" borderId="0" applyNumberFormat="0" applyBorder="0" applyAlignment="0" applyProtection="0"/>
    <xf numFmtId="0" fontId="41" fillId="35" borderId="0" applyNumberFormat="0" applyBorder="0" applyAlignment="0" applyProtection="0"/>
    <xf numFmtId="0" fontId="41" fillId="36" borderId="0" applyNumberFormat="0" applyBorder="0" applyAlignment="0" applyProtection="0"/>
    <xf numFmtId="0" fontId="41" fillId="37" borderId="0" applyNumberFormat="0" applyBorder="0" applyAlignment="0" applyProtection="0"/>
    <xf numFmtId="0" fontId="41" fillId="38" borderId="0" applyNumberFormat="0" applyBorder="0" applyAlignment="0" applyProtection="0"/>
    <xf numFmtId="0" fontId="41" fillId="39" borderId="0" applyNumberFormat="0" applyBorder="0" applyAlignment="0" applyProtection="0"/>
    <xf numFmtId="0" fontId="41" fillId="34" borderId="0" applyNumberFormat="0" applyBorder="0" applyAlignment="0" applyProtection="0"/>
    <xf numFmtId="0" fontId="41" fillId="37" borderId="0" applyNumberFormat="0" applyBorder="0" applyAlignment="0" applyProtection="0"/>
    <xf numFmtId="0" fontId="41" fillId="40" borderId="0" applyNumberFormat="0" applyBorder="0" applyAlignment="0" applyProtection="0"/>
    <xf numFmtId="0" fontId="7" fillId="55" borderId="0" applyNumberFormat="0" applyBorder="0" applyAlignment="0" applyProtection="0"/>
    <xf numFmtId="0" fontId="7" fillId="56" borderId="0" applyNumberFormat="0" applyBorder="0" applyAlignment="0" applyProtection="0"/>
    <xf numFmtId="0" fontId="7" fillId="57" borderId="0" applyNumberFormat="0" applyBorder="0" applyAlignment="0" applyProtection="0"/>
    <xf numFmtId="0" fontId="7" fillId="58" borderId="0" applyNumberFormat="0" applyBorder="0" applyAlignment="0" applyProtection="0"/>
    <xf numFmtId="0" fontId="7" fillId="59" borderId="0" applyNumberFormat="0" applyBorder="0" applyAlignment="0" applyProtection="0"/>
    <xf numFmtId="0" fontId="7" fillId="60" borderId="0" applyNumberFormat="0" applyBorder="0" applyAlignment="0" applyProtection="0"/>
    <xf numFmtId="0" fontId="52" fillId="49" borderId="17" applyNumberFormat="0" applyAlignment="0" applyProtection="0"/>
    <xf numFmtId="0" fontId="53" fillId="50" borderId="18" applyNumberFormat="0" applyAlignment="0" applyProtection="0"/>
    <xf numFmtId="0" fontId="51" fillId="45" borderId="0" applyNumberFormat="0" applyBorder="0" applyAlignment="0" applyProtection="0"/>
    <xf numFmtId="0" fontId="51" fillId="46" borderId="0" applyNumberFormat="0" applyBorder="0" applyAlignment="0" applyProtection="0"/>
    <xf numFmtId="0" fontId="51" fillId="47" borderId="0" applyNumberFormat="0" applyBorder="0" applyAlignment="0" applyProtection="0"/>
    <xf numFmtId="0" fontId="51" fillId="42" borderId="0" applyNumberFormat="0" applyBorder="0" applyAlignment="0" applyProtection="0"/>
    <xf numFmtId="0" fontId="51" fillId="43" borderId="0" applyNumberFormat="0" applyBorder="0" applyAlignment="0" applyProtection="0"/>
    <xf numFmtId="0" fontId="51" fillId="48" borderId="0" applyNumberFormat="0" applyBorder="0" applyAlignment="0" applyProtection="0"/>
    <xf numFmtId="0" fontId="57" fillId="36" borderId="17" applyNumberFormat="0" applyAlignment="0" applyProtection="0"/>
    <xf numFmtId="170" fontId="16" fillId="0" borderId="0" applyFont="0" applyFill="0" applyBorder="0" applyAlignment="0" applyProtection="0"/>
    <xf numFmtId="0" fontId="77" fillId="0" borderId="0" applyNumberFormat="0" applyFill="0" applyBorder="0" applyAlignment="0" applyProtection="0"/>
    <xf numFmtId="0" fontId="76" fillId="0" borderId="0" applyNumberFormat="0" applyFill="0" applyBorder="0" applyAlignment="0" applyProtection="0">
      <alignment vertical="top"/>
      <protection locked="0"/>
    </xf>
    <xf numFmtId="0" fontId="58" fillId="32" borderId="0" applyNumberFormat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168" fontId="4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179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8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23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168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0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5" fontId="16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6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165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74" fillId="53" borderId="0" applyNumberForma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3" fillId="0" borderId="0">
      <protection locked="0"/>
    </xf>
    <xf numFmtId="0" fontId="23" fillId="0" borderId="0">
      <protection locked="0"/>
    </xf>
    <xf numFmtId="0" fontId="16" fillId="0" borderId="0"/>
    <xf numFmtId="0" fontId="16" fillId="0" borderId="0"/>
    <xf numFmtId="0" fontId="16" fillId="0" borderId="0"/>
    <xf numFmtId="0" fontId="23" fillId="0" borderId="0">
      <protection locked="0"/>
    </xf>
    <xf numFmtId="0" fontId="16" fillId="0" borderId="0"/>
    <xf numFmtId="0" fontId="16" fillId="0" borderId="0"/>
    <xf numFmtId="0" fontId="23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34" fillId="0" borderId="0">
      <protection locked="0"/>
    </xf>
    <xf numFmtId="0" fontId="7" fillId="0" borderId="0"/>
    <xf numFmtId="0" fontId="23" fillId="0" borderId="0">
      <protection locked="0"/>
    </xf>
    <xf numFmtId="0" fontId="23" fillId="0" borderId="0">
      <protection locked="0"/>
    </xf>
    <xf numFmtId="0" fontId="16" fillId="0" borderId="0"/>
    <xf numFmtId="0" fontId="23" fillId="0" borderId="0">
      <protection locked="0"/>
    </xf>
    <xf numFmtId="0" fontId="16" fillId="0" borderId="0"/>
    <xf numFmtId="0" fontId="16" fillId="0" borderId="0"/>
    <xf numFmtId="0" fontId="34" fillId="0" borderId="0">
      <protection locked="0"/>
    </xf>
    <xf numFmtId="0" fontId="7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34" fillId="0" borderId="0">
      <protection locked="0"/>
    </xf>
    <xf numFmtId="0" fontId="34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28" fillId="0" borderId="0"/>
    <xf numFmtId="0" fontId="7" fillId="0" borderId="0"/>
    <xf numFmtId="0" fontId="34" fillId="0" borderId="0">
      <protection locked="0"/>
    </xf>
    <xf numFmtId="0" fontId="16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/>
    <xf numFmtId="0" fontId="16" fillId="0" borderId="0" applyNumberFormat="0" applyFill="0" applyBorder="0" applyAlignment="0" applyProtection="0"/>
    <xf numFmtId="0" fontId="16" fillId="0" borderId="0"/>
    <xf numFmtId="0" fontId="16" fillId="0" borderId="0"/>
    <xf numFmtId="0" fontId="16" fillId="0" borderId="0"/>
    <xf numFmtId="0" fontId="23" fillId="0" borderId="0">
      <protection locked="0"/>
    </xf>
    <xf numFmtId="0" fontId="23" fillId="0" borderId="0">
      <protection locked="0"/>
    </xf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0" fontId="16" fillId="0" borderId="0" applyNumberFormat="0" applyFill="0" applyBorder="0" applyAlignment="0" applyProtection="0"/>
    <xf numFmtId="0" fontId="23" fillId="0" borderId="0">
      <protection locked="0"/>
    </xf>
    <xf numFmtId="0" fontId="23" fillId="0" borderId="0">
      <protection locked="0"/>
    </xf>
    <xf numFmtId="0" fontId="23" fillId="0" borderId="0">
      <protection locked="0"/>
    </xf>
    <xf numFmtId="0" fontId="34" fillId="0" borderId="0">
      <protection locked="0"/>
    </xf>
    <xf numFmtId="0" fontId="16" fillId="0" borderId="0"/>
    <xf numFmtId="0" fontId="16" fillId="0" borderId="0"/>
    <xf numFmtId="0" fontId="16" fillId="0" borderId="0"/>
    <xf numFmtId="0" fontId="7" fillId="0" borderId="0"/>
    <xf numFmtId="0" fontId="16" fillId="0" borderId="0"/>
    <xf numFmtId="0" fontId="16" fillId="0" borderId="0"/>
    <xf numFmtId="0" fontId="7" fillId="0" borderId="0"/>
    <xf numFmtId="0" fontId="41" fillId="0" borderId="0"/>
    <xf numFmtId="0" fontId="7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0" fillId="0" borderId="0"/>
    <xf numFmtId="0" fontId="7" fillId="0" borderId="0"/>
    <xf numFmtId="0" fontId="7" fillId="0" borderId="0"/>
    <xf numFmtId="0" fontId="16" fillId="0" borderId="0"/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23" fillId="0" borderId="0">
      <protection locked="0"/>
    </xf>
    <xf numFmtId="0" fontId="16" fillId="0" borderId="0"/>
    <xf numFmtId="0" fontId="60" fillId="0" borderId="0"/>
    <xf numFmtId="0" fontId="16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7" fillId="0" borderId="0"/>
    <xf numFmtId="0" fontId="32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>
      <protection locked="0"/>
    </xf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6" fillId="0" borderId="0"/>
    <xf numFmtId="0" fontId="23" fillId="0" borderId="0">
      <protection locked="0"/>
    </xf>
    <xf numFmtId="0" fontId="16" fillId="0" borderId="0"/>
    <xf numFmtId="0" fontId="7" fillId="54" borderId="26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41" fillId="54" borderId="26" applyNumberFormat="0" applyFont="0" applyAlignment="0" applyProtection="0"/>
    <xf numFmtId="0" fontId="41" fillId="29" borderId="21" applyNumberFormat="0" applyFont="0" applyAlignment="0" applyProtection="0"/>
    <xf numFmtId="0" fontId="16" fillId="52" borderId="21" applyNumberFormat="0" applyFont="0" applyAlignment="0" applyProtection="0"/>
    <xf numFmtId="0" fontId="7" fillId="54" borderId="26" applyNumberFormat="0" applyFont="0" applyAlignment="0" applyProtection="0"/>
    <xf numFmtId="0" fontId="41" fillId="54" borderId="26" applyNumberFormat="0" applyFont="0" applyAlignment="0" applyProtection="0"/>
    <xf numFmtId="0" fontId="16" fillId="52" borderId="21" applyNumberFormat="0" applyFont="0" applyAlignment="0" applyProtection="0"/>
    <xf numFmtId="9" fontId="16" fillId="0" borderId="0" applyFont="0" applyFill="0" applyBorder="0" applyAlignment="0" applyProtection="0"/>
    <xf numFmtId="178" fontId="30" fillId="0" borderId="0">
      <protection locked="0"/>
    </xf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4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61" fillId="49" borderId="22" applyNumberFormat="0" applyAlignment="0" applyProtection="0"/>
    <xf numFmtId="0" fontId="73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3" fillId="0" borderId="0">
      <protection locked="0"/>
    </xf>
    <xf numFmtId="0" fontId="1" fillId="0" borderId="0"/>
  </cellStyleXfs>
  <cellXfs count="432">
    <xf numFmtId="0" fontId="0" fillId="0" borderId="0" xfId="0"/>
    <xf numFmtId="4" fontId="19" fillId="3" borderId="0" xfId="3" applyNumberFormat="1" applyFont="1" applyFill="1" applyAlignment="1">
      <alignment horizontal="center"/>
    </xf>
    <xf numFmtId="0" fontId="0" fillId="0" borderId="0" xfId="0" applyAlignment="1">
      <alignment horizontal="center"/>
    </xf>
    <xf numFmtId="4" fontId="20" fillId="2" borderId="0" xfId="0" applyNumberFormat="1" applyFont="1" applyFill="1" applyAlignment="1">
      <alignment horizontal="center" vertical="top" wrapText="1"/>
    </xf>
    <xf numFmtId="0" fontId="20" fillId="0" borderId="0" xfId="4" applyFont="1" applyAlignment="1">
      <alignment vertical="top" wrapText="1"/>
    </xf>
    <xf numFmtId="0" fontId="20" fillId="2" borderId="0" xfId="0" applyFont="1" applyFill="1" applyAlignment="1">
      <alignment horizontal="center" vertical="top" wrapText="1"/>
    </xf>
    <xf numFmtId="0" fontId="20" fillId="2" borderId="0" xfId="0" applyFont="1" applyFill="1" applyAlignment="1">
      <alignment vertical="top"/>
    </xf>
    <xf numFmtId="0" fontId="20" fillId="0" borderId="0" xfId="0" applyFont="1" applyAlignment="1">
      <alignment vertical="top" wrapText="1"/>
    </xf>
    <xf numFmtId="0" fontId="0" fillId="0" borderId="0" xfId="0" applyAlignment="1">
      <alignment horizontal="right"/>
    </xf>
    <xf numFmtId="0" fontId="22" fillId="0" borderId="0" xfId="5" applyFont="1" applyAlignment="1">
      <alignment horizontal="left"/>
    </xf>
    <xf numFmtId="0" fontId="20" fillId="2" borderId="0" xfId="0" applyFont="1" applyFill="1" applyAlignment="1">
      <alignment horizontal="left" vertical="top"/>
    </xf>
    <xf numFmtId="0" fontId="16" fillId="0" borderId="0" xfId="7" applyFont="1" applyProtection="1"/>
    <xf numFmtId="0" fontId="16" fillId="0" borderId="0" xfId="8" applyAlignment="1">
      <alignment horizontal="right"/>
    </xf>
    <xf numFmtId="0" fontId="16" fillId="0" borderId="0" xfId="8"/>
    <xf numFmtId="0" fontId="16" fillId="0" borderId="0" xfId="0" applyFont="1"/>
    <xf numFmtId="0" fontId="16" fillId="0" borderId="0" xfId="4" applyAlignment="1">
      <alignment horizontal="center"/>
    </xf>
    <xf numFmtId="0" fontId="20" fillId="2" borderId="0" xfId="4" applyFont="1" applyFill="1" applyAlignment="1">
      <alignment horizontal="left" vertical="top"/>
    </xf>
    <xf numFmtId="0" fontId="16" fillId="0" borderId="0" xfId="4"/>
    <xf numFmtId="0" fontId="20" fillId="2" borderId="0" xfId="4" applyFont="1" applyFill="1" applyAlignment="1">
      <alignment vertical="top"/>
    </xf>
    <xf numFmtId="0" fontId="24" fillId="2" borderId="0" xfId="0" applyFont="1" applyFill="1" applyAlignment="1">
      <alignment horizontal="left" vertical="top"/>
    </xf>
    <xf numFmtId="166" fontId="0" fillId="0" borderId="0" xfId="1" applyFont="1"/>
    <xf numFmtId="0" fontId="20" fillId="2" borderId="0" xfId="15" applyFont="1" applyFill="1" applyAlignment="1">
      <alignment vertical="top"/>
    </xf>
    <xf numFmtId="0" fontId="16" fillId="0" borderId="0" xfId="11" applyFont="1" applyProtection="1"/>
    <xf numFmtId="0" fontId="16" fillId="0" borderId="0" xfId="12" applyFont="1" applyProtection="1"/>
    <xf numFmtId="0" fontId="20" fillId="2" borderId="0" xfId="15" applyFont="1" applyFill="1" applyAlignment="1">
      <alignment horizontal="left" vertical="top"/>
    </xf>
    <xf numFmtId="0" fontId="26" fillId="0" borderId="0" xfId="11" applyFont="1" applyAlignment="1" applyProtection="1">
      <alignment horizontal="right"/>
    </xf>
    <xf numFmtId="0" fontId="27" fillId="0" borderId="0" xfId="11" applyFont="1" applyAlignment="1" applyProtection="1">
      <alignment horizontal="left"/>
    </xf>
    <xf numFmtId="0" fontId="25" fillId="2" borderId="0" xfId="4" applyFont="1" applyFill="1" applyAlignment="1">
      <alignment horizontal="left" vertical="top"/>
    </xf>
    <xf numFmtId="0" fontId="20" fillId="0" borderId="0" xfId="4" applyFont="1" applyAlignment="1">
      <alignment vertical="top"/>
    </xf>
    <xf numFmtId="0" fontId="26" fillId="0" borderId="0" xfId="0" applyFont="1"/>
    <xf numFmtId="0" fontId="20" fillId="2" borderId="0" xfId="2" applyFont="1" applyFill="1" applyAlignment="1">
      <alignment vertical="top"/>
    </xf>
    <xf numFmtId="4" fontId="0" fillId="0" borderId="0" xfId="0" applyNumberFormat="1"/>
    <xf numFmtId="0" fontId="16" fillId="5" borderId="0" xfId="0" applyFont="1" applyFill="1"/>
    <xf numFmtId="0" fontId="36" fillId="0" borderId="0" xfId="12" applyFont="1" applyProtection="1"/>
    <xf numFmtId="0" fontId="16" fillId="0" borderId="0" xfId="14"/>
    <xf numFmtId="166" fontId="26" fillId="0" borderId="0" xfId="1" applyFont="1" applyFill="1" applyBorder="1" applyProtection="1"/>
    <xf numFmtId="166" fontId="16" fillId="0" borderId="0" xfId="1" applyFont="1" applyFill="1" applyBorder="1"/>
    <xf numFmtId="0" fontId="36" fillId="0" borderId="0" xfId="11" applyFont="1" applyProtection="1"/>
    <xf numFmtId="0" fontId="22" fillId="2" borderId="0" xfId="4" applyFont="1" applyFill="1" applyAlignment="1">
      <alignment horizontal="center" vertical="center" wrapText="1"/>
    </xf>
    <xf numFmtId="0" fontId="0" fillId="5" borderId="0" xfId="0" applyFill="1"/>
    <xf numFmtId="0" fontId="16" fillId="0" borderId="0" xfId="14" applyAlignment="1">
      <alignment horizontal="right"/>
    </xf>
    <xf numFmtId="0" fontId="16" fillId="4" borderId="0" xfId="0" applyFont="1" applyFill="1"/>
    <xf numFmtId="0" fontId="16" fillId="0" borderId="0" xfId="11" applyFont="1" applyAlignment="1" applyProtection="1">
      <alignment horizontal="right"/>
    </xf>
    <xf numFmtId="0" fontId="26" fillId="0" borderId="0" xfId="0" applyFont="1" applyAlignment="1">
      <alignment horizontal="center"/>
    </xf>
    <xf numFmtId="0" fontId="18" fillId="7" borderId="0" xfId="4" applyFont="1" applyFill="1" applyAlignment="1">
      <alignment horizontal="center" vertical="center" wrapText="1"/>
    </xf>
    <xf numFmtId="0" fontId="18" fillId="7" borderId="0" xfId="4" applyFont="1" applyFill="1" applyAlignment="1">
      <alignment horizontal="center" vertical="center"/>
    </xf>
    <xf numFmtId="166" fontId="18" fillId="7" borderId="0" xfId="1" applyFont="1" applyFill="1" applyBorder="1" applyAlignment="1">
      <alignment horizontal="center" vertical="center" wrapText="1"/>
    </xf>
    <xf numFmtId="166" fontId="0" fillId="0" borderId="0" xfId="0" applyNumberFormat="1"/>
    <xf numFmtId="0" fontId="45" fillId="0" borderId="0" xfId="4" applyFont="1"/>
    <xf numFmtId="0" fontId="26" fillId="0" borderId="0" xfId="8" applyFont="1" applyAlignment="1">
      <alignment horizontal="left"/>
    </xf>
    <xf numFmtId="0" fontId="20" fillId="30" borderId="0" xfId="4" applyFont="1" applyFill="1" applyAlignment="1">
      <alignment vertical="top"/>
    </xf>
    <xf numFmtId="0" fontId="22" fillId="2" borderId="0" xfId="4" applyFont="1" applyFill="1" applyAlignment="1">
      <alignment horizontal="center" vertical="center"/>
    </xf>
    <xf numFmtId="166" fontId="20" fillId="0" borderId="0" xfId="9" applyFont="1" applyFill="1" applyBorder="1" applyAlignment="1">
      <alignment horizontal="right" vertical="top" wrapText="1"/>
    </xf>
    <xf numFmtId="0" fontId="20" fillId="0" borderId="0" xfId="0" applyFont="1" applyAlignment="1">
      <alignment horizontal="center" vertical="top" wrapText="1"/>
    </xf>
    <xf numFmtId="166" fontId="20" fillId="0" borderId="0" xfId="1" applyFont="1" applyFill="1" applyBorder="1" applyAlignment="1">
      <alignment horizontal="right" vertical="top" wrapText="1"/>
    </xf>
    <xf numFmtId="0" fontId="25" fillId="0" borderId="0" xfId="4" applyFont="1" applyAlignment="1">
      <alignment vertical="top" wrapText="1"/>
    </xf>
    <xf numFmtId="166" fontId="67" fillId="0" borderId="0" xfId="1" applyFont="1" applyFill="1" applyBorder="1" applyAlignment="1">
      <alignment horizontal="right" vertical="top" wrapText="1"/>
    </xf>
    <xf numFmtId="4" fontId="19" fillId="3" borderId="0" xfId="3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66" fontId="20" fillId="0" borderId="0" xfId="9" applyFont="1" applyFill="1" applyBorder="1" applyAlignment="1">
      <alignment horizontal="right" vertical="top"/>
    </xf>
    <xf numFmtId="0" fontId="48" fillId="0" borderId="0" xfId="7602" applyFont="1"/>
    <xf numFmtId="0" fontId="48" fillId="0" borderId="0" xfId="7603" applyFont="1"/>
    <xf numFmtId="166" fontId="22" fillId="0" borderId="0" xfId="1" applyFont="1" applyBorder="1" applyAlignment="1">
      <alignment horizontal="center" vertical="center" wrapText="1"/>
    </xf>
    <xf numFmtId="166" fontId="22" fillId="0" borderId="27" xfId="1" applyFont="1" applyBorder="1" applyAlignment="1">
      <alignment horizontal="center" vertical="center" wrapText="1"/>
    </xf>
    <xf numFmtId="166" fontId="25" fillId="4" borderId="0" xfId="1" applyFont="1" applyFill="1" applyBorder="1" applyAlignment="1">
      <alignment horizontal="center" vertical="center" wrapText="1"/>
    </xf>
    <xf numFmtId="166" fontId="25" fillId="5" borderId="0" xfId="1" applyFont="1" applyFill="1" applyBorder="1" applyAlignment="1">
      <alignment horizontal="center" vertical="center" wrapText="1"/>
    </xf>
    <xf numFmtId="166" fontId="23" fillId="0" borderId="0" xfId="1" applyFont="1" applyFill="1" applyBorder="1" applyProtection="1">
      <protection locked="0"/>
    </xf>
    <xf numFmtId="4" fontId="16" fillId="0" borderId="0" xfId="119" applyNumberFormat="1" applyFill="1" applyBorder="1"/>
    <xf numFmtId="0" fontId="20" fillId="0" borderId="0" xfId="0" applyFont="1" applyAlignment="1">
      <alignment horizontal="left" vertical="top" wrapText="1"/>
    </xf>
    <xf numFmtId="0" fontId="20" fillId="0" borderId="0" xfId="0" applyFont="1" applyAlignment="1">
      <alignment vertical="top"/>
    </xf>
    <xf numFmtId="0" fontId="17" fillId="0" borderId="0" xfId="4" applyFont="1" applyAlignment="1">
      <alignment horizontal="left" vertical="top"/>
    </xf>
    <xf numFmtId="43" fontId="0" fillId="0" borderId="0" xfId="0" applyNumberFormat="1"/>
    <xf numFmtId="0" fontId="78" fillId="0" borderId="0" xfId="4" applyFont="1" applyAlignment="1">
      <alignment horizontal="left" vertical="top"/>
    </xf>
    <xf numFmtId="0" fontId="20" fillId="0" borderId="0" xfId="0" applyFont="1" applyAlignment="1">
      <alignment horizontal="left" vertical="top"/>
    </xf>
    <xf numFmtId="0" fontId="67" fillId="0" borderId="0" xfId="0" applyFont="1" applyAlignment="1">
      <alignment horizontal="left" vertical="top" wrapText="1"/>
    </xf>
    <xf numFmtId="0" fontId="67" fillId="0" borderId="0" xfId="0" applyFont="1" applyAlignment="1">
      <alignment horizontal="left" vertical="top"/>
    </xf>
    <xf numFmtId="0" fontId="67" fillId="0" borderId="0" xfId="0" applyFont="1" applyAlignment="1">
      <alignment horizontal="center" vertical="top" wrapText="1"/>
    </xf>
    <xf numFmtId="43" fontId="26" fillId="0" borderId="0" xfId="0" applyNumberFormat="1" applyFont="1"/>
    <xf numFmtId="0" fontId="26" fillId="0" borderId="0" xfId="2" applyFont="1"/>
    <xf numFmtId="166" fontId="0" fillId="0" borderId="0" xfId="1" applyFont="1" applyFill="1" applyBorder="1"/>
    <xf numFmtId="4" fontId="19" fillId="0" borderId="0" xfId="3" applyNumberFormat="1" applyFont="1" applyAlignment="1">
      <alignment horizontal="center"/>
    </xf>
    <xf numFmtId="166" fontId="0" fillId="0" borderId="0" xfId="1" applyFont="1" applyFill="1" applyBorder="1" applyAlignment="1">
      <alignment horizontal="right"/>
    </xf>
    <xf numFmtId="0" fontId="35" fillId="0" borderId="0" xfId="0" applyFont="1"/>
    <xf numFmtId="174" fontId="0" fillId="0" borderId="0" xfId="0" applyNumberFormat="1"/>
    <xf numFmtId="4" fontId="16" fillId="0" borderId="0" xfId="4" applyNumberFormat="1" applyAlignment="1">
      <alignment horizontal="right"/>
    </xf>
    <xf numFmtId="166" fontId="16" fillId="0" borderId="0" xfId="1" applyFont="1" applyFill="1" applyBorder="1" applyAlignment="1">
      <alignment horizontal="center"/>
    </xf>
    <xf numFmtId="166" fontId="26" fillId="0" borderId="0" xfId="1" applyFont="1" applyFill="1" applyBorder="1"/>
    <xf numFmtId="4" fontId="16" fillId="0" borderId="0" xfId="3" applyNumberFormat="1"/>
    <xf numFmtId="0" fontId="16" fillId="0" borderId="0" xfId="3"/>
    <xf numFmtId="175" fontId="16" fillId="0" borderId="0" xfId="187" applyNumberFormat="1" applyFont="1" applyFill="1" applyBorder="1"/>
    <xf numFmtId="4" fontId="16" fillId="0" borderId="0" xfId="0" applyNumberFormat="1" applyFont="1"/>
    <xf numFmtId="4" fontId="16" fillId="0" borderId="0" xfId="0" applyNumberFormat="1" applyFont="1" applyProtection="1">
      <protection locked="0"/>
    </xf>
    <xf numFmtId="0" fontId="16" fillId="0" borderId="0" xfId="0" applyFont="1" applyProtection="1">
      <protection locked="0"/>
    </xf>
    <xf numFmtId="3" fontId="16" fillId="0" borderId="0" xfId="0" applyNumberFormat="1" applyFont="1" applyAlignment="1">
      <alignment horizontal="center"/>
    </xf>
    <xf numFmtId="14" fontId="16" fillId="0" borderId="0" xfId="0" applyNumberFormat="1" applyFont="1" applyAlignment="1">
      <alignment horizontal="center"/>
    </xf>
    <xf numFmtId="14" fontId="16" fillId="0" borderId="0" xfId="0" applyNumberFormat="1" applyFont="1"/>
    <xf numFmtId="0" fontId="16" fillId="0" borderId="0" xfId="0" applyFont="1" applyAlignment="1">
      <alignment horizontal="center"/>
    </xf>
    <xf numFmtId="40" fontId="26" fillId="0" borderId="0" xfId="0" applyNumberFormat="1" applyFont="1" applyAlignment="1">
      <alignment horizontal="center"/>
    </xf>
    <xf numFmtId="0" fontId="26" fillId="0" borderId="0" xfId="0" applyFont="1" applyAlignment="1">
      <alignment horizontal="right"/>
    </xf>
    <xf numFmtId="40" fontId="16" fillId="0" borderId="0" xfId="0" applyNumberFormat="1" applyFont="1"/>
    <xf numFmtId="175" fontId="16" fillId="0" borderId="0" xfId="0" applyNumberFormat="1" applyFont="1" applyAlignment="1">
      <alignment horizontal="center"/>
    </xf>
    <xf numFmtId="9" fontId="16" fillId="0" borderId="0" xfId="0" applyNumberFormat="1" applyFont="1" applyAlignment="1">
      <alignment horizontal="center"/>
    </xf>
    <xf numFmtId="166" fontId="16" fillId="0" borderId="0" xfId="1" applyFont="1" applyFill="1" applyBorder="1" applyAlignment="1">
      <alignment horizontal="right"/>
    </xf>
    <xf numFmtId="4" fontId="26" fillId="0" borderId="0" xfId="0" applyNumberFormat="1" applyFont="1"/>
    <xf numFmtId="0" fontId="36" fillId="0" borderId="0" xfId="0" applyFont="1"/>
    <xf numFmtId="0" fontId="16" fillId="0" borderId="0" xfId="0" applyFont="1" applyAlignment="1">
      <alignment horizontal="left"/>
    </xf>
    <xf numFmtId="0" fontId="37" fillId="0" borderId="0" xfId="0" applyFont="1"/>
    <xf numFmtId="4" fontId="0" fillId="0" borderId="0" xfId="0" applyNumberFormat="1" applyProtection="1">
      <protection locked="0"/>
    </xf>
    <xf numFmtId="43" fontId="16" fillId="0" borderId="0" xfId="4" applyNumberFormat="1"/>
    <xf numFmtId="0" fontId="23" fillId="0" borderId="0" xfId="12">
      <protection locked="0"/>
    </xf>
    <xf numFmtId="0" fontId="39" fillId="0" borderId="0" xfId="14" applyFont="1" applyAlignment="1">
      <alignment horizontal="right"/>
    </xf>
    <xf numFmtId="176" fontId="23" fillId="0" borderId="0" xfId="12" applyNumberFormat="1" applyAlignment="1">
      <alignment horizontal="center"/>
      <protection locked="0"/>
    </xf>
    <xf numFmtId="0" fontId="26" fillId="0" borderId="0" xfId="12" applyFont="1" applyAlignment="1" applyProtection="1">
      <alignment horizontal="right"/>
    </xf>
    <xf numFmtId="4" fontId="16" fillId="0" borderId="0" xfId="12" applyNumberFormat="1" applyFont="1" applyProtection="1"/>
    <xf numFmtId="0" fontId="16" fillId="0" borderId="0" xfId="126" applyAlignment="1">
      <alignment horizontal="right"/>
    </xf>
    <xf numFmtId="0" fontId="16" fillId="0" borderId="0" xfId="126"/>
    <xf numFmtId="4" fontId="26" fillId="0" borderId="0" xfId="12" applyNumberFormat="1" applyFont="1" applyProtection="1"/>
    <xf numFmtId="0" fontId="23" fillId="0" borderId="0" xfId="12" applyProtection="1"/>
    <xf numFmtId="0" fontId="38" fillId="0" borderId="0" xfId="14" applyFont="1" applyAlignment="1">
      <alignment horizontal="right"/>
    </xf>
    <xf numFmtId="40" fontId="16" fillId="0" borderId="0" xfId="11" applyNumberFormat="1" applyFont="1" applyProtection="1"/>
    <xf numFmtId="0" fontId="23" fillId="0" borderId="0" xfId="11" applyProtection="1"/>
    <xf numFmtId="0" fontId="27" fillId="0" borderId="0" xfId="11" applyFont="1" applyAlignment="1" applyProtection="1">
      <alignment horizontal="right"/>
    </xf>
    <xf numFmtId="0" fontId="20" fillId="0" borderId="0" xfId="4" applyFont="1" applyAlignment="1">
      <alignment horizontal="right" vertical="top"/>
    </xf>
    <xf numFmtId="4" fontId="16" fillId="0" borderId="0" xfId="12" quotePrefix="1" applyNumberFormat="1" applyFont="1" applyProtection="1"/>
    <xf numFmtId="166" fontId="16" fillId="0" borderId="0" xfId="4" applyNumberFormat="1"/>
    <xf numFmtId="0" fontId="40" fillId="0" borderId="0" xfId="12" applyFont="1" applyAlignment="1">
      <alignment horizontal="right"/>
      <protection locked="0"/>
    </xf>
    <xf numFmtId="4" fontId="16" fillId="0" borderId="0" xfId="4" applyNumberFormat="1"/>
    <xf numFmtId="4" fontId="46" fillId="0" borderId="0" xfId="12" applyNumberFormat="1" applyFont="1">
      <protection locked="0"/>
    </xf>
    <xf numFmtId="166" fontId="0" fillId="0" borderId="0" xfId="1" applyFont="1" applyFill="1" applyBorder="1" applyProtection="1">
      <protection locked="0"/>
    </xf>
    <xf numFmtId="4" fontId="23" fillId="0" borderId="0" xfId="12" applyNumberFormat="1">
      <protection locked="0"/>
    </xf>
    <xf numFmtId="14" fontId="23" fillId="0" borderId="0" xfId="12" applyNumberFormat="1">
      <protection locked="0"/>
    </xf>
    <xf numFmtId="0" fontId="45" fillId="0" borderId="0" xfId="0" applyFont="1" applyAlignment="1">
      <alignment horizontal="right"/>
    </xf>
    <xf numFmtId="43" fontId="42" fillId="0" borderId="0" xfId="43" applyFont="1" applyFill="1" applyBorder="1" applyAlignment="1">
      <alignment horizontal="right"/>
    </xf>
    <xf numFmtId="0" fontId="41" fillId="0" borderId="0" xfId="288"/>
    <xf numFmtId="166" fontId="0" fillId="0" borderId="0" xfId="9" applyFont="1" applyFill="1" applyBorder="1"/>
    <xf numFmtId="164" fontId="20" fillId="0" borderId="0" xfId="0" applyNumberFormat="1" applyFont="1" applyAlignment="1">
      <alignment horizontal="right" vertical="top" wrapText="1"/>
    </xf>
    <xf numFmtId="0" fontId="26" fillId="0" borderId="0" xfId="11" applyFont="1" applyAlignment="1" applyProtection="1">
      <alignment horizontal="left"/>
    </xf>
    <xf numFmtId="0" fontId="20" fillId="0" borderId="0" xfId="0" applyFont="1" applyAlignment="1">
      <alignment horizontal="center" vertical="top"/>
    </xf>
    <xf numFmtId="166" fontId="20" fillId="0" borderId="0" xfId="1" applyFont="1" applyFill="1" applyBorder="1" applyAlignment="1">
      <alignment horizontal="right" vertical="top"/>
    </xf>
    <xf numFmtId="0" fontId="16" fillId="0" borderId="0" xfId="4" applyAlignment="1">
      <alignment horizontal="left"/>
    </xf>
    <xf numFmtId="0" fontId="16" fillId="0" borderId="0" xfId="4" quotePrefix="1"/>
    <xf numFmtId="0" fontId="48" fillId="0" borderId="0" xfId="7601" applyFont="1"/>
    <xf numFmtId="0" fontId="48" fillId="0" borderId="0" xfId="0" applyFont="1"/>
    <xf numFmtId="166" fontId="17" fillId="0" borderId="0" xfId="1" applyFont="1" applyFill="1" applyBorder="1" applyAlignment="1">
      <alignment horizontal="left" vertical="top"/>
    </xf>
    <xf numFmtId="166" fontId="26" fillId="0" borderId="0" xfId="0" applyNumberFormat="1" applyFont="1"/>
    <xf numFmtId="0" fontId="26" fillId="0" borderId="0" xfId="4" applyFont="1"/>
    <xf numFmtId="0" fontId="17" fillId="0" borderId="0" xfId="4" applyFont="1" applyAlignment="1">
      <alignment horizontal="left" vertical="top" wrapText="1"/>
    </xf>
    <xf numFmtId="0" fontId="20" fillId="0" borderId="0" xfId="4" applyFont="1" applyAlignment="1">
      <alignment horizontal="left" vertical="top" wrapText="1"/>
    </xf>
    <xf numFmtId="0" fontId="20" fillId="0" borderId="0" xfId="4" applyFont="1" applyAlignment="1">
      <alignment horizontal="left" vertical="top"/>
    </xf>
    <xf numFmtId="0" fontId="20" fillId="0" borderId="0" xfId="4" applyFont="1" applyAlignment="1">
      <alignment horizontal="center" vertical="top" wrapText="1"/>
    </xf>
    <xf numFmtId="0" fontId="16" fillId="0" borderId="0" xfId="4" applyAlignment="1">
      <alignment horizontal="right"/>
    </xf>
    <xf numFmtId="0" fontId="17" fillId="0" borderId="0" xfId="4" applyFont="1" applyAlignment="1">
      <alignment horizontal="right" vertical="top"/>
    </xf>
    <xf numFmtId="166" fontId="16" fillId="0" borderId="0" xfId="9" applyFont="1" applyFill="1" applyBorder="1"/>
    <xf numFmtId="0" fontId="48" fillId="0" borderId="0" xfId="2205" applyFont="1"/>
    <xf numFmtId="0" fontId="66" fillId="0" borderId="0" xfId="0" applyFont="1"/>
    <xf numFmtId="14" fontId="20" fillId="0" borderId="0" xfId="4" applyNumberFormat="1" applyFont="1" applyAlignment="1">
      <alignment horizontal="left" vertical="top" wrapText="1"/>
    </xf>
    <xf numFmtId="166" fontId="26" fillId="0" borderId="0" xfId="4" applyNumberFormat="1" applyFont="1"/>
    <xf numFmtId="166" fontId="17" fillId="0" borderId="0" xfId="1" applyFont="1" applyFill="1" applyBorder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166" fontId="24" fillId="0" borderId="0" xfId="1" applyFont="1" applyFill="1" applyBorder="1" applyAlignment="1">
      <alignment horizontal="right" vertical="top" wrapText="1"/>
    </xf>
    <xf numFmtId="0" fontId="24" fillId="0" borderId="0" xfId="0" applyFont="1" applyAlignment="1">
      <alignment horizontal="center" vertical="top" wrapText="1"/>
    </xf>
    <xf numFmtId="0" fontId="24" fillId="0" borderId="0" xfId="0" applyFont="1" applyAlignment="1">
      <alignment vertical="top"/>
    </xf>
    <xf numFmtId="166" fontId="16" fillId="0" borderId="0" xfId="9" applyFont="1"/>
    <xf numFmtId="166" fontId="20" fillId="0" borderId="0" xfId="1" applyFont="1" applyFill="1" applyAlignment="1">
      <alignment horizontal="right" vertical="top" wrapText="1"/>
    </xf>
    <xf numFmtId="166" fontId="16" fillId="0" borderId="0" xfId="9" applyFont="1" applyFill="1"/>
    <xf numFmtId="166" fontId="20" fillId="0" borderId="28" xfId="1" applyFont="1" applyFill="1" applyBorder="1" applyAlignment="1">
      <alignment horizontal="right" vertical="top" wrapText="1"/>
    </xf>
    <xf numFmtId="166" fontId="16" fillId="0" borderId="28" xfId="9" applyFont="1" applyFill="1" applyBorder="1"/>
    <xf numFmtId="0" fontId="0" fillId="61" borderId="0" xfId="0" applyFill="1"/>
    <xf numFmtId="166" fontId="16" fillId="0" borderId="0" xfId="9" applyFont="1" applyBorder="1"/>
    <xf numFmtId="0" fontId="0" fillId="62" borderId="0" xfId="0" applyFill="1"/>
    <xf numFmtId="0" fontId="0" fillId="62" borderId="0" xfId="0" applyFill="1" applyAlignment="1">
      <alignment horizontal="center"/>
    </xf>
    <xf numFmtId="166" fontId="0" fillId="62" borderId="0" xfId="9" applyFont="1" applyFill="1" applyAlignment="1">
      <alignment horizontal="right"/>
    </xf>
    <xf numFmtId="166" fontId="0" fillId="0" borderId="0" xfId="9" applyFont="1" applyAlignment="1">
      <alignment horizontal="right"/>
    </xf>
    <xf numFmtId="0" fontId="16" fillId="6" borderId="0" xfId="4" applyFill="1"/>
    <xf numFmtId="4" fontId="16" fillId="6" borderId="0" xfId="4" applyNumberFormat="1" applyFill="1" applyAlignment="1">
      <alignment horizontal="right"/>
    </xf>
    <xf numFmtId="0" fontId="16" fillId="63" borderId="0" xfId="4" applyFill="1"/>
    <xf numFmtId="4" fontId="16" fillId="63" borderId="0" xfId="4" applyNumberFormat="1" applyFill="1" applyAlignment="1">
      <alignment horizontal="right"/>
    </xf>
    <xf numFmtId="0" fontId="16" fillId="62" borderId="0" xfId="4" applyFill="1"/>
    <xf numFmtId="4" fontId="16" fillId="62" borderId="0" xfId="4" applyNumberFormat="1" applyFill="1" applyAlignment="1">
      <alignment horizontal="right"/>
    </xf>
    <xf numFmtId="166" fontId="23" fillId="0" borderId="0" xfId="9" applyFont="1" applyFill="1" applyProtection="1">
      <protection locked="0"/>
    </xf>
    <xf numFmtId="166" fontId="26" fillId="0" borderId="0" xfId="9" applyFont="1" applyFill="1" applyBorder="1" applyProtection="1"/>
    <xf numFmtId="4" fontId="16" fillId="0" borderId="0" xfId="119" applyNumberFormat="1" applyFill="1"/>
    <xf numFmtId="166" fontId="20" fillId="0" borderId="57" xfId="1" applyFont="1" applyFill="1" applyBorder="1" applyAlignment="1">
      <alignment horizontal="right" vertical="top" wrapText="1"/>
    </xf>
    <xf numFmtId="0" fontId="16" fillId="0" borderId="57" xfId="4" applyBorder="1"/>
    <xf numFmtId="166" fontId="16" fillId="0" borderId="57" xfId="9" applyFont="1" applyFill="1" applyBorder="1"/>
    <xf numFmtId="166" fontId="16" fillId="0" borderId="57" xfId="1" applyFont="1" applyFill="1" applyBorder="1"/>
    <xf numFmtId="0" fontId="17" fillId="2" borderId="0" xfId="0" applyFont="1" applyFill="1" applyAlignment="1">
      <alignment horizontal="left" vertical="top" wrapText="1"/>
    </xf>
    <xf numFmtId="0" fontId="18" fillId="2" borderId="0" xfId="0" applyFont="1" applyFill="1" applyAlignment="1">
      <alignment horizontal="left" vertical="top" wrapText="1"/>
    </xf>
    <xf numFmtId="0" fontId="18" fillId="2" borderId="0" xfId="0" applyFont="1" applyFill="1" applyAlignment="1">
      <alignment horizontal="right" vertical="top" wrapText="1"/>
    </xf>
    <xf numFmtId="0" fontId="18" fillId="2" borderId="0" xfId="0" applyFont="1" applyFill="1" applyAlignment="1">
      <alignment horizontal="center" vertical="top" wrapText="1"/>
    </xf>
    <xf numFmtId="0" fontId="20" fillId="2" borderId="0" xfId="0" applyFont="1" applyFill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0" borderId="0" xfId="4" applyAlignment="1">
      <alignment horizontal="left" indent="1"/>
    </xf>
    <xf numFmtId="166" fontId="20" fillId="2" borderId="0" xfId="1" applyFont="1" applyFill="1" applyAlignment="1">
      <alignment horizontal="right" vertical="top" wrapText="1"/>
    </xf>
    <xf numFmtId="0" fontId="0" fillId="0" borderId="1" xfId="0" applyBorder="1"/>
    <xf numFmtId="0" fontId="18" fillId="2" borderId="1" xfId="0" applyFont="1" applyFill="1" applyBorder="1" applyAlignment="1">
      <alignment horizontal="center" vertical="top"/>
    </xf>
    <xf numFmtId="0" fontId="25" fillId="2" borderId="0" xfId="6" applyFont="1" applyFill="1" applyAlignment="1">
      <alignment horizontal="center" vertical="top"/>
    </xf>
    <xf numFmtId="0" fontId="80" fillId="0" borderId="0" xfId="4" applyFont="1"/>
    <xf numFmtId="0" fontId="26" fillId="0" borderId="0" xfId="14" applyFont="1" applyAlignment="1">
      <alignment horizontal="right"/>
    </xf>
    <xf numFmtId="4" fontId="25" fillId="2" borderId="0" xfId="0" applyNumberFormat="1" applyFont="1" applyFill="1" applyAlignment="1">
      <alignment horizontal="left" vertical="top"/>
    </xf>
    <xf numFmtId="0" fontId="26" fillId="0" borderId="0" xfId="7" applyFont="1" applyAlignment="1" applyProtection="1">
      <alignment horizontal="right"/>
    </xf>
    <xf numFmtId="0" fontId="26" fillId="0" borderId="0" xfId="8" applyFont="1" applyAlignment="1">
      <alignment horizontal="right"/>
    </xf>
    <xf numFmtId="0" fontId="26" fillId="5" borderId="0" xfId="0" applyFont="1" applyFill="1" applyAlignment="1">
      <alignment horizontal="right"/>
    </xf>
    <xf numFmtId="0" fontId="26" fillId="4" borderId="0" xfId="0" applyFont="1" applyFill="1" applyAlignment="1">
      <alignment horizontal="right"/>
    </xf>
    <xf numFmtId="0" fontId="18" fillId="2" borderId="1" xfId="2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20" fillId="2" borderId="0" xfId="4" applyFont="1" applyFill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2" borderId="0" xfId="2" applyFont="1" applyFill="1" applyAlignment="1">
      <alignment horizontal="center" vertical="center" wrapText="1"/>
    </xf>
    <xf numFmtId="0" fontId="22" fillId="30" borderId="0" xfId="5" applyFont="1" applyFill="1" applyAlignment="1">
      <alignment horizontal="center"/>
    </xf>
    <xf numFmtId="0" fontId="18" fillId="2" borderId="1" xfId="0" applyFont="1" applyFill="1" applyBorder="1" applyAlignment="1">
      <alignment horizontal="center" vertical="center" wrapText="1"/>
    </xf>
    <xf numFmtId="0" fontId="16" fillId="61" borderId="0" xfId="0" applyFont="1" applyFill="1"/>
    <xf numFmtId="0" fontId="25" fillId="61" borderId="0" xfId="4" applyFont="1" applyFill="1" applyAlignment="1">
      <alignment horizontal="right" vertical="top" wrapText="1"/>
    </xf>
    <xf numFmtId="0" fontId="20" fillId="2" borderId="0" xfId="4" applyFont="1" applyFill="1" applyAlignment="1">
      <alignment horizontal="center" vertical="top" wrapText="1"/>
    </xf>
    <xf numFmtId="0" fontId="49" fillId="0" borderId="0" xfId="0" applyFont="1"/>
    <xf numFmtId="0" fontId="0" fillId="30" borderId="0" xfId="0" applyFill="1" applyAlignment="1">
      <alignment horizontal="center" vertical="center"/>
    </xf>
    <xf numFmtId="0" fontId="20" fillId="30" borderId="0" xfId="0" applyFont="1" applyFill="1" applyAlignment="1">
      <alignment horizontal="center" vertical="top" wrapText="1"/>
    </xf>
    <xf numFmtId="0" fontId="20" fillId="30" borderId="0" xfId="0" applyFont="1" applyFill="1" applyAlignment="1">
      <alignment horizontal="left" vertical="top"/>
    </xf>
    <xf numFmtId="166" fontId="26" fillId="0" borderId="0" xfId="9" applyFont="1" applyBorder="1"/>
    <xf numFmtId="166" fontId="16" fillId="0" borderId="57" xfId="1" applyFont="1" applyFill="1" applyBorder="1" applyAlignment="1"/>
    <xf numFmtId="166" fontId="16" fillId="0" borderId="0" xfId="9" applyFont="1" applyBorder="1" applyAlignment="1"/>
    <xf numFmtId="166" fontId="16" fillId="0" borderId="0" xfId="1" applyFont="1" applyBorder="1"/>
    <xf numFmtId="0" fontId="16" fillId="0" borderId="0" xfId="4" quotePrefix="1" applyAlignment="1">
      <alignment horizontal="center"/>
    </xf>
    <xf numFmtId="176" fontId="23" fillId="0" borderId="0" xfId="12" applyNumberFormat="1" applyAlignment="1">
      <alignment horizontal="center"/>
      <protection locked="0"/>
    </xf>
    <xf numFmtId="0" fontId="17" fillId="0" borderId="0" xfId="4" applyFont="1" applyFill="1" applyAlignment="1">
      <alignment horizontal="left" vertical="top" wrapText="1"/>
    </xf>
    <xf numFmtId="0" fontId="20" fillId="0" borderId="0" xfId="0" applyFont="1" applyFill="1" applyAlignment="1">
      <alignment horizontal="left" vertical="top" wrapText="1"/>
    </xf>
    <xf numFmtId="0" fontId="20" fillId="0" borderId="0" xfId="0" applyFont="1" applyFill="1" applyAlignment="1">
      <alignment horizontal="left" vertical="top"/>
    </xf>
    <xf numFmtId="166" fontId="20" fillId="0" borderId="0" xfId="9" applyFont="1" applyFill="1" applyAlignment="1">
      <alignment horizontal="right" vertical="top" wrapText="1"/>
    </xf>
    <xf numFmtId="0" fontId="20" fillId="0" borderId="0" xfId="0" applyFont="1" applyFill="1" applyAlignment="1">
      <alignment horizontal="center" vertical="top" wrapText="1"/>
    </xf>
    <xf numFmtId="0" fontId="0" fillId="0" borderId="0" xfId="0" applyFill="1" applyAlignment="1">
      <alignment horizontal="left"/>
    </xf>
    <xf numFmtId="0" fontId="0" fillId="0" borderId="0" xfId="0" applyFill="1"/>
    <xf numFmtId="43" fontId="0" fillId="0" borderId="0" xfId="0" applyNumberFormat="1" applyFill="1"/>
    <xf numFmtId="0" fontId="16" fillId="0" borderId="0" xfId="4" applyFill="1"/>
    <xf numFmtId="0" fontId="17" fillId="0" borderId="0" xfId="4" applyFont="1" applyFill="1" applyAlignment="1">
      <alignment horizontal="left" vertical="top"/>
    </xf>
    <xf numFmtId="0" fontId="0" fillId="0" borderId="59" xfId="0" applyFill="1" applyBorder="1" applyAlignment="1">
      <alignment horizontal="left"/>
    </xf>
    <xf numFmtId="0" fontId="0" fillId="0" borderId="59" xfId="0" applyFill="1" applyBorder="1"/>
    <xf numFmtId="0" fontId="26" fillId="0" borderId="57" xfId="0" applyFont="1" applyFill="1" applyBorder="1"/>
    <xf numFmtId="43" fontId="26" fillId="0" borderId="57" xfId="0" applyNumberFormat="1" applyFont="1" applyFill="1" applyBorder="1"/>
    <xf numFmtId="0" fontId="17" fillId="0" borderId="28" xfId="4" applyFont="1" applyFill="1" applyBorder="1" applyAlignment="1">
      <alignment horizontal="left" vertical="top" wrapText="1"/>
    </xf>
    <xf numFmtId="0" fontId="20" fillId="0" borderId="28" xfId="0" applyFont="1" applyFill="1" applyBorder="1" applyAlignment="1">
      <alignment horizontal="left" vertical="top" wrapText="1"/>
    </xf>
    <xf numFmtId="0" fontId="20" fillId="0" borderId="28" xfId="0" applyFont="1" applyFill="1" applyBorder="1" applyAlignment="1">
      <alignment horizontal="left" vertical="top"/>
    </xf>
    <xf numFmtId="0" fontId="20" fillId="0" borderId="28" xfId="0" applyFont="1" applyFill="1" applyBorder="1" applyAlignment="1">
      <alignment horizontal="center" vertical="top" wrapText="1"/>
    </xf>
    <xf numFmtId="0" fontId="17" fillId="0" borderId="28" xfId="4" applyFont="1" applyFill="1" applyBorder="1" applyAlignment="1">
      <alignment horizontal="left" vertical="top"/>
    </xf>
    <xf numFmtId="0" fontId="16" fillId="0" borderId="28" xfId="4" applyFill="1" applyBorder="1"/>
    <xf numFmtId="0" fontId="0" fillId="0" borderId="28" xfId="0" applyFill="1" applyBorder="1"/>
    <xf numFmtId="43" fontId="0" fillId="0" borderId="28" xfId="0" applyNumberFormat="1" applyFill="1" applyBorder="1"/>
    <xf numFmtId="0" fontId="0" fillId="0" borderId="0" xfId="0" applyFill="1" applyAlignment="1">
      <alignment horizontal="right"/>
    </xf>
    <xf numFmtId="0" fontId="17" fillId="0" borderId="57" xfId="4" applyFont="1" applyFill="1" applyBorder="1" applyAlignment="1">
      <alignment horizontal="left" vertical="top" wrapText="1"/>
    </xf>
    <xf numFmtId="0" fontId="20" fillId="0" borderId="57" xfId="0" applyFont="1" applyFill="1" applyBorder="1" applyAlignment="1">
      <alignment horizontal="left" vertical="top" wrapText="1"/>
    </xf>
    <xf numFmtId="0" fontId="20" fillId="0" borderId="57" xfId="0" applyFont="1" applyFill="1" applyBorder="1" applyAlignment="1">
      <alignment horizontal="left" vertical="top"/>
    </xf>
    <xf numFmtId="0" fontId="20" fillId="0" borderId="57" xfId="0" applyFont="1" applyFill="1" applyBorder="1" applyAlignment="1">
      <alignment horizontal="center" vertical="top" wrapText="1"/>
    </xf>
    <xf numFmtId="0" fontId="17" fillId="0" borderId="57" xfId="4" applyFont="1" applyFill="1" applyBorder="1" applyAlignment="1">
      <alignment horizontal="left" vertical="top"/>
    </xf>
    <xf numFmtId="0" fontId="16" fillId="0" borderId="57" xfId="4" applyFill="1" applyBorder="1"/>
    <xf numFmtId="0" fontId="0" fillId="0" borderId="57" xfId="0" applyFill="1" applyBorder="1"/>
    <xf numFmtId="0" fontId="20" fillId="0" borderId="57" xfId="4" applyFont="1" applyFill="1" applyBorder="1" applyAlignment="1">
      <alignment horizontal="left" vertical="top" wrapText="1"/>
    </xf>
    <xf numFmtId="0" fontId="20" fillId="0" borderId="57" xfId="4" applyFont="1" applyFill="1" applyBorder="1" applyAlignment="1">
      <alignment horizontal="left" vertical="top"/>
    </xf>
    <xf numFmtId="166" fontId="20" fillId="0" borderId="57" xfId="9" applyFont="1" applyFill="1" applyBorder="1" applyAlignment="1">
      <alignment horizontal="right" vertical="top" wrapText="1"/>
    </xf>
    <xf numFmtId="0" fontId="20" fillId="0" borderId="57" xfId="4" applyFont="1" applyFill="1" applyBorder="1" applyAlignment="1">
      <alignment horizontal="center" vertical="top" wrapText="1"/>
    </xf>
    <xf numFmtId="0" fontId="26" fillId="0" borderId="0" xfId="2" applyFont="1" applyFill="1"/>
    <xf numFmtId="166" fontId="0" fillId="0" borderId="0" xfId="9" applyFont="1" applyFill="1"/>
    <xf numFmtId="4" fontId="19" fillId="0" borderId="0" xfId="3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9" applyFont="1" applyFill="1" applyAlignment="1">
      <alignment horizontal="right"/>
    </xf>
    <xf numFmtId="0" fontId="35" fillId="0" borderId="0" xfId="0" applyFont="1" applyFill="1"/>
    <xf numFmtId="0" fontId="16" fillId="0" borderId="0" xfId="0" applyFont="1" applyFill="1"/>
    <xf numFmtId="174" fontId="0" fillId="0" borderId="0" xfId="0" applyNumberFormat="1" applyFill="1"/>
    <xf numFmtId="0" fontId="16" fillId="0" borderId="0" xfId="4" applyFill="1" applyAlignment="1">
      <alignment horizontal="center"/>
    </xf>
    <xf numFmtId="4" fontId="16" fillId="0" borderId="0" xfId="4" applyNumberFormat="1" applyFill="1" applyAlignment="1">
      <alignment horizontal="right"/>
    </xf>
    <xf numFmtId="0" fontId="26" fillId="0" borderId="1" xfId="0" applyFont="1" applyFill="1" applyBorder="1" applyAlignment="1">
      <alignment horizontal="center"/>
    </xf>
    <xf numFmtId="0" fontId="26" fillId="0" borderId="0" xfId="0" applyFont="1" applyFill="1" applyAlignment="1">
      <alignment horizontal="center"/>
    </xf>
    <xf numFmtId="166" fontId="16" fillId="0" borderId="0" xfId="9" applyFont="1" applyFill="1" applyAlignment="1">
      <alignment horizontal="center"/>
    </xf>
    <xf numFmtId="166" fontId="26" fillId="0" borderId="47" xfId="9" applyFont="1" applyFill="1" applyBorder="1"/>
    <xf numFmtId="4" fontId="16" fillId="0" borderId="0" xfId="3" applyNumberFormat="1" applyFill="1"/>
    <xf numFmtId="0" fontId="16" fillId="0" borderId="0" xfId="3" applyFill="1"/>
    <xf numFmtId="175" fontId="16" fillId="0" borderId="0" xfId="174" applyNumberFormat="1" applyFont="1" applyFill="1"/>
    <xf numFmtId="4" fontId="16" fillId="0" borderId="0" xfId="0" applyNumberFormat="1" applyFont="1" applyFill="1"/>
    <xf numFmtId="4" fontId="16" fillId="0" borderId="0" xfId="0" applyNumberFormat="1" applyFont="1" applyFill="1" applyProtection="1">
      <protection locked="0"/>
    </xf>
    <xf numFmtId="0" fontId="16" fillId="0" borderId="0" xfId="0" applyFont="1" applyFill="1" applyProtection="1">
      <protection locked="0"/>
    </xf>
    <xf numFmtId="3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 applyAlignment="1">
      <alignment horizontal="center"/>
    </xf>
    <xf numFmtId="14" fontId="16" fillId="0" borderId="0" xfId="0" applyNumberFormat="1" applyFont="1" applyFill="1"/>
    <xf numFmtId="0" fontId="16" fillId="0" borderId="0" xfId="0" applyFont="1" applyFill="1" applyAlignment="1">
      <alignment horizontal="center"/>
    </xf>
    <xf numFmtId="0" fontId="26" fillId="0" borderId="30" xfId="0" applyFont="1" applyFill="1" applyBorder="1" applyAlignment="1">
      <alignment horizontal="center"/>
    </xf>
    <xf numFmtId="0" fontId="26" fillId="0" borderId="31" xfId="0" applyFont="1" applyFill="1" applyBorder="1" applyAlignment="1">
      <alignment horizontal="center"/>
    </xf>
    <xf numFmtId="0" fontId="26" fillId="0" borderId="32" xfId="0" applyFont="1" applyFill="1" applyBorder="1" applyAlignment="1">
      <alignment horizontal="center"/>
    </xf>
    <xf numFmtId="0" fontId="16" fillId="0" borderId="3" xfId="0" applyFont="1" applyFill="1" applyBorder="1"/>
    <xf numFmtId="0" fontId="16" fillId="0" borderId="4" xfId="0" applyFont="1" applyFill="1" applyBorder="1"/>
    <xf numFmtId="0" fontId="16" fillId="0" borderId="5" xfId="0" applyFont="1" applyFill="1" applyBorder="1"/>
    <xf numFmtId="40" fontId="26" fillId="0" borderId="48" xfId="0" applyNumberFormat="1" applyFont="1" applyFill="1" applyBorder="1" applyAlignment="1">
      <alignment horizontal="center"/>
    </xf>
    <xf numFmtId="40" fontId="26" fillId="0" borderId="14" xfId="0" applyNumberFormat="1" applyFont="1" applyFill="1" applyBorder="1" applyAlignment="1">
      <alignment horizontal="center"/>
    </xf>
    <xf numFmtId="40" fontId="26" fillId="0" borderId="0" xfId="0" applyNumberFormat="1" applyFont="1" applyFill="1" applyAlignment="1">
      <alignment horizontal="center"/>
    </xf>
    <xf numFmtId="0" fontId="26" fillId="0" borderId="33" xfId="0" applyFont="1" applyFill="1" applyBorder="1" applyAlignment="1">
      <alignment horizontal="right"/>
    </xf>
    <xf numFmtId="40" fontId="16" fillId="0" borderId="34" xfId="0" applyNumberFormat="1" applyFont="1" applyFill="1" applyBorder="1"/>
    <xf numFmtId="4" fontId="16" fillId="0" borderId="2" xfId="0" applyNumberFormat="1" applyFont="1" applyFill="1" applyBorder="1"/>
    <xf numFmtId="175" fontId="16" fillId="0" borderId="0" xfId="0" applyNumberFormat="1" applyFont="1" applyFill="1" applyAlignment="1">
      <alignment horizontal="center"/>
    </xf>
    <xf numFmtId="0" fontId="26" fillId="0" borderId="15" xfId="0" applyFont="1" applyFill="1" applyBorder="1" applyAlignment="1">
      <alignment horizontal="right"/>
    </xf>
    <xf numFmtId="0" fontId="16" fillId="0" borderId="49" xfId="0" applyFont="1" applyFill="1" applyBorder="1"/>
    <xf numFmtId="40" fontId="16" fillId="0" borderId="29" xfId="0" applyNumberFormat="1" applyFont="1" applyFill="1" applyBorder="1"/>
    <xf numFmtId="4" fontId="16" fillId="0" borderId="48" xfId="0" applyNumberFormat="1" applyFont="1" applyFill="1" applyBorder="1"/>
    <xf numFmtId="4" fontId="16" fillId="0" borderId="14" xfId="0" applyNumberFormat="1" applyFont="1" applyFill="1" applyBorder="1"/>
    <xf numFmtId="0" fontId="16" fillId="0" borderId="33" xfId="0" applyFont="1" applyFill="1" applyBorder="1"/>
    <xf numFmtId="0" fontId="16" fillId="0" borderId="34" xfId="0" applyFont="1" applyFill="1" applyBorder="1"/>
    <xf numFmtId="4" fontId="16" fillId="0" borderId="50" xfId="0" applyNumberFormat="1" applyFont="1" applyFill="1" applyBorder="1"/>
    <xf numFmtId="9" fontId="16" fillId="0" borderId="0" xfId="0" applyNumberFormat="1" applyFont="1" applyFill="1" applyAlignment="1">
      <alignment horizontal="center"/>
    </xf>
    <xf numFmtId="0" fontId="26" fillId="0" borderId="16" xfId="0" applyFont="1" applyFill="1" applyBorder="1" applyAlignment="1">
      <alignment horizontal="right"/>
    </xf>
    <xf numFmtId="0" fontId="16" fillId="0" borderId="29" xfId="0" applyFont="1" applyFill="1" applyBorder="1"/>
    <xf numFmtId="4" fontId="16" fillId="0" borderId="51" xfId="0" applyNumberFormat="1" applyFont="1" applyFill="1" applyBorder="1"/>
    <xf numFmtId="4" fontId="16" fillId="0" borderId="29" xfId="0" applyNumberFormat="1" applyFont="1" applyFill="1" applyBorder="1"/>
    <xf numFmtId="166" fontId="16" fillId="0" borderId="0" xfId="9" applyFont="1" applyFill="1" applyAlignment="1">
      <alignment horizontal="right"/>
    </xf>
    <xf numFmtId="0" fontId="16" fillId="0" borderId="35" xfId="3" applyFill="1" applyBorder="1"/>
    <xf numFmtId="0" fontId="16" fillId="0" borderId="1" xfId="3" applyFill="1" applyBorder="1"/>
    <xf numFmtId="0" fontId="16" fillId="0" borderId="36" xfId="0" applyFont="1" applyFill="1" applyBorder="1"/>
    <xf numFmtId="0" fontId="26" fillId="0" borderId="0" xfId="0" applyFont="1" applyFill="1"/>
    <xf numFmtId="0" fontId="16" fillId="0" borderId="38" xfId="0" applyFont="1" applyFill="1" applyBorder="1"/>
    <xf numFmtId="0" fontId="16" fillId="0" borderId="52" xfId="0" applyFont="1" applyFill="1" applyBorder="1"/>
    <xf numFmtId="0" fontId="16" fillId="0" borderId="46" xfId="0" applyFont="1" applyFill="1" applyBorder="1"/>
    <xf numFmtId="0" fontId="16" fillId="0" borderId="53" xfId="0" applyFont="1" applyFill="1" applyBorder="1"/>
    <xf numFmtId="0" fontId="16" fillId="0" borderId="54" xfId="0" applyFont="1" applyFill="1" applyBorder="1"/>
    <xf numFmtId="4" fontId="26" fillId="0" borderId="55" xfId="0" applyNumberFormat="1" applyFont="1" applyFill="1" applyBorder="1"/>
    <xf numFmtId="4" fontId="26" fillId="0" borderId="54" xfId="0" applyNumberFormat="1" applyFont="1" applyFill="1" applyBorder="1"/>
    <xf numFmtId="4" fontId="26" fillId="0" borderId="0" xfId="0" applyNumberFormat="1" applyFont="1" applyFill="1"/>
    <xf numFmtId="0" fontId="36" fillId="0" borderId="0" xfId="0" applyFont="1" applyFill="1"/>
    <xf numFmtId="0" fontId="26" fillId="0" borderId="39" xfId="0" applyFont="1" applyFill="1" applyBorder="1" applyAlignment="1">
      <alignment horizontal="center"/>
    </xf>
    <xf numFmtId="0" fontId="26" fillId="0" borderId="40" xfId="0" applyFont="1" applyFill="1" applyBorder="1" applyAlignment="1">
      <alignment horizontal="center"/>
    </xf>
    <xf numFmtId="40" fontId="26" fillId="0" borderId="40" xfId="0" applyNumberFormat="1" applyFont="1" applyFill="1" applyBorder="1" applyAlignment="1">
      <alignment horizontal="center"/>
    </xf>
    <xf numFmtId="40" fontId="26" fillId="0" borderId="41" xfId="0" applyNumberFormat="1" applyFont="1" applyFill="1" applyBorder="1" applyAlignment="1">
      <alignment horizontal="center"/>
    </xf>
    <xf numFmtId="40" fontId="26" fillId="0" borderId="56" xfId="0" applyNumberFormat="1" applyFont="1" applyFill="1" applyBorder="1" applyAlignment="1">
      <alignment horizontal="center"/>
    </xf>
    <xf numFmtId="0" fontId="0" fillId="0" borderId="15" xfId="0" applyFill="1" applyBorder="1"/>
    <xf numFmtId="0" fontId="0" fillId="0" borderId="49" xfId="0" applyFill="1" applyBorder="1"/>
    <xf numFmtId="0" fontId="0" fillId="0" borderId="14" xfId="0" applyFill="1" applyBorder="1"/>
    <xf numFmtId="0" fontId="26" fillId="0" borderId="6" xfId="0" applyFont="1" applyFill="1" applyBorder="1" applyAlignment="1">
      <alignment horizontal="right"/>
    </xf>
    <xf numFmtId="0" fontId="16" fillId="0" borderId="7" xfId="0" applyFont="1" applyFill="1" applyBorder="1"/>
    <xf numFmtId="0" fontId="16" fillId="0" borderId="2" xfId="0" applyFont="1" applyFill="1" applyBorder="1" applyAlignment="1">
      <alignment horizontal="left"/>
    </xf>
    <xf numFmtId="0" fontId="0" fillId="0" borderId="7" xfId="0" applyFill="1" applyBorder="1"/>
    <xf numFmtId="0" fontId="0" fillId="0" borderId="42" xfId="0" applyFill="1" applyBorder="1"/>
    <xf numFmtId="4" fontId="16" fillId="0" borderId="8" xfId="0" applyNumberFormat="1" applyFont="1" applyFill="1" applyBorder="1"/>
    <xf numFmtId="4" fontId="0" fillId="0" borderId="0" xfId="0" applyNumberFormat="1" applyFill="1"/>
    <xf numFmtId="0" fontId="26" fillId="0" borderId="9" xfId="0" applyFont="1" applyFill="1" applyBorder="1" applyAlignment="1">
      <alignment horizontal="right"/>
    </xf>
    <xf numFmtId="0" fontId="16" fillId="0" borderId="2" xfId="0" applyFont="1" applyFill="1" applyBorder="1"/>
    <xf numFmtId="0" fontId="0" fillId="0" borderId="2" xfId="0" applyFill="1" applyBorder="1"/>
    <xf numFmtId="0" fontId="0" fillId="0" borderId="38" xfId="0" applyFill="1" applyBorder="1"/>
    <xf numFmtId="4" fontId="16" fillId="0" borderId="10" xfId="0" applyNumberFormat="1" applyFont="1" applyFill="1" applyBorder="1"/>
    <xf numFmtId="0" fontId="0" fillId="0" borderId="29" xfId="0" applyFill="1" applyBorder="1"/>
    <xf numFmtId="0" fontId="37" fillId="0" borderId="33" xfId="0" applyFont="1" applyFill="1" applyBorder="1"/>
    <xf numFmtId="0" fontId="26" fillId="0" borderId="37" xfId="0" applyFont="1" applyFill="1" applyBorder="1" applyAlignment="1">
      <alignment horizontal="right"/>
    </xf>
    <xf numFmtId="0" fontId="16" fillId="0" borderId="43" xfId="0" applyFont="1" applyFill="1" applyBorder="1"/>
    <xf numFmtId="0" fontId="0" fillId="0" borderId="43" xfId="0" applyFill="1" applyBorder="1"/>
    <xf numFmtId="0" fontId="0" fillId="0" borderId="30" xfId="0" applyFill="1" applyBorder="1"/>
    <xf numFmtId="4" fontId="16" fillId="0" borderId="44" xfId="0" applyNumberFormat="1" applyFont="1" applyFill="1" applyBorder="1"/>
    <xf numFmtId="0" fontId="37" fillId="0" borderId="0" xfId="0" applyFont="1" applyFill="1"/>
    <xf numFmtId="0" fontId="0" fillId="0" borderId="11" xfId="0" applyFill="1" applyBorder="1"/>
    <xf numFmtId="0" fontId="0" fillId="0" borderId="12" xfId="0" applyFill="1" applyBorder="1"/>
    <xf numFmtId="0" fontId="0" fillId="0" borderId="45" xfId="0" applyFill="1" applyBorder="1"/>
    <xf numFmtId="0" fontId="0" fillId="0" borderId="13" xfId="0" applyFill="1" applyBorder="1"/>
    <xf numFmtId="0" fontId="26" fillId="0" borderId="46" xfId="0" applyFont="1" applyFill="1" applyBorder="1" applyAlignment="1">
      <alignment horizontal="right"/>
    </xf>
    <xf numFmtId="0" fontId="0" fillId="0" borderId="53" xfId="0" applyFill="1" applyBorder="1"/>
    <xf numFmtId="4" fontId="16" fillId="0" borderId="53" xfId="0" applyNumberFormat="1" applyFont="1" applyFill="1" applyBorder="1"/>
    <xf numFmtId="4" fontId="16" fillId="0" borderId="54" xfId="0" applyNumberFormat="1" applyFont="1" applyFill="1" applyBorder="1"/>
    <xf numFmtId="0" fontId="0" fillId="0" borderId="46" xfId="0" applyFill="1" applyBorder="1"/>
    <xf numFmtId="0" fontId="0" fillId="0" borderId="54" xfId="0" applyFill="1" applyBorder="1"/>
    <xf numFmtId="0" fontId="26" fillId="0" borderId="0" xfId="0" applyFont="1" applyFill="1" applyAlignment="1">
      <alignment horizontal="right"/>
    </xf>
    <xf numFmtId="4" fontId="26" fillId="0" borderId="47" xfId="0" applyNumberFormat="1" applyFont="1" applyFill="1" applyBorder="1"/>
    <xf numFmtId="4" fontId="0" fillId="0" borderId="0" xfId="0" applyNumberFormat="1" applyFill="1" applyProtection="1">
      <protection locked="0"/>
    </xf>
    <xf numFmtId="43" fontId="16" fillId="0" borderId="0" xfId="4" applyNumberFormat="1" applyFill="1"/>
    <xf numFmtId="0" fontId="36" fillId="0" borderId="0" xfId="12" applyFont="1" applyFill="1" applyProtection="1"/>
    <xf numFmtId="0" fontId="23" fillId="0" borderId="0" xfId="12" applyFill="1">
      <protection locked="0"/>
    </xf>
    <xf numFmtId="0" fontId="39" fillId="0" borderId="0" xfId="14" applyFont="1" applyFill="1" applyAlignment="1">
      <alignment horizontal="left"/>
    </xf>
    <xf numFmtId="176" fontId="23" fillId="0" borderId="0" xfId="12" applyNumberFormat="1" applyFill="1" applyAlignment="1">
      <alignment horizontal="center"/>
      <protection locked="0"/>
    </xf>
    <xf numFmtId="0" fontId="26" fillId="0" borderId="15" xfId="12" applyFont="1" applyFill="1" applyBorder="1" applyAlignment="1" applyProtection="1">
      <alignment horizontal="right"/>
    </xf>
    <xf numFmtId="0" fontId="16" fillId="0" borderId="49" xfId="12" applyFont="1" applyFill="1" applyBorder="1" applyProtection="1"/>
    <xf numFmtId="4" fontId="16" fillId="0" borderId="14" xfId="12" applyNumberFormat="1" applyFont="1" applyFill="1" applyBorder="1" applyProtection="1"/>
    <xf numFmtId="4" fontId="16" fillId="0" borderId="48" xfId="12" applyNumberFormat="1" applyFont="1" applyFill="1" applyBorder="1" applyProtection="1"/>
    <xf numFmtId="0" fontId="0" fillId="0" borderId="16" xfId="0" applyFill="1" applyBorder="1"/>
    <xf numFmtId="0" fontId="0" fillId="0" borderId="51" xfId="0" applyFill="1" applyBorder="1"/>
    <xf numFmtId="0" fontId="16" fillId="0" borderId="16" xfId="14" applyFill="1" applyBorder="1" applyAlignment="1">
      <alignment horizontal="right"/>
    </xf>
    <xf numFmtId="0" fontId="16" fillId="0" borderId="0" xfId="14" applyFill="1"/>
    <xf numFmtId="4" fontId="16" fillId="0" borderId="29" xfId="12" applyNumberFormat="1" applyFont="1" applyFill="1" applyBorder="1" applyProtection="1"/>
    <xf numFmtId="4" fontId="16" fillId="0" borderId="51" xfId="12" applyNumberFormat="1" applyFont="1" applyFill="1" applyBorder="1" applyProtection="1"/>
    <xf numFmtId="0" fontId="16" fillId="0" borderId="16" xfId="0" applyFont="1" applyFill="1" applyBorder="1" applyAlignment="1">
      <alignment horizontal="right"/>
    </xf>
    <xf numFmtId="4" fontId="16" fillId="0" borderId="0" xfId="12" applyNumberFormat="1" applyFont="1" applyFill="1" applyProtection="1"/>
    <xf numFmtId="0" fontId="16" fillId="0" borderId="16" xfId="126" applyFill="1" applyBorder="1" applyAlignment="1">
      <alignment horizontal="right"/>
    </xf>
    <xf numFmtId="0" fontId="16" fillId="0" borderId="0" xfId="126" applyFill="1"/>
    <xf numFmtId="0" fontId="16" fillId="0" borderId="16" xfId="8" applyFill="1" applyBorder="1" applyAlignment="1">
      <alignment horizontal="right"/>
    </xf>
    <xf numFmtId="0" fontId="16" fillId="0" borderId="0" xfId="8" applyFill="1"/>
    <xf numFmtId="0" fontId="23" fillId="0" borderId="46" xfId="12" applyFill="1" applyBorder="1">
      <protection locked="0"/>
    </xf>
    <xf numFmtId="0" fontId="23" fillId="0" borderId="53" xfId="12" applyFill="1" applyBorder="1">
      <protection locked="0"/>
    </xf>
    <xf numFmtId="4" fontId="26" fillId="0" borderId="55" xfId="12" applyNumberFormat="1" applyFont="1" applyFill="1" applyBorder="1" applyProtection="1"/>
    <xf numFmtId="176" fontId="23" fillId="0" borderId="0" xfId="12" applyNumberFormat="1" applyFill="1" applyAlignment="1">
      <alignment horizontal="center"/>
      <protection locked="0"/>
    </xf>
    <xf numFmtId="4" fontId="46" fillId="0" borderId="0" xfId="12" applyNumberFormat="1" applyFont="1" applyFill="1">
      <protection locked="0"/>
    </xf>
    <xf numFmtId="0" fontId="23" fillId="0" borderId="0" xfId="12" applyFill="1" applyProtection="1"/>
    <xf numFmtId="4" fontId="26" fillId="0" borderId="0" xfId="12" applyNumberFormat="1" applyFont="1" applyFill="1" applyProtection="1"/>
    <xf numFmtId="0" fontId="38" fillId="0" borderId="0" xfId="14" applyFont="1" applyFill="1" applyAlignment="1">
      <alignment horizontal="right"/>
    </xf>
    <xf numFmtId="0" fontId="26" fillId="0" borderId="15" xfId="11" applyFont="1" applyFill="1" applyBorder="1" applyAlignment="1" applyProtection="1">
      <alignment horizontal="right"/>
    </xf>
    <xf numFmtId="0" fontId="16" fillId="0" borderId="49" xfId="11" applyFont="1" applyFill="1" applyBorder="1" applyProtection="1"/>
    <xf numFmtId="40" fontId="16" fillId="0" borderId="14" xfId="11" applyNumberFormat="1" applyFont="1" applyFill="1" applyBorder="1" applyProtection="1"/>
    <xf numFmtId="0" fontId="26" fillId="0" borderId="16" xfId="11" applyFont="1" applyFill="1" applyBorder="1" applyAlignment="1" applyProtection="1">
      <alignment horizontal="right"/>
    </xf>
    <xf numFmtId="0" fontId="16" fillId="0" borderId="0" xfId="11" applyFont="1" applyFill="1" applyProtection="1"/>
    <xf numFmtId="40" fontId="16" fillId="0" borderId="29" xfId="11" applyNumberFormat="1" applyFont="1" applyFill="1" applyBorder="1" applyProtection="1"/>
    <xf numFmtId="0" fontId="23" fillId="0" borderId="29" xfId="11" applyFill="1" applyBorder="1" applyProtection="1"/>
    <xf numFmtId="0" fontId="27" fillId="0" borderId="29" xfId="11" applyFont="1" applyFill="1" applyBorder="1" applyAlignment="1" applyProtection="1">
      <alignment horizontal="right"/>
    </xf>
    <xf numFmtId="0" fontId="20" fillId="0" borderId="0" xfId="4" applyFont="1" applyFill="1" applyAlignment="1">
      <alignment horizontal="right" vertical="top"/>
    </xf>
    <xf numFmtId="4" fontId="16" fillId="0" borderId="51" xfId="12" quotePrefix="1" applyNumberFormat="1" applyFont="1" applyFill="1" applyBorder="1" applyProtection="1"/>
    <xf numFmtId="0" fontId="16" fillId="0" borderId="0" xfId="12" applyFont="1" applyFill="1" applyProtection="1"/>
    <xf numFmtId="0" fontId="45" fillId="0" borderId="0" xfId="4" applyFont="1" applyFill="1"/>
    <xf numFmtId="0" fontId="20" fillId="0" borderId="0" xfId="4" applyFont="1" applyFill="1" applyAlignment="1">
      <alignment vertical="top"/>
    </xf>
    <xf numFmtId="166" fontId="16" fillId="0" borderId="0" xfId="4" applyNumberFormat="1" applyFill="1"/>
    <xf numFmtId="0" fontId="26" fillId="0" borderId="16" xfId="0" applyFont="1" applyFill="1" applyBorder="1"/>
    <xf numFmtId="0" fontId="26" fillId="0" borderId="16" xfId="12" applyFont="1" applyFill="1" applyBorder="1" applyAlignment="1" applyProtection="1">
      <alignment horizontal="right"/>
    </xf>
    <xf numFmtId="0" fontId="23" fillId="0" borderId="46" xfId="12" applyFill="1" applyBorder="1" applyProtection="1"/>
    <xf numFmtId="0" fontId="23" fillId="0" borderId="53" xfId="12" applyFill="1" applyBorder="1" applyProtection="1"/>
    <xf numFmtId="4" fontId="26" fillId="0" borderId="54" xfId="12" applyNumberFormat="1" applyFont="1" applyFill="1" applyBorder="1" applyProtection="1"/>
    <xf numFmtId="0" fontId="40" fillId="0" borderId="0" xfId="12" applyFont="1" applyFill="1" applyAlignment="1">
      <alignment horizontal="right"/>
      <protection locked="0"/>
    </xf>
    <xf numFmtId="4" fontId="16" fillId="0" borderId="0" xfId="4" applyNumberFormat="1" applyFill="1"/>
    <xf numFmtId="166" fontId="0" fillId="0" borderId="0" xfId="0" applyNumberFormat="1" applyFill="1"/>
    <xf numFmtId="166" fontId="0" fillId="0" borderId="0" xfId="9" applyFont="1" applyFill="1" applyProtection="1">
      <protection locked="0"/>
    </xf>
    <xf numFmtId="4" fontId="23" fillId="0" borderId="0" xfId="12" applyNumberFormat="1" applyFill="1">
      <protection locked="0"/>
    </xf>
    <xf numFmtId="0" fontId="36" fillId="0" borderId="0" xfId="11" applyFont="1" applyFill="1" applyProtection="1"/>
    <xf numFmtId="176" fontId="23" fillId="0" borderId="53" xfId="12" applyNumberFormat="1" applyFill="1" applyBorder="1" applyAlignment="1">
      <alignment horizontal="center"/>
      <protection locked="0"/>
    </xf>
    <xf numFmtId="0" fontId="16" fillId="0" borderId="16" xfId="11" applyFont="1" applyFill="1" applyBorder="1" applyAlignment="1" applyProtection="1">
      <alignment horizontal="right"/>
    </xf>
    <xf numFmtId="14" fontId="23" fillId="0" borderId="0" xfId="12" applyNumberFormat="1" applyFill="1">
      <protection locked="0"/>
    </xf>
    <xf numFmtId="43" fontId="42" fillId="0" borderId="4" xfId="43" applyFont="1" applyFill="1" applyBorder="1" applyAlignment="1">
      <alignment horizontal="right"/>
    </xf>
    <xf numFmtId="4" fontId="16" fillId="0" borderId="1" xfId="12" applyNumberFormat="1" applyFont="1" applyFill="1" applyBorder="1" applyProtection="1"/>
    <xf numFmtId="0" fontId="41" fillId="0" borderId="0" xfId="288" applyFill="1"/>
    <xf numFmtId="0" fontId="26" fillId="0" borderId="0" xfId="11" applyFont="1" applyFill="1" applyAlignment="1" applyProtection="1">
      <alignment horizontal="right"/>
    </xf>
    <xf numFmtId="0" fontId="16" fillId="0" borderId="0" xfId="11" applyFont="1" applyFill="1" applyAlignment="1" applyProtection="1">
      <alignment horizontal="right"/>
    </xf>
    <xf numFmtId="49" fontId="16" fillId="64" borderId="58" xfId="3074" quotePrefix="1" applyNumberFormat="1" applyFont="1" applyFill="1" applyBorder="1" applyAlignment="1">
      <alignment horizontal="center"/>
    </xf>
    <xf numFmtId="0" fontId="16" fillId="30" borderId="0" xfId="0" quotePrefix="1" applyFont="1" applyFill="1"/>
    <xf numFmtId="0" fontId="0" fillId="30" borderId="0" xfId="0" applyFill="1"/>
    <xf numFmtId="164" fontId="16" fillId="64" borderId="58" xfId="3074" applyFont="1" applyFill="1" applyBorder="1"/>
  </cellXfs>
  <cellStyles count="7608">
    <cellStyle name="=C:\WINNT\SYSTEM32\COMMAND.COM" xfId="31" xr:uid="{ABE59B7C-555C-4F22-868A-8F8CE007480F}"/>
    <cellStyle name="=C:\WINNT\SYSTEM32\COMMAND.COM 2" xfId="32" xr:uid="{70AEBBB6-63ED-4916-BB99-EDD00B51AA02}"/>
    <cellStyle name="=C:\WINNT\SYSTEM32\COMMAND.COM 2 2" xfId="946" xr:uid="{8FDDC2E6-314A-41E6-96A9-AD8F16A638ED}"/>
    <cellStyle name="=C:\WINNT\SYSTEM32\COMMAND.COM 3" xfId="33" xr:uid="{2A94A8BF-6595-4890-9E35-B2B5BB63D783}"/>
    <cellStyle name="=C:\WINNT\SYSTEM32\COMMAND.COM 3 2" xfId="5982" xr:uid="{07B0D980-1E82-4AF7-B3CA-1F7AF8D333A4}"/>
    <cellStyle name="=C:\WINNT\SYSTEM32\COMMAND.COM 3 3" xfId="5981" xr:uid="{4CF63A08-97CD-4CB6-9EC8-D6E12DCBBDF2}"/>
    <cellStyle name="=C:\WINNT\SYSTEM32\COMMAND.COM 4" xfId="3071" xr:uid="{F9653785-7E6E-42F2-8D4E-A7DD6268F64B}"/>
    <cellStyle name="=C:\WINNT\SYSTEM32\COMMAND.COM 5" xfId="2933" xr:uid="{D7F3BBA9-5CA0-4269-B5BC-F9134E69DA4B}"/>
    <cellStyle name="20% - Accent1" xfId="2943" xr:uid="{7A91F410-8AEF-44CE-A78A-7151367C9D81}"/>
    <cellStyle name="20% - Accent2" xfId="2944" xr:uid="{518D84E1-9DC1-427B-A2DB-71563BF01B2B}"/>
    <cellStyle name="20% - Accent3" xfId="2945" xr:uid="{67BACF59-C78F-4D74-8E16-4557A68E4FDB}"/>
    <cellStyle name="20% - Accent4" xfId="2946" xr:uid="{ACEF354E-133A-4351-9FCA-E8DAEB2AD9DE}"/>
    <cellStyle name="20% - Accent5" xfId="2947" xr:uid="{5497BB78-FE26-478B-9448-CEF113862165}"/>
    <cellStyle name="20% - Accent6" xfId="2948" xr:uid="{5D2B6DCC-3480-401B-AB3F-CF1394C86708}"/>
    <cellStyle name="20% - Énfasis1 2" xfId="889" xr:uid="{A8420104-1332-4381-A423-D5C173E2AFB9}"/>
    <cellStyle name="20% - Énfasis1 2 2" xfId="3413" xr:uid="{C79C0FFD-9408-444F-B4BB-39B96F3C498A}"/>
    <cellStyle name="20% - Énfasis1 2 2 2" xfId="5983" xr:uid="{07B1EE0A-4A63-4DFC-A6B7-21B78825A478}"/>
    <cellStyle name="20% - Énfasis1 2 3" xfId="2949" xr:uid="{92686838-D228-4756-AAC2-A0DA2A7B92E2}"/>
    <cellStyle name="20% - Énfasis1 3" xfId="2950" xr:uid="{63F09A6B-6805-465C-A64B-119D2151934A}"/>
    <cellStyle name="20% - Énfasis2 2" xfId="890" xr:uid="{FE31019D-8D48-4493-A3A2-5440AD18DD89}"/>
    <cellStyle name="20% - Énfasis2 2 2" xfId="3414" xr:uid="{AE19AD56-0AA7-40E2-A839-4953A5756DEA}"/>
    <cellStyle name="20% - Énfasis2 2 2 2" xfId="5984" xr:uid="{B6C8D088-FB6B-4DC2-AB0E-9DBE8526731B}"/>
    <cellStyle name="20% - Énfasis2 2 3" xfId="2951" xr:uid="{ED4CB331-CFC1-4F6F-9EC3-DB22D3293701}"/>
    <cellStyle name="20% - Énfasis2 3" xfId="2952" xr:uid="{221FF7C3-7F3D-459B-960F-16858F3CAC17}"/>
    <cellStyle name="20% - Énfasis3 2" xfId="891" xr:uid="{52F0BECD-0FAB-40EE-B830-3AC1F18191A0}"/>
    <cellStyle name="20% - Énfasis3 2 2" xfId="3415" xr:uid="{950BCFA9-5440-4B8D-AA7F-1C3214795D4F}"/>
    <cellStyle name="20% - Énfasis3 2 2 2" xfId="5985" xr:uid="{AFF7CB3D-CEF4-4C3F-9FEA-C241A7F81E93}"/>
    <cellStyle name="20% - Énfasis3 2 3" xfId="2953" xr:uid="{70F8AC95-56B6-4BAD-9927-838F0746B3A2}"/>
    <cellStyle name="20% - Énfasis3 3" xfId="2954" xr:uid="{8D252CEF-9FF5-4EF4-BE46-BC0CCD0FBB1A}"/>
    <cellStyle name="20% - Énfasis4 2" xfId="892" xr:uid="{A19DA222-5ABD-4AA5-9BF5-1348C7F47455}"/>
    <cellStyle name="20% - Énfasis4 2 2" xfId="3416" xr:uid="{C993AF2D-DF7E-422D-839B-344A1960A427}"/>
    <cellStyle name="20% - Énfasis4 2 2 2" xfId="5986" xr:uid="{387BC915-F48A-4642-B1E3-CFCD0BF9F7D6}"/>
    <cellStyle name="20% - Énfasis4 2 3" xfId="2955" xr:uid="{3369B692-EFCC-42C8-929A-DF3184E987E7}"/>
    <cellStyle name="20% - Énfasis4 3" xfId="2956" xr:uid="{0989E369-8883-4E15-8945-28A2AD5C55B1}"/>
    <cellStyle name="20% - Énfasis5 2" xfId="893" xr:uid="{00463D20-284B-4FF9-A53E-5F82FC2E9FF6}"/>
    <cellStyle name="20% - Énfasis5 2 2" xfId="3417" xr:uid="{2E996C03-B81D-48A0-9E0D-AC60F515D6BB}"/>
    <cellStyle name="20% - Énfasis5 2 2 2" xfId="5987" xr:uid="{FECE5333-7F87-4597-837E-AD96ABCBC701}"/>
    <cellStyle name="20% - Énfasis5 2 3" xfId="2957" xr:uid="{97A77591-DA50-4C9D-A0DC-CE9C0E82E4C9}"/>
    <cellStyle name="20% - Énfasis5 3" xfId="2958" xr:uid="{272B0BCD-8D6F-4673-ACAF-FC327A62A977}"/>
    <cellStyle name="20% - Énfasis6 2" xfId="894" xr:uid="{9ABD4551-17E8-401A-B8B7-F304B1954250}"/>
    <cellStyle name="20% - Énfasis6 2 2" xfId="3418" xr:uid="{1B21B2D2-73C2-476E-A352-D890B4009004}"/>
    <cellStyle name="20% - Énfasis6 2 2 2" xfId="5988" xr:uid="{8A8E90C3-6159-43B1-87BE-2F48FD7D2997}"/>
    <cellStyle name="20% - Énfasis6 2 3" xfId="2959" xr:uid="{C6998E41-7805-478F-BC03-82A1D09AA09E}"/>
    <cellStyle name="20% - Énfasis6 3" xfId="2960" xr:uid="{0E18B540-9509-4FB8-86EA-BAA4AB87AE20}"/>
    <cellStyle name="40% - Accent1" xfId="2961" xr:uid="{2F9AEA14-7E91-4F70-81A2-186E7251EA85}"/>
    <cellStyle name="40% - Accent2" xfId="2962" xr:uid="{E4589EC0-EF43-4DC3-8C5C-C31207E12349}"/>
    <cellStyle name="40% - Accent3" xfId="2963" xr:uid="{3D7F2776-6848-44B7-9697-00B7AE6FD587}"/>
    <cellStyle name="40% - Accent4" xfId="2964" xr:uid="{CC7652DB-5AF0-4F7F-B93F-A7A986A4A27B}"/>
    <cellStyle name="40% - Accent5" xfId="2965" xr:uid="{EE7BAB00-EA21-4E82-A7A0-1C242802AAB0}"/>
    <cellStyle name="40% - Accent6" xfId="2966" xr:uid="{72CC88C6-3204-43DE-A100-F4C00934292D}"/>
    <cellStyle name="40% - Énfasis1 2" xfId="895" xr:uid="{003326EA-289C-44D6-A9C3-14771E1806A4}"/>
    <cellStyle name="40% - Énfasis1 2 2" xfId="3419" xr:uid="{3DF59F5A-1F5C-4CD0-A4F9-317C3966F22E}"/>
    <cellStyle name="40% - Énfasis1 2 2 2" xfId="5989" xr:uid="{F27C97B6-D6A0-4450-91D3-8C290C26E00C}"/>
    <cellStyle name="40% - Énfasis1 2 3" xfId="2967" xr:uid="{EA72BE19-C0A2-47E7-9DC1-202FD989BF05}"/>
    <cellStyle name="40% - Énfasis1 3" xfId="2968" xr:uid="{63729D83-9423-445B-9DB1-A238FA47DA9F}"/>
    <cellStyle name="40% - Énfasis2 2" xfId="896" xr:uid="{013DA987-FCEF-4200-AA30-9C2B1886EC01}"/>
    <cellStyle name="40% - Énfasis2 2 2" xfId="3420" xr:uid="{3519EBCA-1D4A-4E81-A81D-8112EFB2BE85}"/>
    <cellStyle name="40% - Énfasis2 2 2 2" xfId="5990" xr:uid="{E71EB5C8-0480-4A17-892B-154854292CFF}"/>
    <cellStyle name="40% - Énfasis2 2 3" xfId="2969" xr:uid="{24E08F70-0AD3-42B5-9939-B0E7B2948EE9}"/>
    <cellStyle name="40% - Énfasis2 3" xfId="2970" xr:uid="{A961DDFE-D96E-43FA-A0C1-14AFF47772BF}"/>
    <cellStyle name="40% - Énfasis3 2" xfId="897" xr:uid="{0C840D9E-EA7B-44C9-ADB9-71F6A7B120A8}"/>
    <cellStyle name="40% - Énfasis3 2 2" xfId="3421" xr:uid="{9502590F-56E5-4975-9C90-52B65325A2F7}"/>
    <cellStyle name="40% - Énfasis3 2 2 2" xfId="5991" xr:uid="{2E1B973C-EA13-4E21-858F-CAD398A6B60B}"/>
    <cellStyle name="40% - Énfasis3 2 3" xfId="2971" xr:uid="{A12A7A5A-7A65-4289-BB88-0D31C8157803}"/>
    <cellStyle name="40% - Énfasis3 3" xfId="2972" xr:uid="{8EC39DF5-868E-4B32-806D-08E0C3112F3D}"/>
    <cellStyle name="40% - Énfasis4 2" xfId="898" xr:uid="{7ABE9CD4-7931-42D8-A711-5D1B5E9E2ED0}"/>
    <cellStyle name="40% - Énfasis4 2 2" xfId="3422" xr:uid="{CF6F6408-AF34-4A8C-9C03-C1F749519A07}"/>
    <cellStyle name="40% - Énfasis4 2 2 2" xfId="5992" xr:uid="{B468A0BC-C3C4-4D48-B14A-478734946C94}"/>
    <cellStyle name="40% - Énfasis4 2 3" xfId="2973" xr:uid="{6872468D-F056-4E58-B583-19E385F3FE5F}"/>
    <cellStyle name="40% - Énfasis4 3" xfId="2974" xr:uid="{09E91EB9-C3D3-4924-ACA2-3BAE112667A4}"/>
    <cellStyle name="40% - Énfasis5 2" xfId="899" xr:uid="{9643E423-24DE-4EFC-95D8-1CDFEDCC1414}"/>
    <cellStyle name="40% - Énfasis5 2 2" xfId="3423" xr:uid="{F0094818-3134-4439-9FC2-C1FEFB3AFEEE}"/>
    <cellStyle name="40% - Énfasis5 2 2 2" xfId="5993" xr:uid="{693E1FA8-7E87-400C-845D-8B3809515333}"/>
    <cellStyle name="40% - Énfasis5 2 3" xfId="2975" xr:uid="{66088FF9-56A4-422B-AF9D-5778E6173AD5}"/>
    <cellStyle name="40% - Énfasis5 3" xfId="2976" xr:uid="{2EF7ADB4-463C-4A6D-84F8-FEB008C0E771}"/>
    <cellStyle name="40% - Énfasis6 2" xfId="900" xr:uid="{875D7E8B-FB33-48E9-94DB-36A4D490F152}"/>
    <cellStyle name="40% - Énfasis6 2 2" xfId="3424" xr:uid="{BB8E4D0B-6E86-44FD-9A11-99E502DCDFFE}"/>
    <cellStyle name="40% - Énfasis6 2 2 2" xfId="5994" xr:uid="{061C9566-3104-4E38-A993-299454C54215}"/>
    <cellStyle name="40% - Énfasis6 2 3" xfId="2977" xr:uid="{A58B349D-4F4D-4506-B5D7-7E8FD47122BB}"/>
    <cellStyle name="40% - Énfasis6 3" xfId="2978" xr:uid="{56E601E3-900A-4172-872A-9B730AB30839}"/>
    <cellStyle name="60% - Accent1" xfId="2979" xr:uid="{DAD6A1A4-6CBF-4F71-96C2-378E40AC9BEF}"/>
    <cellStyle name="60% - Accent2" xfId="2980" xr:uid="{F27709BB-70D7-495B-BD66-D43B4776722C}"/>
    <cellStyle name="60% - Accent3" xfId="2981" xr:uid="{292BA482-EB52-4B7A-AD37-FC6B498C1132}"/>
    <cellStyle name="60% - Accent4" xfId="2982" xr:uid="{52E08382-E624-4FE9-A5C7-45F9C59125EC}"/>
    <cellStyle name="60% - Accent5" xfId="2983" xr:uid="{6966B79B-C438-4ED6-8816-595BED8C6920}"/>
    <cellStyle name="60% - Accent6" xfId="2984" xr:uid="{AA868347-3088-442D-B3C1-F48F20780CFF}"/>
    <cellStyle name="60% - Énfasis1 2" xfId="901" xr:uid="{E31B037D-BE7B-461C-A0BC-C5F02EF56443}"/>
    <cellStyle name="60% - Énfasis1 2 2" xfId="3425" xr:uid="{1C20AE55-39F8-437A-9E40-71CAEE2C92BF}"/>
    <cellStyle name="60% - Énfasis1 2 3" xfId="2985" xr:uid="{DC37FC1C-338F-4694-8462-946463BD465B}"/>
    <cellStyle name="60% - Énfasis1 2 4" xfId="5995" xr:uid="{893FDA7C-8689-4327-98DB-679EEA7C7BBE}"/>
    <cellStyle name="60% - Énfasis1 3" xfId="2986" xr:uid="{84DAB0C5-51A8-448D-963F-A4AC4AE8638C}"/>
    <cellStyle name="60% - Énfasis2 2" xfId="902" xr:uid="{CC1E6DD8-A6EC-49C3-AAED-95CE9FC382BB}"/>
    <cellStyle name="60% - Énfasis2 2 2" xfId="3426" xr:uid="{5EFB8F90-96EA-434A-BEFF-7924859CCECD}"/>
    <cellStyle name="60% - Énfasis2 2 3" xfId="2987" xr:uid="{AD602D38-2EBC-4E2F-B1B2-CD6636724A30}"/>
    <cellStyle name="60% - Énfasis2 2 4" xfId="5996" xr:uid="{DE0211AF-8FC1-4397-AF51-A58B69D185E3}"/>
    <cellStyle name="60% - Énfasis2 3" xfId="2988" xr:uid="{7237A270-19E9-4EE4-91DC-EAFD6946BFCD}"/>
    <cellStyle name="60% - Énfasis3 2" xfId="903" xr:uid="{2AEEBFB7-E954-4BEE-B5AE-35E403E15E1E}"/>
    <cellStyle name="60% - Énfasis3 2 2" xfId="3427" xr:uid="{90091767-CA61-40D9-9F49-CE2C80D7DA93}"/>
    <cellStyle name="60% - Énfasis3 2 3" xfId="2989" xr:uid="{CCC4B67A-C45E-4DEA-8ECA-6DCBA34C6A48}"/>
    <cellStyle name="60% - Énfasis3 2 4" xfId="5997" xr:uid="{AC5156A2-45A4-4FF2-A5C5-C1AEA93977D4}"/>
    <cellStyle name="60% - Énfasis3 3" xfId="2990" xr:uid="{B82EC32B-E854-4AD1-881B-288DDD02CD09}"/>
    <cellStyle name="60% - Énfasis4 2" xfId="904" xr:uid="{A48CF575-C984-4383-BDDA-B2F7CE84909B}"/>
    <cellStyle name="60% - Énfasis4 2 2" xfId="3428" xr:uid="{4D671D06-B297-4DF3-94B2-8079B5BCC77A}"/>
    <cellStyle name="60% - Énfasis4 2 3" xfId="2991" xr:uid="{8845C6D4-2BF3-4604-B4BA-564AD738548A}"/>
    <cellStyle name="60% - Énfasis4 2 4" xfId="5998" xr:uid="{103EBB99-415E-49FA-A79F-DC05B3AF3AAA}"/>
    <cellStyle name="60% - Énfasis4 3" xfId="2992" xr:uid="{2DA23CF6-75A7-4916-9607-412E7A835259}"/>
    <cellStyle name="60% - Énfasis5 2" xfId="905" xr:uid="{161060CE-9F57-41F5-B908-4DED395335FC}"/>
    <cellStyle name="60% - Énfasis5 2 2" xfId="3429" xr:uid="{2F9D4561-A76A-4283-AEAA-FE3BDB4177BA}"/>
    <cellStyle name="60% - Énfasis5 2 3" xfId="2993" xr:uid="{5D418440-E0D6-4782-A72B-0B972EB84D2C}"/>
    <cellStyle name="60% - Énfasis5 2 4" xfId="5999" xr:uid="{13F5B416-0ED5-4C3A-8766-49D6E885B265}"/>
    <cellStyle name="60% - Énfasis5 3" xfId="2994" xr:uid="{2A76A843-B6A5-4607-803C-6B23B948FF04}"/>
    <cellStyle name="60% - Énfasis6 2" xfId="906" xr:uid="{6725A324-B13E-4F7F-B1EC-21A6B4287287}"/>
    <cellStyle name="60% - Énfasis6 2 2" xfId="3430" xr:uid="{1D6DB300-EA19-4752-9E7A-54C941359D34}"/>
    <cellStyle name="60% - Énfasis6 2 3" xfId="2995" xr:uid="{A51EF2C0-D57D-4BB2-A008-E69B45831881}"/>
    <cellStyle name="60% - Énfasis6 2 4" xfId="6000" xr:uid="{CEDFE2A8-8FA9-4674-BC16-E1B291D5D3C9}"/>
    <cellStyle name="60% - Énfasis6 3" xfId="2996" xr:uid="{BD2D426A-0199-4996-B6C7-206901DD9979}"/>
    <cellStyle name="Accent1" xfId="2997" xr:uid="{4F1F57F6-7E78-4219-97A7-AB595B4F1AB8}"/>
    <cellStyle name="Accent2" xfId="2998" xr:uid="{4E48BCAB-6A92-41DF-A1EE-7D012CF52018}"/>
    <cellStyle name="Accent3" xfId="2999" xr:uid="{0BA8CC7C-C32C-4C2B-A73A-D73F0585F4EE}"/>
    <cellStyle name="Accent4" xfId="3000" xr:uid="{5DE68825-A4CE-4735-BB21-337F4BFB3BB4}"/>
    <cellStyle name="Accent5" xfId="3001" xr:uid="{78C229D6-A3CE-463E-B79C-D291D6BBC759}"/>
    <cellStyle name="Accent6" xfId="3002" xr:uid="{3CD7E7E3-791F-448B-A3C0-5EBE620B4A4B}"/>
    <cellStyle name="AFE" xfId="2934" xr:uid="{D7057129-87CE-4F84-BAAD-277D805B86F2}"/>
    <cellStyle name="Bad" xfId="3003" xr:uid="{90C6CF37-089F-4B51-A416-21B570AFA16B}"/>
    <cellStyle name="Buena 2" xfId="3004" xr:uid="{9AF1269E-E90B-4A4F-94A7-36A87C1379BF}"/>
    <cellStyle name="Buena 3" xfId="3005" xr:uid="{365F35F0-CF42-409E-B438-2DC3A2877009}"/>
    <cellStyle name="Calculation" xfId="3006" xr:uid="{DA9B7004-596E-43C1-8285-12A43DDD5172}"/>
    <cellStyle name="Cálculo 2" xfId="907" xr:uid="{3EE052CB-9718-4923-9A22-45C5485F4829}"/>
    <cellStyle name="Cálculo 2 2" xfId="3431" xr:uid="{F96B8CEA-1E03-49E9-B833-ED1327E08BDF}"/>
    <cellStyle name="Cálculo 2 2 2" xfId="6001" xr:uid="{0099F3DD-3D46-41CD-A660-3109EFA8EAA3}"/>
    <cellStyle name="Cálculo 2 3" xfId="3007" xr:uid="{642E1CEC-1D89-4370-8E06-1EC2A22EC8D2}"/>
    <cellStyle name="Cálculo 3" xfId="3008" xr:uid="{744F7B87-8922-468C-8913-0006F2AC4A5C}"/>
    <cellStyle name="Celda de comprobación 2" xfId="908" xr:uid="{1F3683E3-07FA-4AF7-AC02-24908EF4FD9D}"/>
    <cellStyle name="Celda de comprobación 2 2" xfId="3432" xr:uid="{92773887-3853-4946-B47A-8D4434C7252D}"/>
    <cellStyle name="Celda de comprobación 2 2 2" xfId="6002" xr:uid="{9C6C8F20-7D24-4CA3-948B-DAD9B8FCEA14}"/>
    <cellStyle name="Celda de comprobación 2 3" xfId="3009" xr:uid="{62CF0276-E5BC-4337-A344-A103760D6125}"/>
    <cellStyle name="Celda de comprobación 3" xfId="3010" xr:uid="{EFA13339-669B-419C-8239-B2EBB1F169D5}"/>
    <cellStyle name="Celda vinculada 2" xfId="909" xr:uid="{D977CD8B-A45C-45E8-9C18-D5364966FF00}"/>
    <cellStyle name="Celda vinculada 3" xfId="3011" xr:uid="{575A91B1-DC88-4833-9704-9165B200E47F}"/>
    <cellStyle name="Check Cell" xfId="3012" xr:uid="{700C7B0D-61E1-4EFC-92B0-CFFF26E10D5B}"/>
    <cellStyle name="Comma0 - Modelo1" xfId="2935" xr:uid="{1997A16C-B74F-483A-8D8B-39054094EE85}"/>
    <cellStyle name="Curren - Modelo2" xfId="2936" xr:uid="{E3C69AD3-48F3-43F9-8FC0-7A2909F6ABA3}"/>
    <cellStyle name="Dia" xfId="34" xr:uid="{268952E8-527C-4FC8-8C54-7BC5615F5B85}"/>
    <cellStyle name="Encabez1" xfId="35" xr:uid="{DA41B3FB-1B96-4951-B9F9-C35ACE1175E7}"/>
    <cellStyle name="Encabez2" xfId="36" xr:uid="{09508A5F-CDB9-47D7-8021-0A3B6BC07867}"/>
    <cellStyle name="Encabezado 1 2" xfId="910" xr:uid="{CCD9D687-502D-478C-AD08-2DC2AC23FF9A}"/>
    <cellStyle name="Encabezado 1 3" xfId="911" xr:uid="{C4D1BC95-657B-40EE-9BE6-0A9E35A0D2A6}"/>
    <cellStyle name="Encabezado 4 2" xfId="912" xr:uid="{5AE86B93-EB6C-4477-9B37-C297A95D0295}"/>
    <cellStyle name="Encabezado 4 3" xfId="3013" xr:uid="{F9CD0969-2FDD-4A38-A5B8-FD224997B8C2}"/>
    <cellStyle name="Énfasis1 2" xfId="913" xr:uid="{5662F618-D012-4D40-A0B4-D1C978516D37}"/>
    <cellStyle name="Énfasis1 2 2" xfId="3433" xr:uid="{7D0500BF-3433-4D25-A011-A88F806C92B2}"/>
    <cellStyle name="Énfasis1 2 2 2" xfId="6003" xr:uid="{DB25DBD8-00FC-4E1E-8C9A-85F4641CD7ED}"/>
    <cellStyle name="Énfasis1 2 3" xfId="3014" xr:uid="{7488A540-8D90-46A1-8A7E-7D01C2D767BB}"/>
    <cellStyle name="Énfasis1 3" xfId="3015" xr:uid="{81FA9A4C-DFED-484B-8D41-68D62173649F}"/>
    <cellStyle name="Énfasis2 2" xfId="914" xr:uid="{20905648-62CF-40B8-B265-074A3B5D850D}"/>
    <cellStyle name="Énfasis2 2 2" xfId="3434" xr:uid="{DDB5B02F-8168-4760-ADB7-864C5AEA3BC4}"/>
    <cellStyle name="Énfasis2 2 2 2" xfId="6004" xr:uid="{236FEEC3-712D-410A-BB88-8D7D52E52121}"/>
    <cellStyle name="Énfasis2 2 3" xfId="3016" xr:uid="{DC47D5B7-E177-4C62-9AEA-03055EBADC6F}"/>
    <cellStyle name="Énfasis2 3" xfId="3017" xr:uid="{FC3FD272-E5A4-4B0B-BB65-BBD3FF80DFB1}"/>
    <cellStyle name="Énfasis3 2" xfId="915" xr:uid="{89545F5A-2148-4D71-B9C7-4B93E5311BB4}"/>
    <cellStyle name="Énfasis3 2 2" xfId="3435" xr:uid="{4EB278A3-48A7-4330-AC01-00909E2DD722}"/>
    <cellStyle name="Énfasis3 2 2 2" xfId="6005" xr:uid="{124AE04F-1B2C-4622-8BF1-5D287BCCD28E}"/>
    <cellStyle name="Énfasis3 2 3" xfId="3018" xr:uid="{DC8BAB49-79BA-46E9-AA6F-519224D595DC}"/>
    <cellStyle name="Énfasis3 3" xfId="3019" xr:uid="{4C1A1537-B6B3-4AB5-BEB4-F33AD87BAA44}"/>
    <cellStyle name="Énfasis4 2" xfId="916" xr:uid="{C0C62119-FBC7-45EF-BDB3-7A9AD737F1BA}"/>
    <cellStyle name="Énfasis4 2 2" xfId="3436" xr:uid="{929F8046-3372-4D27-A475-001C2F6DFD52}"/>
    <cellStyle name="Énfasis4 2 2 2" xfId="6006" xr:uid="{259DC677-35FD-468D-AA60-A258CFCDF5A3}"/>
    <cellStyle name="Énfasis4 2 3" xfId="3020" xr:uid="{6B9FE632-AE61-457A-A9AC-1AE765CAEE52}"/>
    <cellStyle name="Énfasis4 3" xfId="3021" xr:uid="{3ACC8C2D-E301-4B75-9505-D013B4A68786}"/>
    <cellStyle name="Énfasis5 2" xfId="917" xr:uid="{EF1F573A-4D59-4127-8389-568E43CBB980}"/>
    <cellStyle name="Énfasis5 2 2" xfId="3437" xr:uid="{70FAF828-B823-4385-AA9F-96CF5B8B1C29}"/>
    <cellStyle name="Énfasis5 2 2 2" xfId="6007" xr:uid="{CE95369C-F51D-4110-9C2E-C97FC16FA9D6}"/>
    <cellStyle name="Énfasis5 2 3" xfId="3022" xr:uid="{DC13FA1A-2F0C-4184-8F3C-E4403418448B}"/>
    <cellStyle name="Énfasis5 3" xfId="3023" xr:uid="{7CA8F77F-AFE7-4240-B4C5-6E4790DD93E0}"/>
    <cellStyle name="Énfasis6 2" xfId="918" xr:uid="{E478BDEA-5A88-42F8-A6FE-332790E13B04}"/>
    <cellStyle name="Énfasis6 2 2" xfId="3438" xr:uid="{658A6920-2332-4018-8ADB-B564E36169A1}"/>
    <cellStyle name="Énfasis6 2 2 2" xfId="6008" xr:uid="{0342FC3A-73A6-430E-8F92-5B8CA7AC66FC}"/>
    <cellStyle name="Énfasis6 2 3" xfId="3024" xr:uid="{DBF452D4-236A-4CD0-810F-4A1FD9F14F6F}"/>
    <cellStyle name="Énfasis6 3" xfId="3025" xr:uid="{38927F0A-BC17-4639-8C8C-AAD20AED3469}"/>
    <cellStyle name="Entrada 2" xfId="919" xr:uid="{936CED68-BCDB-4045-9FE7-F111A4116C6F}"/>
    <cellStyle name="Entrada 2 2" xfId="3439" xr:uid="{1AFA7423-4E9F-4B18-AC04-2AF2D8BDE06B}"/>
    <cellStyle name="Entrada 2 2 2" xfId="6009" xr:uid="{42B1F0CE-6515-4E17-93A5-A71F9C0760E5}"/>
    <cellStyle name="Entrada 2 3" xfId="3026" xr:uid="{2087F7F9-918D-434E-B89F-FAC4E8109A2D}"/>
    <cellStyle name="Entrada 3" xfId="3027" xr:uid="{EF0B1881-1968-4921-BEBF-DAD702002718}"/>
    <cellStyle name="Euro" xfId="37" xr:uid="{0F7762B0-585D-4DDA-A111-41D57668E4C2}"/>
    <cellStyle name="Euro 2" xfId="38" xr:uid="{92475D00-0264-40C4-9522-DB5625742E29}"/>
    <cellStyle name="Euro 2 2" xfId="6010" xr:uid="{185009C5-F916-41ED-92E0-36E334CFE15F}"/>
    <cellStyle name="Euro 3" xfId="3073" xr:uid="{80704154-9700-425E-AC3A-07644F6E1584}"/>
    <cellStyle name="Euro 4" xfId="2937" xr:uid="{920B6DD0-C7D0-4947-B7F3-DB5D2EFAB31F}"/>
    <cellStyle name="Explanatory Text" xfId="3028" xr:uid="{ECDECCF9-5499-489F-886B-502A6F38A983}"/>
    <cellStyle name="Fijo" xfId="39" xr:uid="{0A6F06C4-45F2-44A9-A6CB-DFA388A1CCB9}"/>
    <cellStyle name="Financiero" xfId="40" xr:uid="{13EDD7AB-6E3C-44FB-995C-97D63B092251}"/>
    <cellStyle name="Good" xfId="3029" xr:uid="{8C4BD859-F5AA-482D-AAF5-847966D01BCF}"/>
    <cellStyle name="Heading 1" xfId="3030" xr:uid="{996B1985-A5D3-4599-BBDD-02497BA91C0F}"/>
    <cellStyle name="Heading 2" xfId="3031" xr:uid="{94512D2A-3484-4ACF-8ABC-09E67160647A}"/>
    <cellStyle name="Heading 3" xfId="3032" xr:uid="{F6179490-5FE7-4357-972B-D55266BCDF6C}"/>
    <cellStyle name="Heading 4" xfId="3033" xr:uid="{0B712346-DE52-4B5D-A170-FE7478E739A2}"/>
    <cellStyle name="Hipervínculo 2" xfId="6011" xr:uid="{63E59170-6432-4294-9090-1F36604ABB9F}"/>
    <cellStyle name="Hipervínculo 3" xfId="6012" xr:uid="{642A0EAD-C9A5-4846-8139-BA3D7A15EEDA}"/>
    <cellStyle name="Incorrecto 2" xfId="920" xr:uid="{A0BF377B-241E-41B1-8721-6735577AAAED}"/>
    <cellStyle name="Incorrecto 2 2" xfId="3440" xr:uid="{39BC7AB7-CF71-41B4-A1E1-904D836D96C1}"/>
    <cellStyle name="Incorrecto 2 2 2" xfId="6013" xr:uid="{247DAF56-444E-4B14-A037-12D887A77E61}"/>
    <cellStyle name="Incorrecto 2 3" xfId="3034" xr:uid="{E70080E5-310C-45ED-B740-6815A78596A8}"/>
    <cellStyle name="Incorrecto 3" xfId="3035" xr:uid="{40970ADB-1FC4-4C29-9869-7CA8DF4DCD66}"/>
    <cellStyle name="Input" xfId="3036" xr:uid="{2F2B8C7C-B452-402F-9C62-BEFB509336D9}"/>
    <cellStyle name="Linked Cell" xfId="3037" xr:uid="{ABCAC2C6-9226-47CE-816A-C7BCD4CFF538}"/>
    <cellStyle name="Migliaia 2" xfId="2938" xr:uid="{821263FF-BE6E-4122-870E-6F2E91F2B76F}"/>
    <cellStyle name="Millares" xfId="1" builtinId="3"/>
    <cellStyle name="Millares 10" xfId="42" xr:uid="{78BF3F9E-3D07-46AA-80CC-29D2D1D81383}"/>
    <cellStyle name="Millares 10 10" xfId="6014" xr:uid="{26E54341-6C93-4C1B-91E1-C782E6497C3E}"/>
    <cellStyle name="Millares 10 2" xfId="189" xr:uid="{8FFFAA14-4B60-47C3-AAFC-BAF456E85F69}"/>
    <cellStyle name="Millares 10 2 2" xfId="1503" xr:uid="{40CF0377-82D2-492F-B615-3D679C257358}"/>
    <cellStyle name="Millares 10 2 2 2" xfId="5775" xr:uid="{19638F35-A9AC-4BEF-BBF4-413DA471AAA0}"/>
    <cellStyle name="Millares 10 2 2 3" xfId="6016" xr:uid="{5C1A32BD-FC7F-4BD3-A867-9CAE23FB6307}"/>
    <cellStyle name="Millares 10 2 3" xfId="1805" xr:uid="{E9D26783-9AC6-4C92-AF23-F01FCE4314EB}"/>
    <cellStyle name="Millares 10 2 3 2" xfId="6017" xr:uid="{65BE6CB7-775C-4B9A-BB36-8F3274F5F3EB}"/>
    <cellStyle name="Millares 10 2 4" xfId="1373" xr:uid="{595A35A1-C8C2-4988-BF80-592FBC637DBC}"/>
    <cellStyle name="Millares 10 2 4 2" xfId="6018" xr:uid="{ECA76286-561D-430E-8A16-2057DF66D522}"/>
    <cellStyle name="Millares 10 2 5" xfId="6015" xr:uid="{3BF131AE-8856-411D-B62E-9B69C5186B90}"/>
    <cellStyle name="Millares 10 3" xfId="289" xr:uid="{49A13B97-CEEF-4321-9088-25DAF6CCE758}"/>
    <cellStyle name="Millares 10 3 2" xfId="1904" xr:uid="{AD8B642F-4738-47D3-AA3E-C1B068BCA79D}"/>
    <cellStyle name="Millares 10 3 3" xfId="1602" xr:uid="{79E011B7-C197-46EC-934B-330E04B563FD}"/>
    <cellStyle name="Millares 10 3 4" xfId="6019" xr:uid="{52CDBB1C-72A0-449F-937F-75DEB368B3FB}"/>
    <cellStyle name="Millares 10 4" xfId="389" xr:uid="{7751F9A6-B610-44FC-8FA7-6E023DAFDD6E}"/>
    <cellStyle name="Millares 10 4 2" xfId="2004" xr:uid="{1488C047-519E-4EC3-97BF-CCAC8374BB72}"/>
    <cellStyle name="Millares 10 4 3" xfId="1398" xr:uid="{11134B31-1ED5-4359-A8E5-9ACEEA82EF3C}"/>
    <cellStyle name="Millares 10 4 4" xfId="6020" xr:uid="{C9F59265-DAFD-4EA5-A855-97EA79D7D560}"/>
    <cellStyle name="Millares 10 5" xfId="1705" xr:uid="{5CA81D88-BF68-479A-B761-6CAFA95BD44D}"/>
    <cellStyle name="Millares 10 5 2" xfId="6021" xr:uid="{EE55F496-0926-4146-A64C-D0AE93A32C08}"/>
    <cellStyle name="Millares 10 6" xfId="954" xr:uid="{49F5D4C1-AA0B-4F30-8BCA-030C5A303A32}"/>
    <cellStyle name="Millares 10 6 2" xfId="6022" xr:uid="{394B6169-FC68-4827-8609-C1199A512137}"/>
    <cellStyle name="Millares 10 7" xfId="2106" xr:uid="{C3C9259D-3B4C-4001-B13A-2513899E8DD7}"/>
    <cellStyle name="Millares 10 8" xfId="6023" xr:uid="{D1D3E4FD-E7E7-417B-94AA-7F2C4547EDF5}"/>
    <cellStyle name="Millares 10 9" xfId="6024" xr:uid="{BC8FB496-2822-4379-AC9B-3E0C40B60B15}"/>
    <cellStyle name="Millares 11" xfId="43" xr:uid="{1CFF48EE-2C27-4830-8B45-5A25C4391C6B}"/>
    <cellStyle name="Millares 11 2" xfId="190" xr:uid="{37906246-AB62-4A9D-8B9E-C774D4748533}"/>
    <cellStyle name="Millares 11 2 2" xfId="1504" xr:uid="{4F66556B-DE35-4F22-AEE8-6C79D3790016}"/>
    <cellStyle name="Millares 11 2 2 2" xfId="3840" xr:uid="{94BB4E2C-1DA7-45E6-A346-DB18AC738EB6}"/>
    <cellStyle name="Millares 11 2 2 2 2" xfId="5776" xr:uid="{462DFD92-B259-47F3-8AB8-3115CD04EC4E}"/>
    <cellStyle name="Millares 11 2 2 3" xfId="4636" xr:uid="{15E7D446-1473-47D1-BF7C-1C7CC3182C12}"/>
    <cellStyle name="Millares 11 2 3" xfId="1806" xr:uid="{9FB5848A-19FC-4D45-84EF-BC7ADDBB1BD0}"/>
    <cellStyle name="Millares 11 2 3 2" xfId="3134" xr:uid="{D48452B4-6C07-4B8B-A220-D4137BEA4877}"/>
    <cellStyle name="Millares 11 2 3 3" xfId="4822" xr:uid="{50F7CEFC-5D47-4F84-B1D7-0C88E6BF7B39}"/>
    <cellStyle name="Millares 11 2 4" xfId="1375" xr:uid="{B83C381D-6E90-40A1-9DC2-D7427D305873}"/>
    <cellStyle name="Millares 11 2 5" xfId="6026" xr:uid="{33846063-A970-4AED-A3EA-FD6F18C8DDCF}"/>
    <cellStyle name="Millares 11 3" xfId="290" xr:uid="{E860BB7C-30B8-4C1B-A672-AEAD5298D944}"/>
    <cellStyle name="Millares 11 3 2" xfId="1905" xr:uid="{B9688A1B-9B93-4BA9-86AB-5DE563DED31B}"/>
    <cellStyle name="Millares 11 3 2 2" xfId="4883" xr:uid="{20F0C08F-94FF-49ED-94BA-D4AAB529BDA0}"/>
    <cellStyle name="Millares 11 3 3" xfId="1603" xr:uid="{77611EB6-5E6F-4F3A-94E9-8C94AF26B6DF}"/>
    <cellStyle name="Millares 11 3 3 2" xfId="5868" xr:uid="{306B1367-0094-408D-B5AB-7436C0473FB4}"/>
    <cellStyle name="Millares 11 3 4" xfId="3454" xr:uid="{05C314B2-31CB-4615-AB9C-B8532E155973}"/>
    <cellStyle name="Millares 11 3 4 2" xfId="6027" xr:uid="{F49373A0-8616-4A37-B1AC-469E40298E61}"/>
    <cellStyle name="Millares 11 3 5" xfId="4697" xr:uid="{E4A95077-0E02-43C7-8D59-CAB5A310D758}"/>
    <cellStyle name="Millares 11 4" xfId="390" xr:uid="{A4D75EAC-CC18-4B19-878C-5A756CBF02E0}"/>
    <cellStyle name="Millares 11 4 2" xfId="2005" xr:uid="{59607D3F-68F0-4DF2-8CCB-737F29D34C6C}"/>
    <cellStyle name="Millares 11 4 2 2" xfId="4945" xr:uid="{C5A0B6CB-DDA0-464E-B485-46C652F6E663}"/>
    <cellStyle name="Millares 11 4 3" xfId="1399" xr:uid="{5E46B45C-06AB-4D92-A34B-2A27900B5BA0}"/>
    <cellStyle name="Millares 11 4 3 2" xfId="5705" xr:uid="{0C6A3E29-35B8-4C4F-BC72-42BE600111F5}"/>
    <cellStyle name="Millares 11 4 4" xfId="3075" xr:uid="{AD1AA56C-3EA6-48B0-9B86-E39BA575926E}"/>
    <cellStyle name="Millares 11 4 4 2" xfId="6028" xr:uid="{C7E10F03-A966-414C-AE77-EA35879EA381}"/>
    <cellStyle name="Millares 11 4 5" xfId="4575" xr:uid="{15D41939-4FF4-41E9-802B-03CDD0A4C69C}"/>
    <cellStyle name="Millares 11 5" xfId="1706" xr:uid="{3B411369-77AD-4293-B7F2-F0D0D8F8B4F6}"/>
    <cellStyle name="Millares 11 5 2" xfId="6029" xr:uid="{7C80035A-B86D-4F4B-828D-A52E01184B33}"/>
    <cellStyle name="Millares 11 5 3" xfId="4761" xr:uid="{3F6F6899-1D1D-42E3-8206-023ABEAA7301}"/>
    <cellStyle name="Millares 11 6" xfId="955" xr:uid="{5D563335-3A78-45CE-B8D1-1920A7AC1989}"/>
    <cellStyle name="Millares 11 6 2" xfId="6030" xr:uid="{0D8738EE-9AE0-4EE4-AA6A-5C9CB792C99F}"/>
    <cellStyle name="Millares 11 7" xfId="2107" xr:uid="{FB4050E2-04E2-47C7-A1F6-F8210FA1EFA8}"/>
    <cellStyle name="Millares 11 7 2" xfId="6025" xr:uid="{98DEB974-B7E7-4C3E-915C-2D8D90AB3018}"/>
    <cellStyle name="Millares 12" xfId="44" xr:uid="{14B71FA2-70E8-4C94-95E9-0BD2696798D7}"/>
    <cellStyle name="Millares 12 2" xfId="191" xr:uid="{6A3CD4B7-0598-486C-8FE9-46D5F737C12E}"/>
    <cellStyle name="Millares 12 2 2" xfId="1807" xr:uid="{D7FE4D5E-07C9-429F-8AEB-DF5D3CBD8824}"/>
    <cellStyle name="Millares 12 2 3" xfId="1505" xr:uid="{8B22BBC0-6860-4D77-B24B-A44AD9D9127F}"/>
    <cellStyle name="Millares 12 2 4" xfId="6032" xr:uid="{995C88E2-5E3D-453D-B88D-3AF26E15D08D}"/>
    <cellStyle name="Millares 12 3" xfId="291" xr:uid="{38B2FC04-1C27-4065-B9FC-1EB48D377009}"/>
    <cellStyle name="Millares 12 3 2" xfId="1906" xr:uid="{CB67C239-E862-4E73-B86C-93A516F9C986}"/>
    <cellStyle name="Millares 12 3 3" xfId="1604" xr:uid="{209BE703-CADA-43B1-A958-C13ACBB88C2D}"/>
    <cellStyle name="Millares 12 3 4" xfId="3474" xr:uid="{11923BEC-DEFC-434D-A8D8-6274B7DCDBAA}"/>
    <cellStyle name="Millares 12 3 4 2" xfId="6033" xr:uid="{853713DA-F9F5-4C0B-90A9-21E6945CAAD4}"/>
    <cellStyle name="Millares 12 4" xfId="391" xr:uid="{A3B8FEE9-0161-4C97-8BD1-323BCF9E248B}"/>
    <cellStyle name="Millares 12 4 2" xfId="2006" xr:uid="{30E7A9A4-39AB-40B9-ACB2-184AA57AF66F}"/>
    <cellStyle name="Millares 12 4 3" xfId="1400" xr:uid="{2314D90D-BD7B-4F9B-8DEB-DE78DD53AEC8}"/>
    <cellStyle name="Millares 12 4 4" xfId="6034" xr:uid="{6D27EC4A-D2F1-48FB-847D-00C86BBFB8E5}"/>
    <cellStyle name="Millares 12 5" xfId="1707" xr:uid="{2DDFA678-30BB-408C-A669-AD74435016BB}"/>
    <cellStyle name="Millares 12 5 2" xfId="6035" xr:uid="{2BFC0449-DCD6-41BD-A8E7-CFE4176DB1F7}"/>
    <cellStyle name="Millares 12 6" xfId="977" xr:uid="{D3AFF951-9CA1-497E-88E0-08CEDBE95036}"/>
    <cellStyle name="Millares 12 7" xfId="2108" xr:uid="{AD137A0B-94B3-432F-AD2D-91A7CD4242F1}"/>
    <cellStyle name="Millares 12 7 2" xfId="6031" xr:uid="{76E198AC-7603-4FF0-96AA-39776F09AD17}"/>
    <cellStyle name="Millares 13" xfId="41" xr:uid="{BDDC3FB4-9594-4DDA-8781-0FC8C25F6E60}"/>
    <cellStyle name="Millares 13 2" xfId="1704" xr:uid="{37D074D1-0719-4FBB-9723-D5D85DFCED13}"/>
    <cellStyle name="Millares 13 2 2" xfId="6037" xr:uid="{CE23CBBA-A5B3-4FC6-B43E-A1338D747323}"/>
    <cellStyle name="Millares 13 3" xfId="1397" xr:uid="{A2607FD3-CD4E-4602-B1E7-D6C65F358239}"/>
    <cellStyle name="Millares 13 3 2" xfId="3074" xr:uid="{0B8D6B45-BC5A-4121-A243-B9D2AE5D88D1}"/>
    <cellStyle name="Millares 13 3 2 2" xfId="6038" xr:uid="{C08FAA27-9F25-4069-ADBB-B9587A77EDF8}"/>
    <cellStyle name="Millares 13 4" xfId="6036" xr:uid="{14C07216-8307-47C1-BB66-A0A969A2B712}"/>
    <cellStyle name="Millares 14" xfId="188" xr:uid="{7AFD8FB5-4A10-4F39-9D7A-40EF55F850C0}"/>
    <cellStyle name="Millares 14 2" xfId="1804" xr:uid="{2FEC6C97-AB3F-4C0E-84BE-D3E40DFD012B}"/>
    <cellStyle name="Millares 14 2 2" xfId="6040" xr:uid="{37EABD51-9172-4D27-B106-CD8C967D669A}"/>
    <cellStyle name="Millares 14 3" xfId="1502" xr:uid="{E66E6C0F-9163-4893-A92D-E4F7CA488577}"/>
    <cellStyle name="Millares 14 3 2" xfId="6041" xr:uid="{F4D0C2C1-CC3D-4F06-8B7D-5627E88E9E11}"/>
    <cellStyle name="Millares 14 4" xfId="6039" xr:uid="{397D6EE7-E76D-4D40-B6D2-84A799661FDC}"/>
    <cellStyle name="Millares 15" xfId="388" xr:uid="{397549FD-A3C7-45F4-BA52-D5F974DC1DA5}"/>
    <cellStyle name="Millares 15 2" xfId="2104" xr:uid="{38B6365E-31CB-41DB-AC3E-1A1FE226E5D6}"/>
    <cellStyle name="Millares 15 2 2" xfId="6043" xr:uid="{D7425765-25EB-41D6-984F-248A033646E5}"/>
    <cellStyle name="Millares 15 3" xfId="2003" xr:uid="{59E9E04C-9AB2-4EB2-BFFA-646411ED0E50}"/>
    <cellStyle name="Millares 15 3 2" xfId="6044" xr:uid="{C9DE50F6-63F0-4C13-A00D-2394F119166B}"/>
    <cellStyle name="Millares 15 3 3" xfId="5945" xr:uid="{5EBE6DBF-3A4F-45B6-B6B2-645AE1D2B3B1}"/>
    <cellStyle name="Millares 15 4" xfId="3128" xr:uid="{B50C7F9F-48D4-4658-86CF-3E3F9FF63E4D}"/>
    <cellStyle name="Millares 15 4 2" xfId="6042" xr:uid="{26AAE52B-B9CB-455C-ADDE-7C35628D0113}"/>
    <cellStyle name="Millares 15 5" xfId="4944" xr:uid="{558E1633-33EF-4BEF-9E06-6C51765E29EF}"/>
    <cellStyle name="Millares 16" xfId="5977" xr:uid="{FAC372BE-0BA1-45C8-B2D0-CEAF17E64057}"/>
    <cellStyle name="Millares 16 2" xfId="6045" xr:uid="{B0FC0502-6126-4107-8557-8938C2FA20D3}"/>
    <cellStyle name="Millares 17" xfId="6046" xr:uid="{FF053F95-C7E3-4096-A261-69F892A3A3E1}"/>
    <cellStyle name="Millares 2" xfId="9" xr:uid="{D52233AE-A728-4040-A4AF-F817194B3878}"/>
    <cellStyle name="Millares 2 10" xfId="192" xr:uid="{8FFF816C-BE2E-46C5-AFF0-6956AD6FED71}"/>
    <cellStyle name="Millares 2 10 2" xfId="1808" xr:uid="{56772804-2D01-44B1-BB87-6EDF46DE1206}"/>
    <cellStyle name="Millares 2 10 3" xfId="1506" xr:uid="{39D5417F-4BAF-4932-8820-93F23BEBAADB}"/>
    <cellStyle name="Millares 2 10 4" xfId="6047" xr:uid="{C9307D5C-3971-43CD-8B92-615FF9682733}"/>
    <cellStyle name="Millares 2 11" xfId="292" xr:uid="{0A4DEDAA-2F70-4273-B9A5-3FF2DBC009C2}"/>
    <cellStyle name="Millares 2 11 2" xfId="1907" xr:uid="{765C6885-A8F5-44C5-A90E-75EF3446A65A}"/>
    <cellStyle name="Millares 2 11 3" xfId="1605" xr:uid="{10D54D3C-AC63-4A83-9C18-209B97F31B39}"/>
    <cellStyle name="Millares 2 11 4" xfId="2939" xr:uid="{63DB6244-FD6B-42E3-B59F-E82EF02C1A5B}"/>
    <cellStyle name="Millares 2 11 4 2" xfId="6048" xr:uid="{A3CE3CFB-75CB-4B82-9F5B-F72C95BF4F8B}"/>
    <cellStyle name="Millares 2 12" xfId="392" xr:uid="{4FD0E860-5F1F-4012-ADF8-BDCCE010573E}"/>
    <cellStyle name="Millares 2 12 2" xfId="2007" xr:uid="{D988635A-1228-4C11-B8FC-60A567E21271}"/>
    <cellStyle name="Millares 2 12 3" xfId="6049" xr:uid="{66DCDCDB-6211-403B-930B-101AB8499032}"/>
    <cellStyle name="Millares 2 13" xfId="2109" xr:uid="{35743E4A-A6B2-4AFA-A6B0-E55649AFBA7A}"/>
    <cellStyle name="Millares 2 2" xfId="46" xr:uid="{9DF730E7-3EB7-4E29-8A50-92A76BF2B88B}"/>
    <cellStyle name="Millares 2 2 10" xfId="519" xr:uid="{2ED52635-D3FE-42FE-95DB-ACAC205A38A5}"/>
    <cellStyle name="Millares 2 2 10 2" xfId="6052" xr:uid="{D473C6F5-A35F-4E30-BE5E-494B7245698D}"/>
    <cellStyle name="Millares 2 2 10 3" xfId="6053" xr:uid="{09516355-B9FF-4362-8CF1-6F264D42699E}"/>
    <cellStyle name="Millares 2 2 10 4" xfId="6054" xr:uid="{B8BE0EAB-683A-478C-87C8-5EEF9E3B3923}"/>
    <cellStyle name="Millares 2 2 10 5" xfId="6055" xr:uid="{A5964ED7-5B6B-42A0-BE44-A9029501CD59}"/>
    <cellStyle name="Millares 2 2 10 6" xfId="6051" xr:uid="{D4870EB7-74AB-4045-8183-8334ABB87661}"/>
    <cellStyle name="Millares 2 2 10 7" xfId="5033" xr:uid="{A844514F-A375-4B4D-B89C-1B58A2795783}"/>
    <cellStyle name="Millares 2 2 11" xfId="2110" xr:uid="{D0939ECE-F1CC-49CD-93A6-8BF6EBACEC7B}"/>
    <cellStyle name="Millares 2 2 11 2" xfId="6057" xr:uid="{5261D324-360C-4B30-A6D6-A4B98DB85A6A}"/>
    <cellStyle name="Millares 2 2 11 3" xfId="6056" xr:uid="{B02F21B2-3F43-408E-8525-D4674EED4FAF}"/>
    <cellStyle name="Millares 2 2 12" xfId="2232" xr:uid="{BA8C34F7-A1ED-487A-850F-926F75BF9034}"/>
    <cellStyle name="Millares 2 2 12 2" xfId="6050" xr:uid="{7CF39A5F-711E-417B-BCDA-3DCA36E30FBE}"/>
    <cellStyle name="Millares 2 2 13" xfId="3903" xr:uid="{8ECB5A0C-EB61-41A1-9C36-C677FA61CAE5}"/>
    <cellStyle name="Millares 2 2 2" xfId="193" xr:uid="{C5B1ABB4-1D41-407D-AE57-45FEAEBA8AEC}"/>
    <cellStyle name="Millares 2 2 2 2" xfId="1028" xr:uid="{98AF2139-63DE-48C1-9038-8F91BDCB556E}"/>
    <cellStyle name="Millares 2 2 2 2 2" xfId="3524" xr:uid="{BB89E38B-9FED-456C-8613-943DF8D8FD64}"/>
    <cellStyle name="Millares 2 2 2 2 2 2" xfId="5409" xr:uid="{C6A5EA03-2099-4555-B4D8-D18183D25ED6}"/>
    <cellStyle name="Millares 2 2 2 2 3" xfId="2608" xr:uid="{6A17AE99-0A9A-4B94-BB6B-7D50BA8BD452}"/>
    <cellStyle name="Millares 2 2 2 2 3 2" xfId="6059" xr:uid="{82499BF5-1CBA-45A1-A18A-90D9E1F93C19}"/>
    <cellStyle name="Millares 2 2 2 2 4" xfId="4279" xr:uid="{ADB145A4-DF96-4006-AB50-60E0B1F93CDB}"/>
    <cellStyle name="Millares 2 2 2 3" xfId="1507" xr:uid="{1969F808-D37E-46B2-BB46-58659BCF6EB0}"/>
    <cellStyle name="Millares 2 2 2 3 2" xfId="3142" xr:uid="{D94EB2BB-890E-4987-A1B5-CFA65F967A0C}"/>
    <cellStyle name="Millares 2 2 2 3 2 2" xfId="5777" xr:uid="{136E309A-10AF-4A1B-9D88-5B1660774A14}"/>
    <cellStyle name="Millares 2 2 2 3 3" xfId="4637" xr:uid="{0D025745-2086-4768-9F47-3F9660859395}"/>
    <cellStyle name="Millares 2 2 2 4" xfId="1809" xr:uid="{82914C00-0EF9-4999-A118-B34F76B82845}"/>
    <cellStyle name="Millares 2 2 2 4 2" xfId="4823" xr:uid="{7522845D-D86A-4A8B-8B50-B45153D29DD4}"/>
    <cellStyle name="Millares 2 2 2 5" xfId="550" xr:uid="{FA6270E8-E4C8-4877-AF68-ACEE04803F7E}"/>
    <cellStyle name="Millares 2 2 2 5 2" xfId="5061" xr:uid="{1D9066E6-59D8-4A38-B956-69FE697C2132}"/>
    <cellStyle name="Millares 2 2 2 6" xfId="2260" xr:uid="{7EBB1F05-2521-4545-B3EA-56720BC22BA2}"/>
    <cellStyle name="Millares 2 2 2 6 2" xfId="6058" xr:uid="{28C8A20A-BAC5-47A0-8177-250F27E934F0}"/>
    <cellStyle name="Millares 2 2 2 7" xfId="3931" xr:uid="{28860020-F336-438D-8049-6C47EB29F01C}"/>
    <cellStyle name="Millares 2 2 3" xfId="293" xr:uid="{8F783A0A-AB48-4E96-8337-594AB011BCE4}"/>
    <cellStyle name="Millares 2 2 3 10" xfId="6061" xr:uid="{C7D8C261-D341-40E3-94BE-2577E872DB66}"/>
    <cellStyle name="Millares 2 2 3 11" xfId="6062" xr:uid="{587F5728-68DC-4848-8ED8-3A192A818182}"/>
    <cellStyle name="Millares 2 2 3 12" xfId="6063" xr:uid="{C92B45E5-FFAC-4BEB-A05E-3BF7FD0A299B}"/>
    <cellStyle name="Millares 2 2 3 13" xfId="6064" xr:uid="{FF0DDA40-6800-423B-9562-AC3401044CF7}"/>
    <cellStyle name="Millares 2 2 3 14" xfId="6060" xr:uid="{A8270E48-CBE5-48E2-AFD6-4D9D2D8D0C92}"/>
    <cellStyle name="Millares 2 2 3 15" xfId="3986" xr:uid="{C1C51A78-8051-4BF3-85FB-320738A09170}"/>
    <cellStyle name="Millares 2 2 3 2" xfId="1092" xr:uid="{84D43BD2-28FE-4FC8-B4A2-439BC72B4548}"/>
    <cellStyle name="Millares 2 2 3 2 10" xfId="6066" xr:uid="{9DFCDC80-FED7-4D09-BA0F-3758529CEFB0}"/>
    <cellStyle name="Millares 2 2 3 2 11" xfId="6067" xr:uid="{2D135BB1-A6A0-495E-A477-288540385E79}"/>
    <cellStyle name="Millares 2 2 3 2 12" xfId="6065" xr:uid="{CBE83D4B-3778-4CF9-99A9-309CC55CA6F7}"/>
    <cellStyle name="Millares 2 2 3 2 13" xfId="4334" xr:uid="{31122EDE-8CCF-441E-800D-5BCB091C45C6}"/>
    <cellStyle name="Millares 2 2 3 2 2" xfId="3579" xr:uid="{D3FF55D4-A931-4BCC-AF7B-FCF5619FFED3}"/>
    <cellStyle name="Millares 2 2 3 2 2 10" xfId="5464" xr:uid="{6AA2DD6C-993D-4D2D-AF11-7FEC0EF196FB}"/>
    <cellStyle name="Millares 2 2 3 2 2 2" xfId="6069" xr:uid="{27EF1210-AF4A-41F3-B346-C562190A6605}"/>
    <cellStyle name="Millares 2 2 3 2 2 2 2" xfId="6070" xr:uid="{EF61D1D3-0AF9-4965-B58E-0971E2EEA486}"/>
    <cellStyle name="Millares 2 2 3 2 2 3" xfId="6071" xr:uid="{A0B54DEB-0A64-494B-A851-C503CEF7F6B9}"/>
    <cellStyle name="Millares 2 2 3 2 2 4" xfId="6072" xr:uid="{BC29A16F-440A-4F04-B707-85EC5CF49EAF}"/>
    <cellStyle name="Millares 2 2 3 2 2 5" xfId="6073" xr:uid="{A9232965-FFCE-42B5-869F-8BAC61CE8E0A}"/>
    <cellStyle name="Millares 2 2 3 2 2 6" xfId="6074" xr:uid="{44D4A1BA-0B59-486E-8A78-19E390D0BC74}"/>
    <cellStyle name="Millares 2 2 3 2 2 7" xfId="6075" xr:uid="{B0836008-A655-4664-AFD3-4B4BE6EFF7FE}"/>
    <cellStyle name="Millares 2 2 3 2 2 8" xfId="6076" xr:uid="{3A7E5006-6086-479B-91D5-D8A3440BBD38}"/>
    <cellStyle name="Millares 2 2 3 2 2 9" xfId="6068" xr:uid="{FA27AA5B-B53D-4C3D-8B3A-936FBDF52340}"/>
    <cellStyle name="Millares 2 2 3 2 3" xfId="2663" xr:uid="{295507D1-98A7-489F-AD1E-DCF5739AF6C6}"/>
    <cellStyle name="Millares 2 2 3 2 3 2" xfId="6078" xr:uid="{0D765F6A-3B1A-4896-BFC1-F57FA3336761}"/>
    <cellStyle name="Millares 2 2 3 2 3 2 2" xfId="6079" xr:uid="{4B4D9DE2-C7AE-4FDF-B85F-757E86412A56}"/>
    <cellStyle name="Millares 2 2 3 2 3 3" xfId="6080" xr:uid="{3F886A0E-08A4-430F-9E3D-71A4E45FFBB7}"/>
    <cellStyle name="Millares 2 2 3 2 3 4" xfId="6081" xr:uid="{9226BE94-0FE1-49D6-B705-B77979F85670}"/>
    <cellStyle name="Millares 2 2 3 2 3 5" xfId="6082" xr:uid="{7E3FF074-6AE4-4ACC-95E1-702B8A7EF699}"/>
    <cellStyle name="Millares 2 2 3 2 3 6" xfId="6083" xr:uid="{BCD27521-D013-4E57-840B-FB516CD159B6}"/>
    <cellStyle name="Millares 2 2 3 2 3 7" xfId="6077" xr:uid="{001EAF1D-49C8-45ED-988E-4B22F77D207B}"/>
    <cellStyle name="Millares 2 2 3 2 4" xfId="6084" xr:uid="{58B8DB31-78FA-4DA5-8EFC-7D37F86EC9E8}"/>
    <cellStyle name="Millares 2 2 3 2 4 2" xfId="6085" xr:uid="{38F9622E-E1F5-493F-89A1-E0024A42912E}"/>
    <cellStyle name="Millares 2 2 3 2 4 2 2" xfId="6086" xr:uid="{56FC96E0-5BFD-4BFE-BAE2-CD810D84AF19}"/>
    <cellStyle name="Millares 2 2 3 2 4 3" xfId="6087" xr:uid="{90216674-EA80-40D5-84AD-53333B34E4D2}"/>
    <cellStyle name="Millares 2 2 3 2 4 4" xfId="6088" xr:uid="{56041037-86B9-484A-BB40-B7FD3FCFDB27}"/>
    <cellStyle name="Millares 2 2 3 2 4 5" xfId="6089" xr:uid="{05EBDE77-90D0-4E71-BDED-44F792131751}"/>
    <cellStyle name="Millares 2 2 3 2 4 6" xfId="6090" xr:uid="{01931F52-EA83-4C8B-ACC9-8782AAE8DF3B}"/>
    <cellStyle name="Millares 2 2 3 2 5" xfId="6091" xr:uid="{2B9FE705-7287-4AB3-9548-5669144B4524}"/>
    <cellStyle name="Millares 2 2 3 2 5 2" xfId="6092" xr:uid="{B8949055-651B-46A2-A2D1-A8BDDA8D2A73}"/>
    <cellStyle name="Millares 2 2 3 2 5 3" xfId="6093" xr:uid="{010DFB43-75EB-469E-A6C9-855A9DEB0391}"/>
    <cellStyle name="Millares 2 2 3 2 5 4" xfId="6094" xr:uid="{877EC8C4-49D0-4544-A51B-9C9ECB98E632}"/>
    <cellStyle name="Millares 2 2 3 2 6" xfId="6095" xr:uid="{6F43331A-3AE6-45C4-A801-B88E5AE9F700}"/>
    <cellStyle name="Millares 2 2 3 2 7" xfId="6096" xr:uid="{A16307A1-8345-4ABE-9AD2-9597E5A16713}"/>
    <cellStyle name="Millares 2 2 3 2 8" xfId="6097" xr:uid="{848F879C-77F2-45CA-8A76-20907ACAD5C4}"/>
    <cellStyle name="Millares 2 2 3 2 9" xfId="6098" xr:uid="{387D3CF0-D06F-4AE2-8A1B-1503C14C46B3}"/>
    <cellStyle name="Millares 2 2 3 3" xfId="1606" xr:uid="{260A72AE-538A-4941-B172-56714CE83EAF}"/>
    <cellStyle name="Millares 2 2 3 3 10" xfId="4698" xr:uid="{52BEA536-E4C2-4359-BFF7-FE520046C7FD}"/>
    <cellStyle name="Millares 2 2 3 3 2" xfId="3190" xr:uid="{DD712106-62E8-4376-A7EC-E6CB21676EB6}"/>
    <cellStyle name="Millares 2 2 3 3 2 2" xfId="6101" xr:uid="{AC41799A-77CA-4927-B1BA-560A48851DBC}"/>
    <cellStyle name="Millares 2 2 3 3 2 3" xfId="6100" xr:uid="{44CF8E3E-5F1C-4FA3-A020-7EB3CF3AF6A9}"/>
    <cellStyle name="Millares 2 2 3 3 2 4" xfId="5869" xr:uid="{1BEF4FF8-0FFD-475A-A982-CA81359D8BAA}"/>
    <cellStyle name="Millares 2 2 3 3 3" xfId="6102" xr:uid="{F72A382D-C7F1-4066-AE19-7C07B74B10A2}"/>
    <cellStyle name="Millares 2 2 3 3 4" xfId="6103" xr:uid="{086AA122-8504-454A-B160-5A62D5756901}"/>
    <cellStyle name="Millares 2 2 3 3 5" xfId="6104" xr:uid="{4D8B6E00-9447-4A27-BFA1-E9AF16DCA489}"/>
    <cellStyle name="Millares 2 2 3 3 6" xfId="6105" xr:uid="{E281660E-CD5C-4864-A63C-020BB8E0F060}"/>
    <cellStyle name="Millares 2 2 3 3 7" xfId="6106" xr:uid="{5CFBDCDD-0627-4A43-A09A-F97662F60888}"/>
    <cellStyle name="Millares 2 2 3 3 8" xfId="6107" xr:uid="{78A37D85-D94B-4330-B13C-90B45318C97F}"/>
    <cellStyle name="Millares 2 2 3 3 9" xfId="6099" xr:uid="{14C8784F-0952-42A9-86AD-2992F790FA5F}"/>
    <cellStyle name="Millares 2 2 3 4" xfId="1908" xr:uid="{EC30DF18-50AE-4295-A7FD-02505A4F8C28}"/>
    <cellStyle name="Millares 2 2 3 4 2" xfId="6109" xr:uid="{D9C011ED-4ADB-4A76-AB87-CE05966B236F}"/>
    <cellStyle name="Millares 2 2 3 4 2 2" xfId="6110" xr:uid="{46571485-1CB5-4EB4-A89D-3FFB642CF915}"/>
    <cellStyle name="Millares 2 2 3 4 3" xfId="6111" xr:uid="{837FA6B7-4857-48FF-8C2C-DD7A2A563494}"/>
    <cellStyle name="Millares 2 2 3 4 4" xfId="6112" xr:uid="{DA20CAD5-A2D0-48F3-8326-F534BCFC2B1B}"/>
    <cellStyle name="Millares 2 2 3 4 5" xfId="6113" xr:uid="{FF48C422-2E8D-49DA-827C-98465D90935D}"/>
    <cellStyle name="Millares 2 2 3 4 6" xfId="6114" xr:uid="{53186A56-9389-4088-B584-BBEB05385F5E}"/>
    <cellStyle name="Millares 2 2 3 4 7" xfId="6108" xr:uid="{A6B63009-C05A-4F44-BB9E-5B931AB9A85E}"/>
    <cellStyle name="Millares 2 2 3 4 8" xfId="4884" xr:uid="{36081F8E-52BE-41A7-8C3E-E35712C118C6}"/>
    <cellStyle name="Millares 2 2 3 5" xfId="614" xr:uid="{A20AE37A-2483-499E-BD97-613322B5D512}"/>
    <cellStyle name="Millares 2 2 3 5 2" xfId="6116" xr:uid="{016F1D44-2D41-4336-8283-80D620D24DA7}"/>
    <cellStyle name="Millares 2 2 3 5 2 2" xfId="6117" xr:uid="{8FDCD7F7-72F0-467B-AD4D-B53B6D47F16E}"/>
    <cellStyle name="Millares 2 2 3 5 3" xfId="6118" xr:uid="{9CEFC336-CE9E-4520-8048-53D91260D965}"/>
    <cellStyle name="Millares 2 2 3 5 4" xfId="6119" xr:uid="{6D124D8A-4B8C-416E-85EE-D2A3B285DEB8}"/>
    <cellStyle name="Millares 2 2 3 5 5" xfId="6120" xr:uid="{7D6118A6-4880-4671-8D12-F6759F622EEC}"/>
    <cellStyle name="Millares 2 2 3 5 6" xfId="6121" xr:uid="{4490C4D3-2BFD-4EDA-AEB7-43C7ACA08081}"/>
    <cellStyle name="Millares 2 2 3 5 7" xfId="6115" xr:uid="{485874E6-2421-46D3-899F-00091F84387E}"/>
    <cellStyle name="Millares 2 2 3 5 8" xfId="5116" xr:uid="{8CB32990-1A17-4AB7-A404-281ABDC4D6A2}"/>
    <cellStyle name="Millares 2 2 3 6" xfId="2315" xr:uid="{270A6BC9-9194-4683-A7B0-F8DD0691A40E}"/>
    <cellStyle name="Millares 2 2 3 6 2" xfId="6123" xr:uid="{29D1C41F-6946-4DC8-B892-9188A03FCAF9}"/>
    <cellStyle name="Millares 2 2 3 6 3" xfId="6124" xr:uid="{B14D5C97-15E0-4293-A0BE-265C1C87D585}"/>
    <cellStyle name="Millares 2 2 3 6 4" xfId="6125" xr:uid="{74412618-1BBE-42D0-85CA-2D27A13445FF}"/>
    <cellStyle name="Millares 2 2 3 6 5" xfId="6122" xr:uid="{6383C3DD-64D0-4F7F-91F8-F7009E7D0025}"/>
    <cellStyle name="Millares 2 2 3 7" xfId="6126" xr:uid="{8E082862-3BB0-4822-9FE8-4DE5F3FE9A97}"/>
    <cellStyle name="Millares 2 2 3 8" xfId="6127" xr:uid="{AF6BAC6B-A207-454D-94B8-78D85EC2580E}"/>
    <cellStyle name="Millares 2 2 3 9" xfId="6128" xr:uid="{1F05D3C6-E47E-434B-8835-33CFEFB54106}"/>
    <cellStyle name="Millares 2 2 4" xfId="393" xr:uid="{4F6B9211-5132-490D-BF69-22D3650F58A6}"/>
    <cellStyle name="Millares 2 2 4 10" xfId="6130" xr:uid="{59866FF3-D098-4E29-A979-DB1B1492B32B}"/>
    <cellStyle name="Millares 2 2 4 11" xfId="6131" xr:uid="{8D9A076A-6147-488A-BCCE-EBE60016E092}"/>
    <cellStyle name="Millares 2 2 4 12" xfId="6132" xr:uid="{A5BDCEBF-2112-4841-A3B3-D9ADA884647B}"/>
    <cellStyle name="Millares 2 2 4 13" xfId="6129" xr:uid="{23B5699B-6270-411F-8893-2EE3098EF8FB}"/>
    <cellStyle name="Millares 2 2 4 14" xfId="4041" xr:uid="{DEEF8725-D1B9-4AED-AE48-99D429E65374}"/>
    <cellStyle name="Millares 2 2 4 2" xfId="1156" xr:uid="{A58B71F4-FCF5-4F4B-9D2E-9737038C4EC7}"/>
    <cellStyle name="Millares 2 2 4 2 10" xfId="4389" xr:uid="{5808575C-80F4-467F-BC8B-B3543379B284}"/>
    <cellStyle name="Millares 2 2 4 2 2" xfId="3634" xr:uid="{3FF4C61F-B293-4C51-A184-74976D8C8B1D}"/>
    <cellStyle name="Millares 2 2 4 2 2 2" xfId="6135" xr:uid="{E48063EC-53CA-4290-B94C-98ACF415B226}"/>
    <cellStyle name="Millares 2 2 4 2 2 3" xfId="6134" xr:uid="{55F98B97-F624-4DAC-8133-D12B55170C3F}"/>
    <cellStyle name="Millares 2 2 4 2 2 4" xfId="5519" xr:uid="{03CFA5C7-0E11-41FB-97C1-CF2A7B738678}"/>
    <cellStyle name="Millares 2 2 4 2 3" xfId="2718" xr:uid="{243E5AEA-183E-48DC-8CBF-80EB1A603A63}"/>
    <cellStyle name="Millares 2 2 4 2 3 2" xfId="6136" xr:uid="{E12D1F57-1050-42A7-806D-D2F2379BB704}"/>
    <cellStyle name="Millares 2 2 4 2 4" xfId="6137" xr:uid="{E10A0607-C279-434B-A831-3A0EC3EDCBBD}"/>
    <cellStyle name="Millares 2 2 4 2 5" xfId="6138" xr:uid="{F8B98D78-0D58-4ED4-B110-D843D4A00692}"/>
    <cellStyle name="Millares 2 2 4 2 6" xfId="6139" xr:uid="{AC85DD2C-279C-4E14-B176-452BA7E1823E}"/>
    <cellStyle name="Millares 2 2 4 2 7" xfId="6140" xr:uid="{A669C941-00B9-40FF-8C15-50F4497837FB}"/>
    <cellStyle name="Millares 2 2 4 2 8" xfId="6141" xr:uid="{8A51DBC5-E152-4E1A-923E-90220014D380}"/>
    <cellStyle name="Millares 2 2 4 2 9" xfId="6133" xr:uid="{9F7F514F-AA5E-40D2-B321-391347FD2079}"/>
    <cellStyle name="Millares 2 2 4 3" xfId="2008" xr:uid="{15F74D4A-776B-4634-BC50-13E4AD385D7D}"/>
    <cellStyle name="Millares 2 2 4 3 2" xfId="3245" xr:uid="{F9DCF55E-DFA5-41E7-9D08-69381412F616}"/>
    <cellStyle name="Millares 2 2 4 3 2 2" xfId="6144" xr:uid="{6183CDB2-C7A9-444C-936F-7A087BB5D11C}"/>
    <cellStyle name="Millares 2 2 4 3 2 3" xfId="6143" xr:uid="{5D24DC6E-07FC-4D56-8B20-9DD1E0373744}"/>
    <cellStyle name="Millares 2 2 4 3 3" xfId="6145" xr:uid="{775716C3-FC1B-4C06-9B6F-1740AA78D5AC}"/>
    <cellStyle name="Millares 2 2 4 3 4" xfId="6146" xr:uid="{1D8D92EC-C001-4497-A103-599138720F91}"/>
    <cellStyle name="Millares 2 2 4 3 5" xfId="6147" xr:uid="{046836FE-D4CE-4D2A-B263-02F5E16FB054}"/>
    <cellStyle name="Millares 2 2 4 3 6" xfId="6148" xr:uid="{C4BFA30F-BAE2-4003-AC82-599550256BD1}"/>
    <cellStyle name="Millares 2 2 4 3 7" xfId="6142" xr:uid="{B8108AF0-7707-4849-99AD-EBEAC0C7E8B1}"/>
    <cellStyle name="Millares 2 2 4 3 8" xfId="4946" xr:uid="{9AE589DF-7194-49AD-9432-D06897FC12FD}"/>
    <cellStyle name="Millares 2 2 4 4" xfId="678" xr:uid="{27AD7133-65F7-4A2B-B56F-C2AE9534A7C2}"/>
    <cellStyle name="Millares 2 2 4 4 2" xfId="6150" xr:uid="{B5D77943-38ED-4225-B620-77870CA77CDC}"/>
    <cellStyle name="Millares 2 2 4 4 2 2" xfId="6151" xr:uid="{B6A2E767-1322-4B55-8258-2B4FBE891CE0}"/>
    <cellStyle name="Millares 2 2 4 4 3" xfId="6152" xr:uid="{4F99B69C-23FA-4BD4-BE0F-ED3770457F35}"/>
    <cellStyle name="Millares 2 2 4 4 4" xfId="6153" xr:uid="{03E78E8B-A77D-4DE1-87DB-8ED2B4DA4117}"/>
    <cellStyle name="Millares 2 2 4 4 5" xfId="6154" xr:uid="{454AAA50-4AAB-4808-9D7B-FB8B30C8E9F2}"/>
    <cellStyle name="Millares 2 2 4 4 6" xfId="6155" xr:uid="{1136FE2A-562A-4CCF-962F-E5CF8A729CAA}"/>
    <cellStyle name="Millares 2 2 4 4 7" xfId="6149" xr:uid="{750E1F69-196E-4F1D-860E-8E5C00AFCB3E}"/>
    <cellStyle name="Millares 2 2 4 4 8" xfId="5171" xr:uid="{EB8FE4C7-8B16-4F2F-8228-383E8B1A40E9}"/>
    <cellStyle name="Millares 2 2 4 5" xfId="2370" xr:uid="{37526FF2-355C-4584-A4F2-F49B6A746A70}"/>
    <cellStyle name="Millares 2 2 4 5 2" xfId="6157" xr:uid="{8199FDC9-4DA0-4E33-8855-F85F067A680B}"/>
    <cellStyle name="Millares 2 2 4 5 3" xfId="6158" xr:uid="{637B3D4E-6875-49FB-97B8-7CB5462DDC0D}"/>
    <cellStyle name="Millares 2 2 4 5 4" xfId="6159" xr:uid="{A2A2C984-6A01-492E-BF55-CC3EB50D875E}"/>
    <cellStyle name="Millares 2 2 4 5 5" xfId="6156" xr:uid="{E6233094-2931-46B5-823F-0DF8C731672B}"/>
    <cellStyle name="Millares 2 2 4 6" xfId="6160" xr:uid="{F2F3A93A-D595-47BD-9DAD-CC2E1EFC6A88}"/>
    <cellStyle name="Millares 2 2 4 7" xfId="6161" xr:uid="{A0B6E2D2-A883-405D-8511-1A1006F70A12}"/>
    <cellStyle name="Millares 2 2 4 8" xfId="6162" xr:uid="{695D445E-247D-4847-8119-AE0DA54BB4EF}"/>
    <cellStyle name="Millares 2 2 4 9" xfId="6163" xr:uid="{D17D4068-E866-46FC-99A5-7D2A348994FD}"/>
    <cellStyle name="Millares 2 2 5" xfId="742" xr:uid="{7BC4D231-7307-4167-8984-AD0271B02926}"/>
    <cellStyle name="Millares 2 2 5 10" xfId="6165" xr:uid="{E69BA411-7B3E-447D-8694-4F2A482AE574}"/>
    <cellStyle name="Millares 2 2 5 11" xfId="6166" xr:uid="{4440263D-6883-425D-96CC-682E031137D3}"/>
    <cellStyle name="Millares 2 2 5 12" xfId="6164" xr:uid="{92B0D1A2-A72B-48F5-8A5B-C9729E7071FA}"/>
    <cellStyle name="Millares 2 2 5 13" xfId="4096" xr:uid="{D035C66B-A71A-4066-9936-0A07B877EA90}"/>
    <cellStyle name="Millares 2 2 5 2" xfId="1220" xr:uid="{52B7B3A4-01E6-43EE-A5EF-B64DAD8D0B24}"/>
    <cellStyle name="Millares 2 2 5 2 10" xfId="4444" xr:uid="{02CD4746-8A06-43E0-AF8C-9A6B037D7F0C}"/>
    <cellStyle name="Millares 2 2 5 2 2" xfId="3695" xr:uid="{70ED08CE-51B4-47F5-A833-124CDAE97BC1}"/>
    <cellStyle name="Millares 2 2 5 2 2 2" xfId="6169" xr:uid="{76843FF3-233C-46AA-9ABA-3C7F70A40DC5}"/>
    <cellStyle name="Millares 2 2 5 2 2 3" xfId="6168" xr:uid="{0F53809A-EA3F-4A69-A0CC-0808BC576B95}"/>
    <cellStyle name="Millares 2 2 5 2 2 4" xfId="5574" xr:uid="{9076D58D-2E97-4D72-B776-3E3688C6502B}"/>
    <cellStyle name="Millares 2 2 5 2 3" xfId="2773" xr:uid="{32AA2375-F48C-45CE-AF52-6D0EEEBC701A}"/>
    <cellStyle name="Millares 2 2 5 2 3 2" xfId="6170" xr:uid="{DCC0FAC1-2704-48F1-A114-18AD3C5BAA99}"/>
    <cellStyle name="Millares 2 2 5 2 4" xfId="6171" xr:uid="{554A0161-7DFE-4104-B91F-E9413D59B8E0}"/>
    <cellStyle name="Millares 2 2 5 2 5" xfId="6172" xr:uid="{5F7CC714-CB1A-4530-AFC8-D3689A553DCD}"/>
    <cellStyle name="Millares 2 2 5 2 6" xfId="6173" xr:uid="{4C8DB7B8-5D9F-4C57-9061-25F7849B74AC}"/>
    <cellStyle name="Millares 2 2 5 2 7" xfId="6174" xr:uid="{D93E1F39-48F4-46FB-9B51-D23AFCDFAC68}"/>
    <cellStyle name="Millares 2 2 5 2 8" xfId="6175" xr:uid="{FAEBA616-BBD7-4EEF-BD8C-13D96F91E808}"/>
    <cellStyle name="Millares 2 2 5 2 9" xfId="6167" xr:uid="{E6D46F3D-A095-474C-8E02-09F02C52813E}"/>
    <cellStyle name="Millares 2 2 5 3" xfId="3300" xr:uid="{D985DB19-FB6C-4E92-8784-BC406E87AB57}"/>
    <cellStyle name="Millares 2 2 5 3 2" xfId="6177" xr:uid="{D8DCE6A5-521F-4E30-8589-AD26658E4F03}"/>
    <cellStyle name="Millares 2 2 5 3 2 2" xfId="6178" xr:uid="{86194C2F-9EE4-438B-BED4-9BDA6016CA6B}"/>
    <cellStyle name="Millares 2 2 5 3 3" xfId="6179" xr:uid="{A1427C55-B804-430E-B5FF-8AEB20D3B33F}"/>
    <cellStyle name="Millares 2 2 5 3 4" xfId="6180" xr:uid="{F9777FF6-0C2E-4079-9BFC-3C0A4565CEC5}"/>
    <cellStyle name="Millares 2 2 5 3 5" xfId="6181" xr:uid="{7E5EF894-1AFF-4B99-A035-917B295F3DF1}"/>
    <cellStyle name="Millares 2 2 5 3 6" xfId="6182" xr:uid="{4E696E21-44C5-4343-8490-D49BE069E66C}"/>
    <cellStyle name="Millares 2 2 5 3 7" xfId="6176" xr:uid="{E5D526E6-296F-4DF3-99E6-663C9F15A519}"/>
    <cellStyle name="Millares 2 2 5 3 8" xfId="5226" xr:uid="{AA91B69D-5490-4C4C-AD17-9A837DF2C923}"/>
    <cellStyle name="Millares 2 2 5 4" xfId="2425" xr:uid="{ED6772B2-236B-49B5-A3E6-4EBE37727206}"/>
    <cellStyle name="Millares 2 2 5 4 2" xfId="6184" xr:uid="{5A65D5E0-4A43-44DA-9F4A-DB1197BF454C}"/>
    <cellStyle name="Millares 2 2 5 4 3" xfId="6183" xr:uid="{89524ACD-6F80-49AC-8F50-79FDDD7B08F9}"/>
    <cellStyle name="Millares 2 2 5 5" xfId="6185" xr:uid="{42B6FF96-87D5-4DF1-B2B6-14594B61A801}"/>
    <cellStyle name="Millares 2 2 5 6" xfId="6186" xr:uid="{E1D51EEB-52EB-4192-BA85-6B49AA0DCDF6}"/>
    <cellStyle name="Millares 2 2 5 7" xfId="6187" xr:uid="{1FD72FAC-572A-4BF5-9750-CD43C0ECEA17}"/>
    <cellStyle name="Millares 2 2 5 8" xfId="6188" xr:uid="{A4B029A6-5F3F-430E-9C0F-A2642D2BCD06}"/>
    <cellStyle name="Millares 2 2 5 9" xfId="6189" xr:uid="{1FDA2615-7797-491F-ABAA-130DAFBB625F}"/>
    <cellStyle name="Millares 2 2 6" xfId="806" xr:uid="{0EA4BB72-7614-4FEC-A602-9B203A65F0F7}"/>
    <cellStyle name="Millares 2 2 6 2" xfId="1285" xr:uid="{1ECC7C16-F3C7-4771-B167-17058987FD0A}"/>
    <cellStyle name="Millares 2 2 6 2 2" xfId="3759" xr:uid="{2C922019-4DA6-4B27-AD3E-786025A80AFE}"/>
    <cellStyle name="Millares 2 2 6 2 2 2" xfId="5629" xr:uid="{AA8453D5-B049-4EBB-BD67-750AE465F67D}"/>
    <cellStyle name="Millares 2 2 6 2 3" xfId="2828" xr:uid="{983A7B77-6509-47FB-BBAF-9766AD41EA50}"/>
    <cellStyle name="Millares 2 2 6 2 3 2" xfId="6191" xr:uid="{3F596840-8950-40ED-A843-114930E99507}"/>
    <cellStyle name="Millares 2 2 6 2 4" xfId="4499" xr:uid="{5D57C67A-5D05-4AAC-94F2-2FDB060F3B52}"/>
    <cellStyle name="Millares 2 2 6 3" xfId="3355" xr:uid="{0C0562A5-836A-4186-A34C-A05422280499}"/>
    <cellStyle name="Millares 2 2 6 3 2" xfId="5281" xr:uid="{5DE7C8D8-EA78-402F-9C8D-D8095C08651D}"/>
    <cellStyle name="Millares 2 2 6 4" xfId="2480" xr:uid="{33B71588-3E70-4906-83A5-953636D5D66C}"/>
    <cellStyle name="Millares 2 2 6 4 2" xfId="6190" xr:uid="{934E1284-1A5C-40EA-A606-148F7D653B5D}"/>
    <cellStyle name="Millares 2 2 6 5" xfId="4151" xr:uid="{02D70721-0949-40C6-85DD-68986B1C5737}"/>
    <cellStyle name="Millares 2 2 7" xfId="997" xr:uid="{82DD25A5-553B-47E5-8517-4B63930C0628}"/>
    <cellStyle name="Millares 2 2 7 2" xfId="3494" xr:uid="{19374DCD-672B-4C13-92E3-938889CD2556}"/>
    <cellStyle name="Millares 2 2 7 2 2" xfId="6194" xr:uid="{4D3392FD-A2C6-46C1-812A-475D985F0483}"/>
    <cellStyle name="Millares 2 2 7 2 3" xfId="6193" xr:uid="{EE4F90F3-2DE0-43C2-B0EB-3D0FB25F5C55}"/>
    <cellStyle name="Millares 2 2 7 2 4" xfId="5381" xr:uid="{2B8620C2-C574-47E1-B166-307E398D5A64}"/>
    <cellStyle name="Millares 2 2 7 3" xfId="2580" xr:uid="{3681B728-9C94-46DA-84BD-A9940ACE0A42}"/>
    <cellStyle name="Millares 2 2 7 3 2" xfId="6195" xr:uid="{131C67E9-5594-413A-9833-F1AA552B5474}"/>
    <cellStyle name="Millares 2 2 7 4" xfId="6196" xr:uid="{8BE4293E-BEA1-47FF-8D2A-606ECBDC5B2D}"/>
    <cellStyle name="Millares 2 2 7 5" xfId="6197" xr:uid="{03ED17A3-E3BF-4A17-853D-0AF808CAFD51}"/>
    <cellStyle name="Millares 2 2 7 6" xfId="6198" xr:uid="{8CDD45B9-C73C-4192-8F1C-9961648B7444}"/>
    <cellStyle name="Millares 2 2 7 7" xfId="6192" xr:uid="{8C9C6221-AE8D-4EC9-A6A8-6FD7000EAB18}"/>
    <cellStyle name="Millares 2 2 7 8" xfId="4251" xr:uid="{4561DCC2-06F4-4354-92B6-02E1AB2FEEDE}"/>
    <cellStyle name="Millares 2 2 8" xfId="1402" xr:uid="{96668913-A036-41FF-9F13-C2ADBE6D0B49}"/>
    <cellStyle name="Millares 2 2 8 2" xfId="3076" xr:uid="{B3EEB855-7320-4A2F-8F24-41D874BF118D}"/>
    <cellStyle name="Millares 2 2 8 2 2" xfId="6201" xr:uid="{4C2F07D7-AAF4-4505-AF5A-3D4C22A38755}"/>
    <cellStyle name="Millares 2 2 8 2 3" xfId="6200" xr:uid="{6E7ADA6D-4607-4FC6-B222-4B64E9A5BE7C}"/>
    <cellStyle name="Millares 2 2 8 2 4" xfId="5707" xr:uid="{8C202DAA-F9E1-49B6-B45D-1D4DAB997E6C}"/>
    <cellStyle name="Millares 2 2 8 3" xfId="6202" xr:uid="{2748DDFE-9277-48E1-BE6A-5146690E0297}"/>
    <cellStyle name="Millares 2 2 8 4" xfId="6203" xr:uid="{CF00E545-D5B1-4CEB-9274-FBFA6FA328B8}"/>
    <cellStyle name="Millares 2 2 8 5" xfId="6204" xr:uid="{0D8EED74-CF2E-403D-966C-7B9218F8870C}"/>
    <cellStyle name="Millares 2 2 8 6" xfId="6205" xr:uid="{E9341300-580F-453C-94C9-7395725B6CD4}"/>
    <cellStyle name="Millares 2 2 8 7" xfId="6199" xr:uid="{DEF1AADC-94CB-4F01-9282-9422489D944C}"/>
    <cellStyle name="Millares 2 2 8 8" xfId="4576" xr:uid="{63E69A74-375F-4EC2-BEB3-7C498C226EDE}"/>
    <cellStyle name="Millares 2 2 9" xfId="1709" xr:uid="{1D35DD3D-9E1F-4EDD-A446-2B179ED6B5C4}"/>
    <cellStyle name="Millares 2 2 9 2" xfId="6207" xr:uid="{A45545FB-75CC-4810-BDA6-C7ED9068792C}"/>
    <cellStyle name="Millares 2 2 9 2 2" xfId="6208" xr:uid="{455316F4-3AC0-44A9-BEAD-5AC9641F4ED2}"/>
    <cellStyle name="Millares 2 2 9 3" xfId="6209" xr:uid="{C0CC5205-FA9C-4E9B-8390-B41A0AD85641}"/>
    <cellStyle name="Millares 2 2 9 4" xfId="6210" xr:uid="{9CF4D78B-8302-46DD-9393-A7A09B0A2D4B}"/>
    <cellStyle name="Millares 2 2 9 5" xfId="6211" xr:uid="{FD4BAC94-B055-411B-B94D-AD989BF2877F}"/>
    <cellStyle name="Millares 2 2 9 6" xfId="6212" xr:uid="{5D3F4605-44D1-4D12-BD3A-C607F7C5F8DA}"/>
    <cellStyle name="Millares 2 2 9 7" xfId="6206" xr:uid="{37C52725-1477-4F50-B5CE-F157BFEB024A}"/>
    <cellStyle name="Millares 2 2 9 8" xfId="4762" xr:uid="{F08C3D12-7813-4E18-BDDB-A417785ECC6A}"/>
    <cellStyle name="Millares 2 3" xfId="47" xr:uid="{21198D95-7BEE-4567-9A76-50AA66E78A41}"/>
    <cellStyle name="Millares 2 3 10" xfId="6214" xr:uid="{DC3D0F07-D015-4913-9A0B-5D760EF4355A}"/>
    <cellStyle name="Millares 2 3 10 2" xfId="6215" xr:uid="{30817D08-E464-426B-A996-909FB38B6CFD}"/>
    <cellStyle name="Millares 2 3 10 3" xfId="6216" xr:uid="{E40B74FC-FDD1-47DD-A97B-3C03911CFDAF}"/>
    <cellStyle name="Millares 2 3 10 4" xfId="6217" xr:uid="{F8B38A97-B831-479B-8885-2F9258886B82}"/>
    <cellStyle name="Millares 2 3 11" xfId="6218" xr:uid="{D218B853-AFCA-4CEF-9104-8C5A8465E95F}"/>
    <cellStyle name="Millares 2 3 11 2" xfId="6219" xr:uid="{18DF4EE2-D80C-4ACB-9035-8EC512CC7064}"/>
    <cellStyle name="Millares 2 3 12" xfId="6220" xr:uid="{41E144C0-A9C9-4944-BDFD-55815DF3CBEC}"/>
    <cellStyle name="Millares 2 3 13" xfId="6221" xr:uid="{E8BD7C3D-6434-4C9B-BCCC-CD2A3EEA8107}"/>
    <cellStyle name="Millares 2 3 14" xfId="6222" xr:uid="{66B3116E-949C-4029-B906-E005B8CD49ED}"/>
    <cellStyle name="Millares 2 3 15" xfId="6223" xr:uid="{8F1DC2F0-53B9-47D4-9A6F-012165FA2D72}"/>
    <cellStyle name="Millares 2 3 16" xfId="6224" xr:uid="{BC99CC93-5310-411A-8649-5B5299A8B715}"/>
    <cellStyle name="Millares 2 3 17" xfId="6225" xr:uid="{E9B247BD-507A-40CB-AF51-E323B09B5E92}"/>
    <cellStyle name="Millares 2 3 18" xfId="6213" xr:uid="{6F6A50BE-F729-49B3-95AA-7D331FCB0C29}"/>
    <cellStyle name="Millares 2 3 2" xfId="6226" xr:uid="{057381A1-3A23-41FC-B9B2-42C79CA515D8}"/>
    <cellStyle name="Millares 2 3 2 10" xfId="6227" xr:uid="{22990446-8780-4834-8A92-3E1C6F5677BF}"/>
    <cellStyle name="Millares 2 3 2 11" xfId="6228" xr:uid="{F34E3926-3942-4AF1-B007-960DADADD3F7}"/>
    <cellStyle name="Millares 2 3 2 2" xfId="6229" xr:uid="{3A10878E-466A-4485-93BE-1DB1DF923B10}"/>
    <cellStyle name="Millares 2 3 2 2 2" xfId="6230" xr:uid="{5D553316-867A-4BE9-BE3C-D2AFA33DACB9}"/>
    <cellStyle name="Millares 2 3 2 2 2 2" xfId="6231" xr:uid="{02D52DAA-4C56-4162-B88F-E194EAF1AA02}"/>
    <cellStyle name="Millares 2 3 2 2 3" xfId="6232" xr:uid="{BC5CCA0D-A29A-4133-A285-A71C16106833}"/>
    <cellStyle name="Millares 2 3 2 2 4" xfId="6233" xr:uid="{DEAD0132-2B5C-44C2-BB01-E2E43891EDA7}"/>
    <cellStyle name="Millares 2 3 2 2 5" xfId="6234" xr:uid="{9BEBD4AC-38E6-421B-A62C-F124BC66B9A9}"/>
    <cellStyle name="Millares 2 3 2 2 6" xfId="6235" xr:uid="{6B8EFC8B-879C-4E1E-BC32-4AED44A1E3FC}"/>
    <cellStyle name="Millares 2 3 2 2 7" xfId="6236" xr:uid="{7A2C8EF1-2DA8-4E21-949D-E4C51E6C88B2}"/>
    <cellStyle name="Millares 2 3 2 2 8" xfId="6237" xr:uid="{C2DAADF6-30BA-4047-9A16-63D714FE5DDC}"/>
    <cellStyle name="Millares 2 3 2 3" xfId="6238" xr:uid="{68F58BE7-8E87-4331-B310-3F4C77584C7B}"/>
    <cellStyle name="Millares 2 3 2 3 2" xfId="6239" xr:uid="{FED83DA1-27D5-4C8E-B87C-9C7564441B12}"/>
    <cellStyle name="Millares 2 3 2 3 2 2" xfId="6240" xr:uid="{949AE833-7230-4EA0-84B7-2734BC340741}"/>
    <cellStyle name="Millares 2 3 2 3 3" xfId="6241" xr:uid="{70479F29-A744-4D7C-A47E-F93B954C1C98}"/>
    <cellStyle name="Millares 2 3 2 3 4" xfId="6242" xr:uid="{978A7F6C-99C5-46E1-9E52-7C0C766C3F36}"/>
    <cellStyle name="Millares 2 3 2 3 5" xfId="6243" xr:uid="{6E58CFF7-F592-4BE0-AFC3-F7BB815A6F64}"/>
    <cellStyle name="Millares 2 3 2 3 6" xfId="6244" xr:uid="{341080C4-2143-40EB-B6F3-CB517D464DA5}"/>
    <cellStyle name="Millares 2 3 2 4" xfId="6245" xr:uid="{6466B909-6A15-4508-89CC-72F24219FCB7}"/>
    <cellStyle name="Millares 2 3 2 4 2" xfId="6246" xr:uid="{DC3C6F19-8221-4497-95F1-BE1EE0C07075}"/>
    <cellStyle name="Millares 2 3 2 4 2 2" xfId="6247" xr:uid="{F2D3A58D-8070-49E1-BB2F-AAC9DA20E75A}"/>
    <cellStyle name="Millares 2 3 2 4 3" xfId="6248" xr:uid="{8F673A63-5E50-4C5C-A751-70660EB0D8B2}"/>
    <cellStyle name="Millares 2 3 2 4 4" xfId="6249" xr:uid="{5F7436AD-4FB8-46F9-BDA4-4E63F9F5186D}"/>
    <cellStyle name="Millares 2 3 2 4 5" xfId="6250" xr:uid="{E5134242-442B-414E-AB4B-F2001B72A5DA}"/>
    <cellStyle name="Millares 2 3 2 4 6" xfId="6251" xr:uid="{403C92B5-C607-4651-9393-45D8D108FDEC}"/>
    <cellStyle name="Millares 2 3 2 5" xfId="6252" xr:uid="{ADE2528E-EF12-4D44-97E2-F5EE754376B3}"/>
    <cellStyle name="Millares 2 3 2 5 2" xfId="6253" xr:uid="{29B3FD93-9841-4811-8266-4E779C503891}"/>
    <cellStyle name="Millares 2 3 2 5 3" xfId="6254" xr:uid="{D1E951B0-5C18-4EE1-96B8-637F11CB1103}"/>
    <cellStyle name="Millares 2 3 2 5 4" xfId="6255" xr:uid="{0397465A-F970-44CC-976D-F06234B8437B}"/>
    <cellStyle name="Millares 2 3 2 6" xfId="6256" xr:uid="{65B0E902-A190-40AA-BD87-10136D4CE97A}"/>
    <cellStyle name="Millares 2 3 2 7" xfId="6257" xr:uid="{5552F73C-EBF9-42C6-BA80-90321191F5AD}"/>
    <cellStyle name="Millares 2 3 2 8" xfId="6258" xr:uid="{A322D902-FC87-4F55-8566-997431C105BF}"/>
    <cellStyle name="Millares 2 3 2 9" xfId="6259" xr:uid="{BD219859-F37E-4C6C-B0E7-6EC5C630C7DD}"/>
    <cellStyle name="Millares 2 3 3" xfId="6260" xr:uid="{3EF69C6D-935E-4528-9D8D-F30C54DDFB74}"/>
    <cellStyle name="Millares 2 3 3 2" xfId="6261" xr:uid="{1DC3C743-268F-43D6-8733-1AFE0C85D633}"/>
    <cellStyle name="Millares 2 3 3 2 2" xfId="6262" xr:uid="{EB8C625E-96F3-4322-9B41-AE44FE388A26}"/>
    <cellStyle name="Millares 2 3 3 3" xfId="6263" xr:uid="{83ADAF59-F57C-49CF-A63E-EE07C1585C0A}"/>
    <cellStyle name="Millares 2 3 3 4" xfId="6264" xr:uid="{98B45960-88F0-4345-AE4B-CD04A0D60323}"/>
    <cellStyle name="Millares 2 3 3 5" xfId="6265" xr:uid="{9084DA79-1B56-42A3-A151-7EE8C113D297}"/>
    <cellStyle name="Millares 2 3 3 6" xfId="6266" xr:uid="{3DAD744C-99F1-44F8-AED1-635BCD15B632}"/>
    <cellStyle name="Millares 2 3 3 7" xfId="6267" xr:uid="{98B34E71-0144-4E15-A852-86C6B51C6C41}"/>
    <cellStyle name="Millares 2 3 3 8" xfId="6268" xr:uid="{D5C69C96-8318-4B7D-91B7-59C0A08E4608}"/>
    <cellStyle name="Millares 2 3 4" xfId="6269" xr:uid="{DB131332-02F4-44A6-A2D3-C622B39A68DD}"/>
    <cellStyle name="Millares 2 3 4 2" xfId="6270" xr:uid="{88661DED-7078-4FFF-B4F7-66322FBD5FBD}"/>
    <cellStyle name="Millares 2 3 4 2 2" xfId="6271" xr:uid="{C5246E06-4AC3-4561-9DAD-0722004B8A0D}"/>
    <cellStyle name="Millares 2 3 4 3" xfId="6272" xr:uid="{16D2B8A3-414F-4A77-A013-764362699894}"/>
    <cellStyle name="Millares 2 3 4 4" xfId="6273" xr:uid="{027CA1CF-C887-4D81-8F20-2E23A61AE809}"/>
    <cellStyle name="Millares 2 3 4 5" xfId="6274" xr:uid="{7A86C12D-4E68-4D6D-A448-DE17D1A338F9}"/>
    <cellStyle name="Millares 2 3 4 6" xfId="6275" xr:uid="{7CBD7FA5-D682-4D63-9560-5E4A2078BB33}"/>
    <cellStyle name="Millares 2 3 5" xfId="6276" xr:uid="{DB42F23F-B12C-42C5-828E-901B1423936D}"/>
    <cellStyle name="Millares 2 3 5 2" xfId="6277" xr:uid="{95A026E6-55EC-44C0-A6F8-F21ECEE879F8}"/>
    <cellStyle name="Millares 2 3 5 2 2" xfId="6278" xr:uid="{5D035C13-EEF5-4F35-894C-6ECBDBE5DDBA}"/>
    <cellStyle name="Millares 2 3 5 3" xfId="6279" xr:uid="{3F2E95A6-936D-4872-A0EA-A3F6E93BE415}"/>
    <cellStyle name="Millares 2 3 5 4" xfId="6280" xr:uid="{C484D5FE-41FA-4442-8FAA-CE1F22CD5A57}"/>
    <cellStyle name="Millares 2 3 5 5" xfId="6281" xr:uid="{E8B81578-6F9D-411F-852B-F583ECCA897F}"/>
    <cellStyle name="Millares 2 3 5 6" xfId="6282" xr:uid="{56144D85-6CCF-433A-8CA6-AA23EB4ACD94}"/>
    <cellStyle name="Millares 2 3 6" xfId="6283" xr:uid="{CD38F75F-D7C6-4B6E-80B3-17840DC928C8}"/>
    <cellStyle name="Millares 2 3 6 2" xfId="6284" xr:uid="{5B1273F7-3FDD-480A-9F5D-244E2B3BE8A8}"/>
    <cellStyle name="Millares 2 3 6 2 2" xfId="6285" xr:uid="{A0D56E93-70F2-49B2-BB1D-BB297CC8C94C}"/>
    <cellStyle name="Millares 2 3 6 3" xfId="6286" xr:uid="{BC197BA6-A87A-4DC1-AA11-815274AC3301}"/>
    <cellStyle name="Millares 2 3 6 4" xfId="6287" xr:uid="{7CEF6B98-D10D-4776-A4E8-A9DEA8FE078C}"/>
    <cellStyle name="Millares 2 3 6 5" xfId="6288" xr:uid="{5096B9F9-B3B9-4604-94B4-1078E49A5C9E}"/>
    <cellStyle name="Millares 2 3 6 6" xfId="6289" xr:uid="{23727373-9F69-4238-81C0-980907FEC375}"/>
    <cellStyle name="Millares 2 3 7" xfId="6290" xr:uid="{B8E1DE55-40B0-4B14-AC97-E34EE0F1CBB7}"/>
    <cellStyle name="Millares 2 3 7 2" xfId="6291" xr:uid="{12FC3FEA-ED45-41CC-AB38-48571B3E2187}"/>
    <cellStyle name="Millares 2 3 7 2 2" xfId="6292" xr:uid="{478FF248-9C90-44D2-A186-1C812428CAD4}"/>
    <cellStyle name="Millares 2 3 7 3" xfId="6293" xr:uid="{137FCE2E-CE1A-44C2-A71F-55801B727361}"/>
    <cellStyle name="Millares 2 3 7 4" xfId="6294" xr:uid="{40D1CE7C-7BA3-4A84-889B-BCBA9773357B}"/>
    <cellStyle name="Millares 2 3 7 5" xfId="6295" xr:uid="{B09F38AA-B113-4305-8170-A05D50A16F4D}"/>
    <cellStyle name="Millares 2 3 7 6" xfId="6296" xr:uid="{8A8998F4-5499-4FEE-8201-FCFD2CB09134}"/>
    <cellStyle name="Millares 2 3 8" xfId="6297" xr:uid="{90DDDFE9-A476-4D0D-B22A-137C2D27FF79}"/>
    <cellStyle name="Millares 2 3 8 2" xfId="6298" xr:uid="{5E8DBB82-F630-4F0B-BC6F-7372467A1E22}"/>
    <cellStyle name="Millares 2 3 8 2 2" xfId="6299" xr:uid="{AC7550BB-2B51-4B05-8FC3-71928129E02D}"/>
    <cellStyle name="Millares 2 3 8 3" xfId="6300" xr:uid="{6D4AFEFC-968D-4BCC-A239-5A4825A411A6}"/>
    <cellStyle name="Millares 2 3 8 4" xfId="6301" xr:uid="{A9BFBD89-9F2D-4B74-B60B-C73C1988271B}"/>
    <cellStyle name="Millares 2 3 8 5" xfId="6302" xr:uid="{392E73A5-FD71-42BA-9024-4AF9AEE0E453}"/>
    <cellStyle name="Millares 2 3 8 6" xfId="6303" xr:uid="{EB55837B-CE11-4DC1-896B-35668B56EE81}"/>
    <cellStyle name="Millares 2 3 9" xfId="6304" xr:uid="{B230F2EC-D4D6-451C-ACD0-3D951F7AED45}"/>
    <cellStyle name="Millares 2 3 9 2" xfId="6305" xr:uid="{2E30D713-7941-4CE4-B009-AD3B37E12551}"/>
    <cellStyle name="Millares 2 3 9 2 2" xfId="6306" xr:uid="{EED8B1B5-902D-44CB-8DAA-487633EF7F3B}"/>
    <cellStyle name="Millares 2 3 9 3" xfId="6307" xr:uid="{268F2CD5-E614-4E89-BF78-628AB508A888}"/>
    <cellStyle name="Millares 2 3 9 4" xfId="6308" xr:uid="{F2EAA5FF-1700-4A17-8A93-F2B428853F4E}"/>
    <cellStyle name="Millares 2 3 9 5" xfId="6309" xr:uid="{25825C8F-38B9-4443-B5C9-C589897F2EBC}"/>
    <cellStyle name="Millares 2 3 9 6" xfId="6310" xr:uid="{4B1ADF57-EAB8-4091-B095-C4858041809A}"/>
    <cellStyle name="Millares 2 4" xfId="48" xr:uid="{8EEE1CE0-E2B3-4195-9F92-D7B97173774F}"/>
    <cellStyle name="Millares 2 4 10" xfId="518" xr:uid="{827F0BEE-3066-40FD-8E2E-2BBF7B38002B}"/>
    <cellStyle name="Millares 2 4 11" xfId="2111" xr:uid="{1D5795CE-F76E-4A94-94DF-4EBE86F5EE8D}"/>
    <cellStyle name="Millares 2 4 11 2" xfId="6311" xr:uid="{6856021C-DED8-4FFB-B196-DEF610D8826F}"/>
    <cellStyle name="Millares 2 4 2" xfId="49" xr:uid="{45024575-7F1F-4BB0-BA71-738281E7141B}"/>
    <cellStyle name="Millares 2 4 2 2" xfId="195" xr:uid="{CFE7DB3E-0558-4252-BB06-286959C2D216}"/>
    <cellStyle name="Millares 2 4 2 2 2" xfId="1354" xr:uid="{6913546E-00A4-4012-AADC-6EBD9A02B612}"/>
    <cellStyle name="Millares 2 4 2 2 2 2" xfId="3822" xr:uid="{902A120D-75E8-404B-8C67-15D28934BBD6}"/>
    <cellStyle name="Millares 2 4 2 2 2 3" xfId="6314" xr:uid="{6EA68968-6C6A-4D18-96B8-B204FED9D94C}"/>
    <cellStyle name="Millares 2 4 2 2 3" xfId="1509" xr:uid="{4B2E5CDD-B1F8-4F9A-83AE-76AD88FB73A6}"/>
    <cellStyle name="Millares 2 4 2 2 3 2" xfId="5779" xr:uid="{61D00B9D-8388-4164-9457-0D520585B4AC}"/>
    <cellStyle name="Millares 2 4 2 2 3 3" xfId="6315" xr:uid="{D2D43926-7CF2-412F-8F03-FD6A6053C024}"/>
    <cellStyle name="Millares 2 4 2 2 4" xfId="1811" xr:uid="{FDB01C5B-568A-4DC5-8347-F3D9BD9380E7}"/>
    <cellStyle name="Millares 2 4 2 2 5" xfId="875" xr:uid="{E0DFC0BA-BEAA-4FFF-AAAA-31E308FBC2CB}"/>
    <cellStyle name="Millares 2 4 2 2 6" xfId="6313" xr:uid="{1C7B5DDE-3B51-48BA-9AD4-024471B30F61}"/>
    <cellStyle name="Millares 2 4 2 3" xfId="295" xr:uid="{E8B25794-4496-430C-83A5-1DF651A6026B}"/>
    <cellStyle name="Millares 2 4 2 3 2" xfId="1608" xr:uid="{D8D606EF-4BD0-4FDE-9996-32059496C877}"/>
    <cellStyle name="Millares 2 4 2 3 2 2" xfId="5871" xr:uid="{DC48F0CD-3A2B-4B71-959A-0CE4CB539E53}"/>
    <cellStyle name="Millares 2 4 2 3 3" xfId="1910" xr:uid="{03988A20-8AFD-4E42-849B-F5A1F9C672B7}"/>
    <cellStyle name="Millares 2 4 2 3 4" xfId="1029" xr:uid="{990E32C6-6FC3-4458-BE40-AAC47E94B21F}"/>
    <cellStyle name="Millares 2 4 2 3 5" xfId="6316" xr:uid="{498C2325-B27E-4030-920E-F597D7CA016A}"/>
    <cellStyle name="Millares 2 4 2 4" xfId="395" xr:uid="{70088BF1-2FB4-431C-B10A-CD06E42CE430}"/>
    <cellStyle name="Millares 2 4 2 4 2" xfId="2010" xr:uid="{AAA6D140-51BB-4DBF-9D68-02BDB8D0FEE8}"/>
    <cellStyle name="Millares 2 4 2 4 3" xfId="1404" xr:uid="{394AE3D4-7759-45FA-8447-1399B67CD0E7}"/>
    <cellStyle name="Millares 2 4 2 5" xfId="1711" xr:uid="{B98536FB-A36E-42DB-BEB0-ADC481CF6929}"/>
    <cellStyle name="Millares 2 4 2 6" xfId="551" xr:uid="{17E18B22-83CA-4431-A436-FF84713BAD74}"/>
    <cellStyle name="Millares 2 4 2 7" xfId="2112" xr:uid="{856B9F03-BEE3-4992-BC51-BA26724CC7E6}"/>
    <cellStyle name="Millares 2 4 2 7 2" xfId="6312" xr:uid="{C6576F9E-D840-4F77-9EC2-706D2B8B45E2}"/>
    <cellStyle name="Millares 2 4 3" xfId="50" xr:uid="{05CAE845-508A-4B38-82E2-49AA80280F6A}"/>
    <cellStyle name="Millares 2 4 3 2" xfId="196" xr:uid="{AC3AA391-A395-4FEC-AF8C-77670ED92807}"/>
    <cellStyle name="Millares 2 4 3 2 2" xfId="1510" xr:uid="{6844EE54-927A-4B63-A3F2-CEE5B11DE551}"/>
    <cellStyle name="Millares 2 4 3 2 2 2" xfId="5780" xr:uid="{0A08FB57-0D2A-4A16-B7BA-73E7CE3F73A5}"/>
    <cellStyle name="Millares 2 4 3 2 2 3" xfId="6319" xr:uid="{934CD03F-D5AF-41BE-A320-2305398346B9}"/>
    <cellStyle name="Millares 2 4 3 2 3" xfId="1812" xr:uid="{4201ACF1-B8F5-4322-97B7-5CC130EE121E}"/>
    <cellStyle name="Millares 2 4 3 2 4" xfId="1093" xr:uid="{3700497E-1AC7-45A5-8142-F97E3D1AE4DC}"/>
    <cellStyle name="Millares 2 4 3 2 5" xfId="6318" xr:uid="{670F9105-46D8-46E8-A82C-D9A379D8D515}"/>
    <cellStyle name="Millares 2 4 3 3" xfId="296" xr:uid="{B1426314-EDBC-4D29-A26C-55FAF1876FF0}"/>
    <cellStyle name="Millares 2 4 3 3 2" xfId="1911" xr:uid="{0DC85409-7291-40DE-BA83-7653201F4946}"/>
    <cellStyle name="Millares 2 4 3 3 3" xfId="1609" xr:uid="{8DA76BDB-BEA3-4450-AA96-BAF1EC5222EA}"/>
    <cellStyle name="Millares 2 4 3 3 4" xfId="6320" xr:uid="{EB560E09-8B8E-476F-8851-D6DC41C06071}"/>
    <cellStyle name="Millares 2 4 3 4" xfId="396" xr:uid="{956913B5-E9C9-46BF-A1F7-880D48176D5F}"/>
    <cellStyle name="Millares 2 4 3 4 2" xfId="2011" xr:uid="{73B21BE3-0FA2-4A08-B1BB-5DC8CAE0BBA6}"/>
    <cellStyle name="Millares 2 4 3 4 3" xfId="1405" xr:uid="{9D055A32-C10D-4A45-96FC-D9718C55C944}"/>
    <cellStyle name="Millares 2 4 3 4 4" xfId="6321" xr:uid="{75CCF467-43B8-4768-8B77-AD8E4217C3C6}"/>
    <cellStyle name="Millares 2 4 3 5" xfId="1712" xr:uid="{C2FAD19A-C9A5-41CA-937B-3A87C84853C3}"/>
    <cellStyle name="Millares 2 4 3 5 2" xfId="6322" xr:uid="{5838C1BE-2403-4590-93D5-CD0861B88BFD}"/>
    <cellStyle name="Millares 2 4 3 6" xfId="615" xr:uid="{E1C3F652-B84B-4351-A510-524E9EFB8C22}"/>
    <cellStyle name="Millares 2 4 3 6 2" xfId="6323" xr:uid="{70293200-42C1-47D0-ADB4-84ECA54AAE95}"/>
    <cellStyle name="Millares 2 4 3 7" xfId="2113" xr:uid="{BC58AD18-FF4A-40CA-8FF6-96E63ACF09DB}"/>
    <cellStyle name="Millares 2 4 3 8" xfId="6317" xr:uid="{C621E380-923D-43A7-A7EE-5DCEBE425BCD}"/>
    <cellStyle name="Millares 2 4 4" xfId="194" xr:uid="{177BE7B2-D009-477C-8E63-136090C02EDA}"/>
    <cellStyle name="Millares 2 4 4 2" xfId="1157" xr:uid="{F13FE042-734A-4693-BD8A-807970456561}"/>
    <cellStyle name="Millares 2 4 4 2 2" xfId="3635" xr:uid="{720D27AD-C97B-42BE-B08E-EC8D02D69E82}"/>
    <cellStyle name="Millares 2 4 4 2 2 2" xfId="6326" xr:uid="{4793C7EB-A3B7-4924-BF5E-1C34938A4BCF}"/>
    <cellStyle name="Millares 2 4 4 2 3" xfId="6325" xr:uid="{A25E668A-C351-439B-BB7E-1709FA3CD2C2}"/>
    <cellStyle name="Millares 2 4 4 3" xfId="1508" xr:uid="{174BEAFF-8B41-4428-AA7B-3FCE92BE6E2E}"/>
    <cellStyle name="Millares 2 4 4 3 2" xfId="5778" xr:uid="{0623C9D4-BAA4-48A5-B8C7-485F78CE134E}"/>
    <cellStyle name="Millares 2 4 4 3 3" xfId="6327" xr:uid="{64920687-3BAA-4E8A-B2C5-17F44300D4FD}"/>
    <cellStyle name="Millares 2 4 4 4" xfId="1810" xr:uid="{BFAAC3E2-9510-4FD8-AD0A-A4062F6A2ED2}"/>
    <cellStyle name="Millares 2 4 4 4 2" xfId="6328" xr:uid="{603A44EB-7602-4A43-8074-A53550664F83}"/>
    <cellStyle name="Millares 2 4 4 5" xfId="679" xr:uid="{41EC70AA-F385-41C1-9027-8B494AF45D6C}"/>
    <cellStyle name="Millares 2 4 4 5 2" xfId="6329" xr:uid="{C413CFA1-4184-4474-A2FE-19C905DB1C1B}"/>
    <cellStyle name="Millares 2 4 4 6" xfId="6330" xr:uid="{B0E625EB-F3E6-4730-AFF5-064B02E8FB25}"/>
    <cellStyle name="Millares 2 4 4 7" xfId="6331" xr:uid="{CF22D18C-4A1C-462F-98B6-710DF6BBA831}"/>
    <cellStyle name="Millares 2 4 4 8" xfId="6324" xr:uid="{B7F4D972-4A7D-4B3D-A2DB-15E6211AE7EA}"/>
    <cellStyle name="Millares 2 4 5" xfId="294" xr:uid="{3DD03624-F045-4C1D-AB65-C366D888869E}"/>
    <cellStyle name="Millares 2 4 5 2" xfId="1221" xr:uid="{EE95E9C0-23E9-438B-A84F-4CE821C648AA}"/>
    <cellStyle name="Millares 2 4 5 2 2" xfId="3696" xr:uid="{7C60EA38-3978-42CC-B44E-BD726DA404B9}"/>
    <cellStyle name="Millares 2 4 5 2 2 2" xfId="6334" xr:uid="{619842CB-E403-410A-86AC-8FA7E26E7323}"/>
    <cellStyle name="Millares 2 4 5 2 3" xfId="6333" xr:uid="{A8F31BA4-23D1-4075-8C1E-243712D49A63}"/>
    <cellStyle name="Millares 2 4 5 3" xfId="1607" xr:uid="{43661657-FFF2-409A-BD29-04F8D220F24E}"/>
    <cellStyle name="Millares 2 4 5 3 2" xfId="5870" xr:uid="{2FEE3FAC-CF27-4F64-BB86-F8DF1C5A31F5}"/>
    <cellStyle name="Millares 2 4 5 3 3" xfId="6335" xr:uid="{2B0BDE4E-BE64-470A-B051-8F71A11DA59C}"/>
    <cellStyle name="Millares 2 4 5 4" xfId="1909" xr:uid="{B29C71D7-27A6-4D9D-AB2C-7E3FF533A931}"/>
    <cellStyle name="Millares 2 4 5 4 2" xfId="6336" xr:uid="{935C995B-BE3D-414F-B4CD-1E298E8557D2}"/>
    <cellStyle name="Millares 2 4 5 5" xfId="743" xr:uid="{FA4FB855-2273-4D1F-BACE-15B05F0EA80B}"/>
    <cellStyle name="Millares 2 4 5 5 2" xfId="6337" xr:uid="{2D808CB3-57F4-4FFB-B371-5316D2355BA0}"/>
    <cellStyle name="Millares 2 4 5 6" xfId="6338" xr:uid="{0AEE6500-CAC1-49EE-9A11-C6321CF9D89D}"/>
    <cellStyle name="Millares 2 4 5 7" xfId="6339" xr:uid="{DB9772A9-E793-4274-B978-A3102851755F}"/>
    <cellStyle name="Millares 2 4 5 8" xfId="6332" xr:uid="{E1E3EF7B-7A83-4C03-AFAC-F67D94BAE542}"/>
    <cellStyle name="Millares 2 4 6" xfId="394" xr:uid="{7C727421-4977-4038-BC0D-A73D69690C8B}"/>
    <cellStyle name="Millares 2 4 6 2" xfId="1286" xr:uid="{3A8F9A07-26D9-40D8-90BD-C538816C0FF0}"/>
    <cellStyle name="Millares 2 4 6 2 2" xfId="3760" xr:uid="{D0BB710E-ADC5-40A1-8F01-1780A43E7A22}"/>
    <cellStyle name="Millares 2 4 6 2 3" xfId="6341" xr:uid="{6D0E998D-5D52-4F85-A06C-C0CA6DBEDC0B}"/>
    <cellStyle name="Millares 2 4 6 3" xfId="2009" xr:uid="{814D2F89-BBCC-4C72-9B48-04B41204D806}"/>
    <cellStyle name="Millares 2 4 6 3 2" xfId="6342" xr:uid="{AF49922B-6D87-4C12-9026-2B68D095737E}"/>
    <cellStyle name="Millares 2 4 6 4" xfId="807" xr:uid="{33262A87-9E8C-4BCA-A748-A009F2D3E473}"/>
    <cellStyle name="Millares 2 4 6 4 2" xfId="6343" xr:uid="{9C56AF1A-74F2-45D3-8027-07EE4501F977}"/>
    <cellStyle name="Millares 2 4 6 5" xfId="6344" xr:uid="{B649B374-B79F-4094-BB5D-989066FEE5B1}"/>
    <cellStyle name="Millares 2 4 6 6" xfId="6340" xr:uid="{8C75F504-85AB-4703-BF86-206E75DBA075}"/>
    <cellStyle name="Millares 2 4 7" xfId="996" xr:uid="{FD0625D0-A015-4D45-87D4-3710DF9BB9D3}"/>
    <cellStyle name="Millares 2 4 7 2" xfId="3493" xr:uid="{94481DF5-D317-4FA5-A044-EA6AA505FC87}"/>
    <cellStyle name="Millares 2 4 7 2 2" xfId="6346" xr:uid="{67FAE1B3-B128-4350-977F-94AAADAE3E80}"/>
    <cellStyle name="Millares 2 4 7 3" xfId="6347" xr:uid="{05EFA006-B3AD-4011-BD29-81A9161F4317}"/>
    <cellStyle name="Millares 2 4 7 4" xfId="6345" xr:uid="{D3729C73-7DAC-47DC-930E-E7BF09516271}"/>
    <cellStyle name="Millares 2 4 8" xfId="1403" xr:uid="{56EF6786-35DA-400E-9BD5-450490EB612C}"/>
    <cellStyle name="Millares 2 4 8 2" xfId="5708" xr:uid="{5D92BC1B-7342-4AFD-9572-2A147CDE080E}"/>
    <cellStyle name="Millares 2 4 8 3" xfId="6348" xr:uid="{46AB7191-1F4E-4807-A815-9A2840D8E77A}"/>
    <cellStyle name="Millares 2 4 9" xfId="1710" xr:uid="{9A8E5C52-772B-4216-A7B1-FC10A5AA5A5D}"/>
    <cellStyle name="Millares 2 4 9 2" xfId="6349" xr:uid="{DB755445-BAB5-4852-BF05-EC2AD99D4A18}"/>
    <cellStyle name="Millares 2 5" xfId="51" xr:uid="{AA8644E9-4742-4DD6-8262-0A08AFC78EE5}"/>
    <cellStyle name="Millares 2 5 2" xfId="52" xr:uid="{5252A317-7BBA-4163-8821-D7E41ED58BEA}"/>
    <cellStyle name="Millares 2 5 2 2" xfId="198" xr:uid="{7C1F07DF-CE5D-461D-85D5-CF2DA1F75A0F}"/>
    <cellStyle name="Millares 2 5 2 2 2" xfId="1512" xr:uid="{E559FA26-4179-4E21-A010-18918E9F1A67}"/>
    <cellStyle name="Millares 2 5 2 2 2 2" xfId="5782" xr:uid="{673E8E3F-75D1-416A-B162-21DABC5809B7}"/>
    <cellStyle name="Millares 2 5 2 2 3" xfId="1814" xr:uid="{D5F23C9B-AF22-4B17-879F-A211E198BB05}"/>
    <cellStyle name="Millares 2 5 2 2 4" xfId="1350" xr:uid="{AC335C78-1B48-4E17-92A9-6270F4CB4AF0}"/>
    <cellStyle name="Millares 2 5 2 2 5" xfId="6351" xr:uid="{5D4E592E-485E-41EC-AB85-62F4C54E5A87}"/>
    <cellStyle name="Millares 2 5 2 3" xfId="298" xr:uid="{5F289533-FB3D-4860-82C9-C5356D21B0B6}"/>
    <cellStyle name="Millares 2 5 2 3 2" xfId="1913" xr:uid="{E77A2AB3-3C93-4891-9C0B-43AD5D35DBBC}"/>
    <cellStyle name="Millares 2 5 2 3 3" xfId="1611" xr:uid="{8F92E484-A325-4B05-A79D-9EC8900A315F}"/>
    <cellStyle name="Millares 2 5 2 3 4" xfId="6352" xr:uid="{1CDDF67A-1279-4931-A1B9-9D3CD07905CA}"/>
    <cellStyle name="Millares 2 5 2 4" xfId="398" xr:uid="{430D50AE-C282-49FC-A77F-F709AD406F6D}"/>
    <cellStyle name="Millares 2 5 2 4 2" xfId="2013" xr:uid="{FC0D1C3E-272B-4772-ADE5-BF57C96E35A2}"/>
    <cellStyle name="Millares 2 5 2 4 3" xfId="1407" xr:uid="{1663E460-7151-4F31-BD56-033A3D7E119D}"/>
    <cellStyle name="Millares 2 5 2 4 4" xfId="6353" xr:uid="{E0845124-AC1C-407B-8992-3F02EAFDE911}"/>
    <cellStyle name="Millares 2 5 2 5" xfId="1714" xr:uid="{12B0C5E7-B8BB-4D39-AD6E-7F5E82729380}"/>
    <cellStyle name="Millares 2 5 2 6" xfId="871" xr:uid="{BD4FB5BF-FFC5-4A61-8A74-B787C044B216}"/>
    <cellStyle name="Millares 2 5 2 7" xfId="2115" xr:uid="{CFAB1F19-3624-4873-9664-C6E0322E68CF}"/>
    <cellStyle name="Millares 2 5 3" xfId="197" xr:uid="{80608ADF-0407-4D16-AB15-1D3D7096B474}"/>
    <cellStyle name="Millares 2 5 3 2" xfId="1511" xr:uid="{C9927F6D-ECD7-47C0-9AE2-0D2912F3CB16}"/>
    <cellStyle name="Millares 2 5 3 2 2" xfId="5781" xr:uid="{E1E8D6B4-6A98-4AC1-9B21-97000D72E563}"/>
    <cellStyle name="Millares 2 5 3 3" xfId="1813" xr:uid="{5C78AA6E-4D67-4A4B-AB2A-57FDB5307178}"/>
    <cellStyle name="Millares 2 5 3 4" xfId="1027" xr:uid="{4F8D0032-394B-4150-AE98-3BE054EBEE55}"/>
    <cellStyle name="Millares 2 5 3 5" xfId="6354" xr:uid="{FDB32D26-C415-44EB-BFD5-CF19F78C6A82}"/>
    <cellStyle name="Millares 2 5 4" xfId="297" xr:uid="{04D983E5-F233-445B-86C4-5F5A7E3CCFE1}"/>
    <cellStyle name="Millares 2 5 4 2" xfId="1912" xr:uid="{73252DC7-B4FB-44D0-B1B2-029E3776CEC3}"/>
    <cellStyle name="Millares 2 5 4 3" xfId="1610" xr:uid="{A934007B-42F4-42AC-B3A2-0B9ABEEE8966}"/>
    <cellStyle name="Millares 2 5 4 4" xfId="6355" xr:uid="{591E81B4-E3CD-4D86-B1E2-D65241DDB2F5}"/>
    <cellStyle name="Millares 2 5 5" xfId="397" xr:uid="{FD1541C7-C5C8-4A5C-A323-C11C440D623E}"/>
    <cellStyle name="Millares 2 5 5 2" xfId="2012" xr:uid="{3CF0DFCD-ED3D-4EBC-8DE9-F73193ED31AA}"/>
    <cellStyle name="Millares 2 5 5 3" xfId="1406" xr:uid="{0626BCBD-0390-4527-9E55-D297AB5BCCEE}"/>
    <cellStyle name="Millares 2 5 5 4" xfId="6356" xr:uid="{C6978202-6AD9-4081-81AE-10C0EEAF49FB}"/>
    <cellStyle name="Millares 2 5 6" xfId="1713" xr:uid="{68438083-501D-4FCB-AA7B-30171A5E6926}"/>
    <cellStyle name="Millares 2 5 6 2" xfId="6357" xr:uid="{B65D79F8-D35B-429A-AF83-C7DA7007656D}"/>
    <cellStyle name="Millares 2 5 7" xfId="549" xr:uid="{F38018D2-8733-4813-8F2A-57A895A3A79E}"/>
    <cellStyle name="Millares 2 5 7 2" xfId="6358" xr:uid="{3420ACF3-BA30-4353-8CB4-3AF238C64C85}"/>
    <cellStyle name="Millares 2 5 8" xfId="2114" xr:uid="{92AB90CA-8DBB-4D17-9989-1D4E51119E0D}"/>
    <cellStyle name="Millares 2 5 9" xfId="6350" xr:uid="{981BED56-09AD-4489-A145-6D94274179FD}"/>
    <cellStyle name="Millares 2 6" xfId="53" xr:uid="{E0A14C3B-60E1-4990-A070-11B9D7071BA8}"/>
    <cellStyle name="Millares 2 6 2" xfId="54" xr:uid="{7D0C7B26-BBE8-4544-9A71-41CDD86F7625}"/>
    <cellStyle name="Millares 2 6 2 2" xfId="200" xr:uid="{B42679C1-F79F-44D6-9078-1ABF21D608D9}"/>
    <cellStyle name="Millares 2 6 2 2 2" xfId="1514" xr:uid="{72C6ABCD-17E5-4751-9409-2CD3AB6DBA12}"/>
    <cellStyle name="Millares 2 6 2 2 2 2" xfId="5784" xr:uid="{5F68195D-E06F-4868-A2D7-8F2D9FD455D2}"/>
    <cellStyle name="Millares 2 6 2 2 3" xfId="1816" xr:uid="{5231926F-EBF4-423B-BC89-09D1BBEFF013}"/>
    <cellStyle name="Millares 2 6 2 2 4" xfId="1353" xr:uid="{96F10C63-5A03-4625-BFD7-FCB681CCBE56}"/>
    <cellStyle name="Millares 2 6 2 2 5" xfId="6359" xr:uid="{276C5F10-38F3-480A-A566-B5453856B156}"/>
    <cellStyle name="Millares 2 6 2 3" xfId="300" xr:uid="{51D94795-9C37-41EF-8D9F-199342727718}"/>
    <cellStyle name="Millares 2 6 2 3 2" xfId="1915" xr:uid="{00BE8AF1-1849-456E-8614-2ACFE194392B}"/>
    <cellStyle name="Millares 2 6 2 3 3" xfId="1613" xr:uid="{28EDF9D0-E6C4-488C-A10D-BF685EB0E48F}"/>
    <cellStyle name="Millares 2 6 2 4" xfId="400" xr:uid="{E8FB384C-9A9E-40DF-830A-E6BFC08E2806}"/>
    <cellStyle name="Millares 2 6 2 4 2" xfId="2015" xr:uid="{BAD4C796-CBC0-40D8-BFE4-B6A37F19DA6C}"/>
    <cellStyle name="Millares 2 6 2 4 3" xfId="1409" xr:uid="{A4FBEEB0-0C7B-41EB-A19F-43A0B3992F0D}"/>
    <cellStyle name="Millares 2 6 2 5" xfId="1716" xr:uid="{055F6F15-2E38-4403-B8B6-D0ABAE23639D}"/>
    <cellStyle name="Millares 2 6 2 6" xfId="874" xr:uid="{8192FB55-67FC-43D0-A094-19B7693C9FD9}"/>
    <cellStyle name="Millares 2 6 2 7" xfId="2117" xr:uid="{3CDF93F7-FDDE-4B69-B007-AC2B77E3DD56}"/>
    <cellStyle name="Millares 2 6 3" xfId="199" xr:uid="{9315B8CA-B741-4998-A1DE-DC5C83744618}"/>
    <cellStyle name="Millares 2 6 3 2" xfId="1513" xr:uid="{CEB78DC4-2671-4860-809B-F4CE5F46D2F0}"/>
    <cellStyle name="Millares 2 6 3 2 2" xfId="5783" xr:uid="{C7B48805-AF1F-4750-8697-ABEBACC6DA48}"/>
    <cellStyle name="Millares 2 6 3 3" xfId="1815" xr:uid="{9A4ED127-A951-44E2-9945-C397B92AC18C}"/>
    <cellStyle name="Millares 2 6 3 4" xfId="1091" xr:uid="{C740AD46-A3F8-4C22-A211-9278B5D0BE76}"/>
    <cellStyle name="Millares 2 6 3 5" xfId="6360" xr:uid="{91040926-F517-4E0C-B9AA-75B801964814}"/>
    <cellStyle name="Millares 2 6 4" xfId="299" xr:uid="{D55A5113-B852-4C28-8F02-89E9CFDF9768}"/>
    <cellStyle name="Millares 2 6 4 2" xfId="1914" xr:uid="{EA9DD1D9-8300-4ABD-999A-09F56BE73F64}"/>
    <cellStyle name="Millares 2 6 4 3" xfId="1612" xr:uid="{E9A1DE31-DFED-4C00-B2C2-27C059DAA3DA}"/>
    <cellStyle name="Millares 2 6 4 4" xfId="6361" xr:uid="{08DF476C-F4A7-4929-9434-7B7931BEF900}"/>
    <cellStyle name="Millares 2 6 5" xfId="399" xr:uid="{527434F7-3E4A-45ED-A83A-F6CBA7CD96ED}"/>
    <cellStyle name="Millares 2 6 5 2" xfId="2014" xr:uid="{50B3D874-C5E1-4B20-8CDF-9C92C416E388}"/>
    <cellStyle name="Millares 2 6 5 3" xfId="1408" xr:uid="{D139557D-1522-4D7A-8F7E-08DC210599E2}"/>
    <cellStyle name="Millares 2 6 6" xfId="1715" xr:uid="{7864813E-22AB-49C6-9298-146F15FBDC3B}"/>
    <cellStyle name="Millares 2 6 7" xfId="613" xr:uid="{0341DFFD-71CE-4ED6-80BE-486B4CF2365A}"/>
    <cellStyle name="Millares 2 6 8" xfId="2116" xr:uid="{9A07FCAB-BF2A-4BA0-B2F8-22064D582B9A}"/>
    <cellStyle name="Millares 2 7" xfId="55" xr:uid="{17F23C24-0865-48CB-AB6E-62AF63D45CB2}"/>
    <cellStyle name="Millares 2 7 2" xfId="201" xr:uid="{0DD5A8C3-A623-45B8-8CF8-463C6D96294F}"/>
    <cellStyle name="Millares 2 7 2 2" xfId="1515" xr:uid="{20C9C86E-B14E-4D60-B863-D6D9937C2ED9}"/>
    <cellStyle name="Millares 2 7 2 2 2" xfId="5785" xr:uid="{A558DF43-511D-4960-9532-38BF5A234D5A}"/>
    <cellStyle name="Millares 2 7 2 3" xfId="1817" xr:uid="{E9072873-8202-4D0E-AA0D-8A3B1E27A217}"/>
    <cellStyle name="Millares 2 7 2 4" xfId="1155" xr:uid="{8E41AFB9-F9B8-4E1A-8B7E-3C12F8198368}"/>
    <cellStyle name="Millares 2 7 2 5" xfId="6362" xr:uid="{EB795DFC-B6D4-4101-AEC4-E6D54A1B3A8F}"/>
    <cellStyle name="Millares 2 7 3" xfId="301" xr:uid="{83E6FCE3-0FC0-450A-A580-469BD81BE9A2}"/>
    <cellStyle name="Millares 2 7 3 2" xfId="1916" xr:uid="{0B582A5E-9B8A-4B94-B83E-1D3399256A1C}"/>
    <cellStyle name="Millares 2 7 3 3" xfId="1614" xr:uid="{2ABE80BF-AA90-429B-9735-0C4B6E08B37C}"/>
    <cellStyle name="Millares 2 7 3 4" xfId="6363" xr:uid="{6ACA14F4-9F72-4130-9A3F-C58B980361C5}"/>
    <cellStyle name="Millares 2 7 4" xfId="401" xr:uid="{AC2EFDED-B4E0-496F-92B4-4F756CD64044}"/>
    <cellStyle name="Millares 2 7 4 2" xfId="2016" xr:uid="{73419C24-18B7-40E0-9137-E785484B878A}"/>
    <cellStyle name="Millares 2 7 4 3" xfId="1410" xr:uid="{755F3E8E-B527-4977-9E9C-8022B8EBA08D}"/>
    <cellStyle name="Millares 2 7 5" xfId="1717" xr:uid="{5B6AF20D-B71E-4E79-9963-9812067B44C0}"/>
    <cellStyle name="Millares 2 7 6" xfId="677" xr:uid="{B21B0E3A-2654-4579-91A0-4E495EFA251C}"/>
    <cellStyle name="Millares 2 7 7" xfId="2118" xr:uid="{674DAAEB-539D-4863-83A1-0221C39CE56E}"/>
    <cellStyle name="Millares 2 8" xfId="56" xr:uid="{9821E67A-C7AB-45DE-BDC0-6E834FF1B132}"/>
    <cellStyle name="Millares 2 8 2" xfId="202" xr:uid="{126293E0-831C-4927-983A-C56A92B50B06}"/>
    <cellStyle name="Millares 2 8 2 2" xfId="1516" xr:uid="{2E4F5AA7-14C5-4828-9B84-631D5A952223}"/>
    <cellStyle name="Millares 2 8 2 2 2" xfId="5786" xr:uid="{CF8B5EFC-F62D-409D-BF6E-621756FF3D3A}"/>
    <cellStyle name="Millares 2 8 2 3" xfId="1818" xr:uid="{B00B3619-15C8-4F5F-80B8-8678892C4C44}"/>
    <cellStyle name="Millares 2 8 2 4" xfId="1219" xr:uid="{279BB112-0D9A-4D23-8A2D-AEF930BEC77D}"/>
    <cellStyle name="Millares 2 8 2 5" xfId="6364" xr:uid="{70BCB2C3-D1A1-4363-A63D-7E22441D551F}"/>
    <cellStyle name="Millares 2 8 3" xfId="302" xr:uid="{DBC2C44B-F163-4B92-B35B-533D82496767}"/>
    <cellStyle name="Millares 2 8 3 2" xfId="1917" xr:uid="{4B41B679-DE1C-4C78-A957-B8432634576D}"/>
    <cellStyle name="Millares 2 8 3 3" xfId="1615" xr:uid="{7081BBA0-F5A9-41DB-A341-033DFB64152C}"/>
    <cellStyle name="Millares 2 8 4" xfId="402" xr:uid="{87BF8176-6CE8-4306-B23D-922E539461D9}"/>
    <cellStyle name="Millares 2 8 4 2" xfId="2017" xr:uid="{7C05898D-70DA-433E-BC5C-2C5779C4DF2A}"/>
    <cellStyle name="Millares 2 8 4 3" xfId="1411" xr:uid="{CE57D2F2-9A12-4942-92B4-CAC36EA31F39}"/>
    <cellStyle name="Millares 2 8 5" xfId="1718" xr:uid="{27247161-4770-467F-B330-58199A4F7B32}"/>
    <cellStyle name="Millares 2 8 6" xfId="741" xr:uid="{216CBB4A-F174-4552-B5DB-B4E8ED7AAED3}"/>
    <cellStyle name="Millares 2 8 7" xfId="2119" xr:uid="{A624A041-4A14-4170-B3A7-B41D5BC23EB2}"/>
    <cellStyle name="Millares 2 9" xfId="45" xr:uid="{B34C74EC-8075-421D-B9AD-D20BF1486AF4}"/>
    <cellStyle name="Millares 2 9 2" xfId="1284" xr:uid="{BC6D7561-7B4A-492C-A96D-E2BD2D22762D}"/>
    <cellStyle name="Millares 2 9 2 2" xfId="3758" xr:uid="{6AE1978A-6617-489F-A33C-0D2A7217BFC5}"/>
    <cellStyle name="Millares 2 9 2 3" xfId="6366" xr:uid="{448DD30B-6B28-46F3-BCF7-DC1FE08AEDCC}"/>
    <cellStyle name="Millares 2 9 3" xfId="1401" xr:uid="{387C0E1B-4F2B-442C-B546-B4EA729D8C85}"/>
    <cellStyle name="Millares 2 9 3 2" xfId="5706" xr:uid="{2979724E-B6C8-407A-9549-B531BEA9D68E}"/>
    <cellStyle name="Millares 2 9 4" xfId="1708" xr:uid="{2EF3AB1E-D3D5-4C8C-B12F-2B576C7FEFF3}"/>
    <cellStyle name="Millares 2 9 5" xfId="805" xr:uid="{49AF184B-11D8-4AAA-B3C0-915F95D6646C}"/>
    <cellStyle name="Millares 2 9 6" xfId="6365" xr:uid="{DFE97065-EC36-41EC-9ADB-408323501978}"/>
    <cellStyle name="Millares 3" xfId="57" xr:uid="{5ED9B1B7-AC84-4E0D-9A61-F5B51F0E1535}"/>
    <cellStyle name="Millares 3 10" xfId="6368" xr:uid="{4E8063B6-FBB3-4150-98E1-0E6BC4599ECD}"/>
    <cellStyle name="Millares 3 10 2" xfId="6369" xr:uid="{EA7A8821-D278-4690-AAAE-12307322371B}"/>
    <cellStyle name="Millares 3 10 2 2" xfId="6370" xr:uid="{00D2ABDB-D41F-49B1-A4CF-969A40D2D8B5}"/>
    <cellStyle name="Millares 3 10 3" xfId="6371" xr:uid="{CE0CC0FF-9F00-4671-AA0C-8DDF0047CA35}"/>
    <cellStyle name="Millares 3 10 4" xfId="6372" xr:uid="{E5A4F453-53C6-486F-B59B-CE2C437574E6}"/>
    <cellStyle name="Millares 3 10 5" xfId="6373" xr:uid="{54CA69A6-77A7-445A-BD76-1EA2562F614B}"/>
    <cellStyle name="Millares 3 10 6" xfId="6374" xr:uid="{95D4296C-5A9B-4A75-AB4B-346B87DA1E06}"/>
    <cellStyle name="Millares 3 11" xfId="6375" xr:uid="{9C73CC76-94F3-4329-BCCA-F295785FB997}"/>
    <cellStyle name="Millares 3 11 2" xfId="6376" xr:uid="{01938CB1-C416-4928-B986-CC92B19D6EB1}"/>
    <cellStyle name="Millares 3 11 2 2" xfId="6377" xr:uid="{6590042B-AE54-4D13-85BF-01E3409C27AB}"/>
    <cellStyle name="Millares 3 11 3" xfId="6378" xr:uid="{428F34E0-6426-484B-891E-631F690E1C98}"/>
    <cellStyle name="Millares 3 11 4" xfId="6379" xr:uid="{70E65B44-E592-4654-B3FF-CD1E2188D2D1}"/>
    <cellStyle name="Millares 3 11 5" xfId="6380" xr:uid="{7A1396E2-71F1-4684-AD65-BDCD3A15082E}"/>
    <cellStyle name="Millares 3 11 6" xfId="6381" xr:uid="{5741010F-85E4-495E-8543-B6DF9EFF354B}"/>
    <cellStyle name="Millares 3 12" xfId="6382" xr:uid="{48310856-E4CD-4F3D-AFA0-F33E5B07B129}"/>
    <cellStyle name="Millares 3 12 2" xfId="6383" xr:uid="{766E13E6-77E0-42C1-A453-8D8AE50C0D15}"/>
    <cellStyle name="Millares 3 12 3" xfId="6384" xr:uid="{BB3E2F6C-0874-42A2-B8DE-27E5352473DD}"/>
    <cellStyle name="Millares 3 12 4" xfId="6385" xr:uid="{B7DCA879-2ED1-4C0D-80CF-0C669EAD5B39}"/>
    <cellStyle name="Millares 3 12 5" xfId="6386" xr:uid="{75B40599-59E1-4421-85A0-D39D6D7FF52F}"/>
    <cellStyle name="Millares 3 13" xfId="6387" xr:uid="{7BADC784-4896-4555-9E97-28A99D4B3E60}"/>
    <cellStyle name="Millares 3 14" xfId="6367" xr:uid="{D2F3E93B-9A30-481D-BD23-B5165B888805}"/>
    <cellStyle name="Millares 3 2" xfId="58" xr:uid="{4850CB06-A329-484B-868B-E4B77573B4CB}"/>
    <cellStyle name="Millares 3 2 10" xfId="6389" xr:uid="{0FB981F0-6DDA-4913-BEA8-179CC7437DF8}"/>
    <cellStyle name="Millares 3 2 10 2" xfId="6390" xr:uid="{77D69F69-9F45-4844-AB22-CA94E1A7E98A}"/>
    <cellStyle name="Millares 3 2 10 3" xfId="6391" xr:uid="{CE320F77-6B99-451B-99A3-C479918FFD3E}"/>
    <cellStyle name="Millares 3 2 10 4" xfId="6392" xr:uid="{D9C1CA81-D9D8-43A9-A6E5-B191136E1979}"/>
    <cellStyle name="Millares 3 2 10 5" xfId="6393" xr:uid="{72FE4B5E-2B78-4A24-A5A1-BB5E3B2EC449}"/>
    <cellStyle name="Millares 3 2 11" xfId="6394" xr:uid="{ADE96875-31E6-4E25-90DD-301AD54CCC9D}"/>
    <cellStyle name="Millares 3 2 11 2" xfId="6395" xr:uid="{A8F4AAEB-A11B-468E-99B5-0B57F3DFB64F}"/>
    <cellStyle name="Millares 3 2 11 3" xfId="6396" xr:uid="{73492C24-C52E-44B4-9213-BA94045AA886}"/>
    <cellStyle name="Millares 3 2 12" xfId="6397" xr:uid="{45D3BE25-E7FC-4898-B086-94ABD5446C2E}"/>
    <cellStyle name="Millares 3 2 13" xfId="6388" xr:uid="{04C5807D-20B4-43E3-A8BF-FA53A1A17ED3}"/>
    <cellStyle name="Millares 3 2 2" xfId="59" xr:uid="{3298D368-CD2A-4E62-9554-91BFA74E87B5}"/>
    <cellStyle name="Millares 3 2 2 2" xfId="204" xr:uid="{05DD3D78-AFA6-4DA3-9191-5EE4E6A8B3EE}"/>
    <cellStyle name="Millares 3 2 2 2 2" xfId="1820" xr:uid="{0BFA4669-E61A-4BFE-B4EC-92B731D1BF3B}"/>
    <cellStyle name="Millares 3 2 2 2 3" xfId="1518" xr:uid="{91F49DAC-5FE1-4531-90A7-6EA1CC146494}"/>
    <cellStyle name="Millares 3 2 2 3" xfId="304" xr:uid="{D47337C2-3DB1-4044-B1F3-C821EBA8F25C}"/>
    <cellStyle name="Millares 3 2 2 3 2" xfId="1919" xr:uid="{47F82E3A-D306-4AF9-A6F0-28307F540147}"/>
    <cellStyle name="Millares 3 2 2 3 3" xfId="1617" xr:uid="{0DEC447B-D291-4F32-BBAD-203D917096F9}"/>
    <cellStyle name="Millares 3 2 2 4" xfId="404" xr:uid="{15E4B8E8-B687-4C59-9CD6-8A1064F71C6D}"/>
    <cellStyle name="Millares 3 2 2 4 2" xfId="2019" xr:uid="{47E61977-C92C-4FAB-84BF-E44514194A2E}"/>
    <cellStyle name="Millares 3 2 2 4 3" xfId="1413" xr:uid="{2FA9C34D-35EE-44B2-94DF-455FE77B76E1}"/>
    <cellStyle name="Millares 3 2 2 5" xfId="1720" xr:uid="{6127ABCE-0603-4D05-BBCA-D8D067287BBC}"/>
    <cellStyle name="Millares 3 2 2 6" xfId="1349" xr:uid="{482E98E5-7105-45BD-9855-2A69110660A0}"/>
    <cellStyle name="Millares 3 2 2 7" xfId="2121" xr:uid="{8BD6CB25-1349-4C6F-B5C0-667D7F48732D}"/>
    <cellStyle name="Millares 3 2 2 7 2" xfId="6398" xr:uid="{3FFB29C0-90EA-41B2-AFED-6EEFF43DADCF}"/>
    <cellStyle name="Millares 3 2 3" xfId="203" xr:uid="{EF7B36D8-0303-48F6-BF3E-83355F1FD0A6}"/>
    <cellStyle name="Millares 3 2 3 10" xfId="6400" xr:uid="{09CE3C1C-6396-42B7-B511-B62FF337F967}"/>
    <cellStyle name="Millares 3 2 3 11" xfId="6401" xr:uid="{E2A14A0C-1BDA-4F8B-87B5-4EF331B50831}"/>
    <cellStyle name="Millares 3 2 3 12" xfId="6402" xr:uid="{7F5AEB2D-D15D-4B9E-9A43-4CE6C477AF8E}"/>
    <cellStyle name="Millares 3 2 3 13" xfId="6399" xr:uid="{6D7CF99E-A83E-45C1-ADF9-05FC08B437F2}"/>
    <cellStyle name="Millares 3 2 3 2" xfId="1819" xr:uid="{150FEBC6-A11F-4380-AB90-22AFA7A9EFF4}"/>
    <cellStyle name="Millares 3 2 3 2 10" xfId="6404" xr:uid="{97E6B0E4-21DA-4838-854F-5510A8BEB6F5}"/>
    <cellStyle name="Millares 3 2 3 2 11" xfId="6405" xr:uid="{86D043C7-478E-4E30-BAE3-B24FBF2ECDFF}"/>
    <cellStyle name="Millares 3 2 3 2 12" xfId="6403" xr:uid="{C04EC1DC-58F5-434D-B5D1-07D9D1A8F89B}"/>
    <cellStyle name="Millares 3 2 3 2 2" xfId="6406" xr:uid="{2B5FED6F-789F-43DD-98E4-8AF478E5F094}"/>
    <cellStyle name="Millares 3 2 3 2 2 2" xfId="6407" xr:uid="{F4811299-256D-4B1E-96F7-E9EBAC4C970A}"/>
    <cellStyle name="Millares 3 2 3 2 2 2 2" xfId="6408" xr:uid="{4D02BB41-9DBA-4BC7-8DC3-E1C336DD734E}"/>
    <cellStyle name="Millares 3 2 3 2 2 3" xfId="6409" xr:uid="{AF28156E-0D85-4B52-B720-58DC40C5C33C}"/>
    <cellStyle name="Millares 3 2 3 2 2 4" xfId="6410" xr:uid="{F3AAC9A8-6BE9-4AFC-BDF9-82F32E8DB00E}"/>
    <cellStyle name="Millares 3 2 3 2 2 5" xfId="6411" xr:uid="{F63E307C-6272-4466-B7CE-6024DAF72662}"/>
    <cellStyle name="Millares 3 2 3 2 2 6" xfId="6412" xr:uid="{96DF1A4E-9FB8-490D-AFAB-4CBA0F286089}"/>
    <cellStyle name="Millares 3 2 3 2 2 7" xfId="6413" xr:uid="{5AD7056E-3AE4-4974-AAED-97DF9F802C1F}"/>
    <cellStyle name="Millares 3 2 3 2 2 8" xfId="6414" xr:uid="{93F110F7-0817-4041-BC01-196CB06D8B45}"/>
    <cellStyle name="Millares 3 2 3 2 3" xfId="6415" xr:uid="{2555BCAF-05F1-443B-9CE1-7CFAC0C26D8C}"/>
    <cellStyle name="Millares 3 2 3 2 3 2" xfId="6416" xr:uid="{40397EFD-1792-4FBE-A150-FD2A76EA2425}"/>
    <cellStyle name="Millares 3 2 3 2 3 2 2" xfId="6417" xr:uid="{6B9F5C72-FA75-4C31-B676-9B73EE3EB8ED}"/>
    <cellStyle name="Millares 3 2 3 2 3 3" xfId="6418" xr:uid="{87E862FC-CA3B-41E6-86C2-DB090AAEF68A}"/>
    <cellStyle name="Millares 3 2 3 2 3 4" xfId="6419" xr:uid="{B37303EB-633C-46E5-B230-A2F09A5B5260}"/>
    <cellStyle name="Millares 3 2 3 2 3 5" xfId="6420" xr:uid="{C63C7DD5-6E01-4240-B272-2310E0D893C8}"/>
    <cellStyle name="Millares 3 2 3 2 3 6" xfId="6421" xr:uid="{6A8B45DD-788B-4214-BA77-37F7D9CA7B54}"/>
    <cellStyle name="Millares 3 2 3 2 4" xfId="6422" xr:uid="{901AAD96-C378-4A69-BC2D-53FEBFC08996}"/>
    <cellStyle name="Millares 3 2 3 2 4 2" xfId="6423" xr:uid="{8DED9825-DCF4-4ED3-94B0-9F8923F58FD0}"/>
    <cellStyle name="Millares 3 2 3 2 4 2 2" xfId="6424" xr:uid="{2D275BE8-BD7B-472A-A009-5452138D2FAF}"/>
    <cellStyle name="Millares 3 2 3 2 4 3" xfId="6425" xr:uid="{CC36D1C8-FEEB-4CD1-896F-EE3C71E00398}"/>
    <cellStyle name="Millares 3 2 3 2 4 4" xfId="6426" xr:uid="{F75B0D7C-0AED-4F3F-A3FC-DFB32BB3EA1C}"/>
    <cellStyle name="Millares 3 2 3 2 4 5" xfId="6427" xr:uid="{9AE7F163-9F78-40D4-BE55-3588EAAAB5E3}"/>
    <cellStyle name="Millares 3 2 3 2 4 6" xfId="6428" xr:uid="{11A09C45-7B17-4011-BB89-B78CE71DA368}"/>
    <cellStyle name="Millares 3 2 3 2 5" xfId="6429" xr:uid="{1E47F9B1-C7EF-47D2-BE56-8BF40EDE85BF}"/>
    <cellStyle name="Millares 3 2 3 2 5 2" xfId="6430" xr:uid="{D384C227-6513-494A-9110-B89B5BC70893}"/>
    <cellStyle name="Millares 3 2 3 2 5 3" xfId="6431" xr:uid="{3D9F824B-EF5B-4A1D-ABD5-693D1584B657}"/>
    <cellStyle name="Millares 3 2 3 2 5 4" xfId="6432" xr:uid="{827C9A6A-AED7-4286-9E31-DD4AA868CFA6}"/>
    <cellStyle name="Millares 3 2 3 2 6" xfId="6433" xr:uid="{1C250020-D652-466D-A0A7-57BD451A6E8F}"/>
    <cellStyle name="Millares 3 2 3 2 7" xfId="6434" xr:uid="{2B0B7908-49CD-480B-81A3-CBCDA81CDEF4}"/>
    <cellStyle name="Millares 3 2 3 2 8" xfId="6435" xr:uid="{05DC2584-012A-4D16-BF92-1C6677416F73}"/>
    <cellStyle name="Millares 3 2 3 2 9" xfId="6436" xr:uid="{F949E7E0-CA24-425C-971D-EEE0C0BB29E6}"/>
    <cellStyle name="Millares 3 2 3 3" xfId="1517" xr:uid="{6D0640E0-1ED0-4A26-AD0F-4EDBF6134092}"/>
    <cellStyle name="Millares 3 2 3 3 2" xfId="6438" xr:uid="{2A237633-8B12-45E5-90EE-CB45F7E0D71E}"/>
    <cellStyle name="Millares 3 2 3 3 2 2" xfId="6439" xr:uid="{9E157DC1-9342-49A3-A02D-D6B3781B85F2}"/>
    <cellStyle name="Millares 3 2 3 3 3" xfId="6440" xr:uid="{BA56A528-393B-40A6-B07D-5E4F2AE522AC}"/>
    <cellStyle name="Millares 3 2 3 3 4" xfId="6441" xr:uid="{E600E3FA-D9DB-4BB2-BC5D-2B05E37E39CE}"/>
    <cellStyle name="Millares 3 2 3 3 5" xfId="6442" xr:uid="{D46B2969-A995-43CA-8748-F0EE69B657D9}"/>
    <cellStyle name="Millares 3 2 3 3 6" xfId="6443" xr:uid="{1D1F4BB7-3AA9-4266-8961-86A6A2BA8719}"/>
    <cellStyle name="Millares 3 2 3 3 7" xfId="6444" xr:uid="{8E222BF4-F051-417D-8B88-C1C997FDDBE6}"/>
    <cellStyle name="Millares 3 2 3 3 8" xfId="6445" xr:uid="{E5BAA53B-6A25-4943-B7BA-FAEDB3AD0F31}"/>
    <cellStyle name="Millares 3 2 3 3 9" xfId="6437" xr:uid="{77DD3424-859C-4DFE-8560-54EF75E56845}"/>
    <cellStyle name="Millares 3 2 3 4" xfId="6446" xr:uid="{5A859710-FC9A-4ACF-92D0-102AB28CD613}"/>
    <cellStyle name="Millares 3 2 3 4 2" xfId="6447" xr:uid="{2DEB8BEB-4A4F-49DA-A0E7-9C15BE217BDB}"/>
    <cellStyle name="Millares 3 2 3 4 2 2" xfId="6448" xr:uid="{50D587F6-378E-4BC5-9137-CE4E2F18AE3F}"/>
    <cellStyle name="Millares 3 2 3 4 3" xfId="6449" xr:uid="{EFA794FB-AC37-41F1-A476-997CC7CB49A3}"/>
    <cellStyle name="Millares 3 2 3 4 4" xfId="6450" xr:uid="{3C37FB36-CE29-427C-AE26-BEC8B104E25B}"/>
    <cellStyle name="Millares 3 2 3 4 5" xfId="6451" xr:uid="{181741ED-F3E8-4DA7-9106-77E2C0601A45}"/>
    <cellStyle name="Millares 3 2 3 4 6" xfId="6452" xr:uid="{BF9D73A8-66FF-4C11-A7B3-9940F055E5BD}"/>
    <cellStyle name="Millares 3 2 3 5" xfId="6453" xr:uid="{4297E665-7A57-4C8A-9022-93C70F66E88C}"/>
    <cellStyle name="Millares 3 2 3 5 2" xfId="6454" xr:uid="{61F1E46A-F3A6-42B5-9B04-D3E142E922E9}"/>
    <cellStyle name="Millares 3 2 3 5 2 2" xfId="6455" xr:uid="{D643493C-2A10-4955-9455-F3B6B8957E95}"/>
    <cellStyle name="Millares 3 2 3 5 3" xfId="6456" xr:uid="{7D851263-2A16-4E3F-BB55-335F0B28BBD1}"/>
    <cellStyle name="Millares 3 2 3 5 4" xfId="6457" xr:uid="{99DFB6C6-75C6-4481-9E5E-42B7BA8C8BEF}"/>
    <cellStyle name="Millares 3 2 3 5 5" xfId="6458" xr:uid="{6102ADCF-2239-482D-B9AF-256C37C428AD}"/>
    <cellStyle name="Millares 3 2 3 5 6" xfId="6459" xr:uid="{1995E583-FA4E-496A-8F70-4B537E5BA536}"/>
    <cellStyle name="Millares 3 2 3 6" xfId="6460" xr:uid="{E0896990-87E4-4F9C-8184-3604AB173D21}"/>
    <cellStyle name="Millares 3 2 3 6 2" xfId="6461" xr:uid="{B1F8A680-430D-4EA6-8D9D-BEB3968D5C19}"/>
    <cellStyle name="Millares 3 2 3 6 3" xfId="6462" xr:uid="{7B56D887-642D-45C1-9B6F-80D4868868F0}"/>
    <cellStyle name="Millares 3 2 3 6 4" xfId="6463" xr:uid="{EF680232-88B9-4101-AC0D-596495426942}"/>
    <cellStyle name="Millares 3 2 3 7" xfId="6464" xr:uid="{648CBC6F-8D21-46BB-A356-AE14AB490C15}"/>
    <cellStyle name="Millares 3 2 3 8" xfId="6465" xr:uid="{C03F94F5-FF84-4D59-8C33-60C9DE45D3C1}"/>
    <cellStyle name="Millares 3 2 3 9" xfId="6466" xr:uid="{FD71129C-C0E2-4705-8AD7-8C8DB017D8D6}"/>
    <cellStyle name="Millares 3 2 4" xfId="303" xr:uid="{B95B5A07-3648-428F-9C06-15F91409D3E1}"/>
    <cellStyle name="Millares 3 2 4 10" xfId="6468" xr:uid="{FB0F8CD1-8ED9-4414-928E-BDBCCDF8C5DD}"/>
    <cellStyle name="Millares 3 2 4 11" xfId="6469" xr:uid="{E4C43100-8498-4803-83E1-AD99FB2E4182}"/>
    <cellStyle name="Millares 3 2 4 12" xfId="6467" xr:uid="{A508AE48-E844-46A2-BA0A-47AC59B18A9E}"/>
    <cellStyle name="Millares 3 2 4 2" xfId="1918" xr:uid="{ACAD00D1-63B8-4D10-A53F-2C8DF06C4CC9}"/>
    <cellStyle name="Millares 3 2 4 2 2" xfId="6471" xr:uid="{E9B90421-63AF-4B84-AF3C-A67FC164B19A}"/>
    <cellStyle name="Millares 3 2 4 2 2 2" xfId="6472" xr:uid="{D4E474DD-DE30-477D-9DF4-E8754B6254A6}"/>
    <cellStyle name="Millares 3 2 4 2 3" xfId="6473" xr:uid="{39137B2D-3556-4774-8D31-250EF351A019}"/>
    <cellStyle name="Millares 3 2 4 2 4" xfId="6474" xr:uid="{805E7CA5-CA10-45A3-B1CB-D4815099FA76}"/>
    <cellStyle name="Millares 3 2 4 2 5" xfId="6475" xr:uid="{3195CC6C-3D8E-4DA0-8444-D28471D08797}"/>
    <cellStyle name="Millares 3 2 4 2 6" xfId="6476" xr:uid="{23534498-36ED-4231-AD33-196EBB37DE23}"/>
    <cellStyle name="Millares 3 2 4 2 7" xfId="6477" xr:uid="{1BB80C04-9A84-4342-825D-7D16B5F50EED}"/>
    <cellStyle name="Millares 3 2 4 2 8" xfId="6478" xr:uid="{FC123062-9F59-4A76-8876-7A3C179F19AE}"/>
    <cellStyle name="Millares 3 2 4 2 9" xfId="6470" xr:uid="{C5DA1DD4-4B9B-4A89-8B91-618EF524C861}"/>
    <cellStyle name="Millares 3 2 4 3" xfId="1616" xr:uid="{0357301B-07A8-4D5A-BC4F-26E8AC2CC82C}"/>
    <cellStyle name="Millares 3 2 4 3 2" xfId="6480" xr:uid="{A836C733-6F1C-4064-93EB-7AB2FD00E488}"/>
    <cellStyle name="Millares 3 2 4 3 2 2" xfId="6481" xr:uid="{4DF484AC-50A4-4AA5-B4C2-3F09A75B08CC}"/>
    <cellStyle name="Millares 3 2 4 3 3" xfId="6482" xr:uid="{00E75CC4-2B5F-4B1C-ABA0-A8E58EE335A3}"/>
    <cellStyle name="Millares 3 2 4 3 4" xfId="6483" xr:uid="{91FD5793-B67E-45C1-A9CF-1EDE3A60FA6A}"/>
    <cellStyle name="Millares 3 2 4 3 5" xfId="6484" xr:uid="{13DE3394-2B28-4B4F-ABC2-34F23F446BC6}"/>
    <cellStyle name="Millares 3 2 4 3 6" xfId="6485" xr:uid="{C5E50969-7095-40C4-93A0-E933100C1C35}"/>
    <cellStyle name="Millares 3 2 4 3 7" xfId="6479" xr:uid="{6607520C-6DF0-41E7-9613-01179F6539B2}"/>
    <cellStyle name="Millares 3 2 4 4" xfId="6486" xr:uid="{8CCE2CDD-C003-43E4-8939-1185E8B3BDA7}"/>
    <cellStyle name="Millares 3 2 4 4 2" xfId="6487" xr:uid="{7BE1A387-B054-406D-B912-766ECEB7CC79}"/>
    <cellStyle name="Millares 3 2 4 4 2 2" xfId="6488" xr:uid="{0FC158E0-E0B3-4091-9DCE-09D4219DE9AC}"/>
    <cellStyle name="Millares 3 2 4 4 3" xfId="6489" xr:uid="{DC4D7C69-5758-4340-B2B8-F245A331428E}"/>
    <cellStyle name="Millares 3 2 4 4 4" xfId="6490" xr:uid="{80A2872D-D1D2-4E8F-A4E3-C47EF2640673}"/>
    <cellStyle name="Millares 3 2 4 4 5" xfId="6491" xr:uid="{A2C0F6E3-96E4-46B7-BEEB-95D644665FB8}"/>
    <cellStyle name="Millares 3 2 4 4 6" xfId="6492" xr:uid="{C6D6580B-C9EA-47F7-9FF2-A7F53CE616F8}"/>
    <cellStyle name="Millares 3 2 4 5" xfId="6493" xr:uid="{74ABA150-1C92-48F8-93A1-048104FF34D5}"/>
    <cellStyle name="Millares 3 2 4 5 2" xfId="6494" xr:uid="{2B7EE083-55AD-4753-982D-257BB564D7BF}"/>
    <cellStyle name="Millares 3 2 4 5 3" xfId="6495" xr:uid="{5801DE38-1FFC-43ED-A6C2-FDC466C39716}"/>
    <cellStyle name="Millares 3 2 4 5 4" xfId="6496" xr:uid="{E36A8779-E4B2-4A49-B165-9C474FCA9070}"/>
    <cellStyle name="Millares 3 2 4 6" xfId="6497" xr:uid="{26C331BF-FAD8-432E-A535-7DB3F1341D8B}"/>
    <cellStyle name="Millares 3 2 4 7" xfId="6498" xr:uid="{E0651678-5199-4B81-AF15-CB7B9ED6C37F}"/>
    <cellStyle name="Millares 3 2 4 8" xfId="6499" xr:uid="{A49E9BE5-1377-4DC9-8703-3DF9F8F9D39F}"/>
    <cellStyle name="Millares 3 2 4 9" xfId="6500" xr:uid="{193B5716-F4CF-4F2D-B1FA-36B9F881E5D2}"/>
    <cellStyle name="Millares 3 2 5" xfId="403" xr:uid="{40232971-6A41-4D1F-A0B1-06381CEDF74C}"/>
    <cellStyle name="Millares 3 2 5 10" xfId="6502" xr:uid="{A0F0A76B-6498-487A-9062-1DA9134E0CC6}"/>
    <cellStyle name="Millares 3 2 5 11" xfId="6501" xr:uid="{2E8849BE-7E29-4D86-A982-496D2CF757AA}"/>
    <cellStyle name="Millares 3 2 5 2" xfId="2018" xr:uid="{6DEA8FE1-9A66-4403-BEA6-3107894BB3C6}"/>
    <cellStyle name="Millares 3 2 5 2 2" xfId="6504" xr:uid="{A566FE37-5B8B-4D75-8E46-8EABACFE53FF}"/>
    <cellStyle name="Millares 3 2 5 2 2 2" xfId="6505" xr:uid="{EF6624D0-333E-413A-9803-BBA18A2118B7}"/>
    <cellStyle name="Millares 3 2 5 2 3" xfId="6506" xr:uid="{DC671806-9B6F-4CC6-8EB3-BCB8F99EE07B}"/>
    <cellStyle name="Millares 3 2 5 2 4" xfId="6507" xr:uid="{1C90A2D4-7442-4963-A831-00AE36E49B93}"/>
    <cellStyle name="Millares 3 2 5 2 5" xfId="6508" xr:uid="{70C87784-8BA6-48A9-865C-86688FB4E31F}"/>
    <cellStyle name="Millares 3 2 5 2 6" xfId="6509" xr:uid="{7293F56F-5A8C-4560-97E6-BA86491AFEDD}"/>
    <cellStyle name="Millares 3 2 5 2 7" xfId="6510" xr:uid="{344D69ED-C57D-4424-95AB-0043A7300E93}"/>
    <cellStyle name="Millares 3 2 5 2 8" xfId="6511" xr:uid="{C3FB82EC-0D11-4511-974E-0E4C76FFAB9E}"/>
    <cellStyle name="Millares 3 2 5 2 9" xfId="6503" xr:uid="{9528DCA8-DAE1-4243-B0D7-ED0E47465F68}"/>
    <cellStyle name="Millares 3 2 5 3" xfId="1412" xr:uid="{A5BCBEF2-C829-400C-A710-67F18BCE5A15}"/>
    <cellStyle name="Millares 3 2 5 3 2" xfId="6513" xr:uid="{0CCFB2B0-8038-4526-8940-982BA1855B3C}"/>
    <cellStyle name="Millares 3 2 5 3 2 2" xfId="6514" xr:uid="{388574F1-5F62-4691-A645-53F9028565AC}"/>
    <cellStyle name="Millares 3 2 5 3 3" xfId="6515" xr:uid="{BCFDB174-F880-4D55-B5B8-A1401EFE5F5F}"/>
    <cellStyle name="Millares 3 2 5 3 4" xfId="6516" xr:uid="{2059565C-A3EE-44DA-BB34-BB37C92A68BC}"/>
    <cellStyle name="Millares 3 2 5 3 5" xfId="6517" xr:uid="{9BF6F408-5532-42F0-B4A5-F12624B43A36}"/>
    <cellStyle name="Millares 3 2 5 3 6" xfId="6518" xr:uid="{562CD68C-57E5-48D1-A27B-D038A61D1F06}"/>
    <cellStyle name="Millares 3 2 5 3 7" xfId="6512" xr:uid="{1E42B48E-827C-422C-8889-7C4C6516C424}"/>
    <cellStyle name="Millares 3 2 5 4" xfId="6519" xr:uid="{2559ED74-1B48-4F42-B143-87C07620D87D}"/>
    <cellStyle name="Millares 3 2 5 4 2" xfId="6520" xr:uid="{E73E7C03-5ADC-4AF4-A4D5-0C1439A989A0}"/>
    <cellStyle name="Millares 3 2 5 5" xfId="6521" xr:uid="{44B0AE56-E60D-4C1C-A744-E5BB126D00ED}"/>
    <cellStyle name="Millares 3 2 5 6" xfId="6522" xr:uid="{ABE5FAE9-63F7-44C6-962E-E51612DA16F5}"/>
    <cellStyle name="Millares 3 2 5 7" xfId="6523" xr:uid="{3673D545-4E8D-476D-B20E-27B65E46572F}"/>
    <cellStyle name="Millares 3 2 5 8" xfId="6524" xr:uid="{5F387AE0-7352-407B-8CA6-A50D45B85F1A}"/>
    <cellStyle name="Millares 3 2 5 9" xfId="6525" xr:uid="{2201A099-8C93-4716-ACFB-3CC66E47CD21}"/>
    <cellStyle name="Millares 3 2 6" xfId="1719" xr:uid="{02112E44-022C-434D-843D-A28FF3B7FA69}"/>
    <cellStyle name="Millares 3 2 6 2" xfId="6526" xr:uid="{0A631E85-A202-4040-9332-70DF0F9127EC}"/>
    <cellStyle name="Millares 3 2 7" xfId="870" xr:uid="{BF085FFC-B58C-4132-8490-F869E8B3DFE8}"/>
    <cellStyle name="Millares 3 2 7 2" xfId="6528" xr:uid="{AE564B2B-04D0-46E5-AED2-7E1FBAB5AF4C}"/>
    <cellStyle name="Millares 3 2 7 2 2" xfId="6529" xr:uid="{9C370AC8-59E9-4691-9689-5A9D53C73E00}"/>
    <cellStyle name="Millares 3 2 7 3" xfId="6530" xr:uid="{458E8495-518E-4A52-AEB9-E263A5F355F8}"/>
    <cellStyle name="Millares 3 2 7 4" xfId="6531" xr:uid="{AC1EA80D-EB14-4BC1-9B43-9C02A5DBE68B}"/>
    <cellStyle name="Millares 3 2 7 5" xfId="6532" xr:uid="{3958EC9D-521C-4D79-88BE-0E44F4A1991D}"/>
    <cellStyle name="Millares 3 2 7 6" xfId="6533" xr:uid="{DDB57642-48F1-4678-BF99-E6E755D6E837}"/>
    <cellStyle name="Millares 3 2 7 7" xfId="6527" xr:uid="{89DDF6AD-59AE-404F-ADF5-D4E113DD3E4A}"/>
    <cellStyle name="Millares 3 2 8" xfId="2120" xr:uid="{8C276818-7DA5-409A-9B5B-6AE6CD622F4C}"/>
    <cellStyle name="Millares 3 2 8 2" xfId="6534" xr:uid="{F67F8176-3676-4808-B582-6ED5FF5D687A}"/>
    <cellStyle name="Millares 3 2 8 2 2" xfId="6535" xr:uid="{372FAA1D-DF43-4872-A44F-A45DEF8AC72D}"/>
    <cellStyle name="Millares 3 2 8 3" xfId="6536" xr:uid="{CD47C82C-8E45-44D0-8339-7134B17E8F09}"/>
    <cellStyle name="Millares 3 2 8 4" xfId="6537" xr:uid="{213AAB60-502B-4F7C-AF49-3D8C1D04C051}"/>
    <cellStyle name="Millares 3 2 8 5" xfId="6538" xr:uid="{F567FD3B-7A68-45EF-BA7D-D9B9D1837EE0}"/>
    <cellStyle name="Millares 3 2 8 6" xfId="6539" xr:uid="{A05F8114-F9F4-46C9-92BA-171C7CC364AC}"/>
    <cellStyle name="Millares 3 2 9" xfId="6540" xr:uid="{BD2AFDBF-72A1-4623-A353-B24FF4AD920C}"/>
    <cellStyle name="Millares 3 2 9 2" xfId="6541" xr:uid="{F2D856F2-5DBB-4945-8B1B-AFBA1BD613D2}"/>
    <cellStyle name="Millares 3 2 9 2 2" xfId="6542" xr:uid="{28CC0EF2-7EA5-4FE7-9033-A36762E82514}"/>
    <cellStyle name="Millares 3 2 9 3" xfId="6543" xr:uid="{82F99B54-D2C7-4AC9-9B25-EA1A77B430BA}"/>
    <cellStyle name="Millares 3 2 9 4" xfId="6544" xr:uid="{6E94C5AC-8DF9-4B74-8FE4-B597828DD6F2}"/>
    <cellStyle name="Millares 3 2 9 5" xfId="6545" xr:uid="{4D5B525A-BB4E-4476-946A-B8B77EAC5DCF}"/>
    <cellStyle name="Millares 3 2 9 6" xfId="6546" xr:uid="{6BF62765-B3CF-469A-A0F7-4A9336F87C09}"/>
    <cellStyle name="Millares 3 3" xfId="60" xr:uid="{B3752F29-DEAE-4D6B-8285-D9A49B2A3628}"/>
    <cellStyle name="Millares 3 4" xfId="61" xr:uid="{1BCF363D-A299-4302-B6DC-88ECF58A5C2F}"/>
    <cellStyle name="Millares 3 4 10" xfId="6548" xr:uid="{0FEE751B-D649-4F82-B167-EAEC6EFE8DC1}"/>
    <cellStyle name="Millares 3 4 11" xfId="6549" xr:uid="{E9151272-A9F0-4B7A-9310-2FA263DAFE87}"/>
    <cellStyle name="Millares 3 4 12" xfId="6550" xr:uid="{69EAE075-01EE-4DA4-90DF-F3E6D0E4ACA5}"/>
    <cellStyle name="Millares 3 4 13" xfId="6551" xr:uid="{CBDA4696-5D1A-4BD2-8FD2-1030BFA30EEC}"/>
    <cellStyle name="Millares 3 4 14" xfId="6547" xr:uid="{321AC25E-DDA1-4534-ADC8-EF393123FB1E}"/>
    <cellStyle name="Millares 3 4 2" xfId="205" xr:uid="{C9903B9D-5595-4247-A822-18DA8F2EE553}"/>
    <cellStyle name="Millares 3 4 2 10" xfId="6553" xr:uid="{F5B69005-432A-4637-914C-D4A9D7CDC7FD}"/>
    <cellStyle name="Millares 3 4 2 11" xfId="6554" xr:uid="{A05D84AF-C0D8-4637-9956-08EA06DFDE06}"/>
    <cellStyle name="Millares 3 4 2 12" xfId="6552" xr:uid="{7C271CA2-B960-4A76-B260-91693FF799AA}"/>
    <cellStyle name="Millares 3 4 2 2" xfId="1519" xr:uid="{A727BC8B-2DF7-4841-938D-4D77EC278B79}"/>
    <cellStyle name="Millares 3 4 2 2 2" xfId="5787" xr:uid="{3C9B1509-95FD-4956-AA19-B23F4A812EB7}"/>
    <cellStyle name="Millares 3 4 2 2 2 2" xfId="6557" xr:uid="{41A622C3-F40B-4C62-8D4E-03EBD27A1531}"/>
    <cellStyle name="Millares 3 4 2 2 2 3" xfId="6556" xr:uid="{BB1D2286-B861-44C0-8C01-5D6893A8FD62}"/>
    <cellStyle name="Millares 3 4 2 2 3" xfId="6558" xr:uid="{6FFC0741-C0C3-48C8-8A9F-B1427846B65F}"/>
    <cellStyle name="Millares 3 4 2 2 4" xfId="6559" xr:uid="{8FC44978-BE02-4E62-A503-A49CC2E63E2B}"/>
    <cellStyle name="Millares 3 4 2 2 5" xfId="6560" xr:uid="{3FF12577-6151-4F1A-9578-817BDB7A0C5C}"/>
    <cellStyle name="Millares 3 4 2 2 6" xfId="6561" xr:uid="{F7DED461-4889-4286-8D4C-C5B1DACFC8AB}"/>
    <cellStyle name="Millares 3 4 2 2 7" xfId="6562" xr:uid="{ACE21719-02BC-4B0B-92C1-B0C88EC3BE66}"/>
    <cellStyle name="Millares 3 4 2 2 8" xfId="6563" xr:uid="{A6E5548B-BF36-4705-BBBD-4EC02B7237DD}"/>
    <cellStyle name="Millares 3 4 2 2 9" xfId="6555" xr:uid="{036C1BF4-C18C-4F96-A290-79A536D2EC7B}"/>
    <cellStyle name="Millares 3 4 2 3" xfId="1821" xr:uid="{0E5A4FCE-A246-4ABF-88CF-F4107694E491}"/>
    <cellStyle name="Millares 3 4 2 3 2" xfId="6565" xr:uid="{0C9CE986-BBEF-4B51-A9D1-BFCB71B962D2}"/>
    <cellStyle name="Millares 3 4 2 3 2 2" xfId="6566" xr:uid="{5F4307EA-5D74-467F-BB80-C609AA79C06B}"/>
    <cellStyle name="Millares 3 4 2 3 3" xfId="6567" xr:uid="{3E65972A-D57F-464E-B72D-243EA95A67A7}"/>
    <cellStyle name="Millares 3 4 2 3 4" xfId="6568" xr:uid="{C07DB64F-C519-4E5C-B4BD-EBCAE8912E7B}"/>
    <cellStyle name="Millares 3 4 2 3 5" xfId="6569" xr:uid="{87AE8718-D5AB-45EC-B243-249D0398FAD7}"/>
    <cellStyle name="Millares 3 4 2 3 6" xfId="6570" xr:uid="{03722571-516F-407D-8FEC-6519CFD57E40}"/>
    <cellStyle name="Millares 3 4 2 3 7" xfId="6564" xr:uid="{E0112C10-A1C1-4AE5-B9A0-12014323CE41}"/>
    <cellStyle name="Millares 3 4 2 4" xfId="1364" xr:uid="{EB1120C1-2B30-4DF4-B34A-10E1F2DFBDE5}"/>
    <cellStyle name="Millares 3 4 2 4 2" xfId="6572" xr:uid="{664958F9-9A51-4C4A-8BF5-704572EB7839}"/>
    <cellStyle name="Millares 3 4 2 4 2 2" xfId="6573" xr:uid="{450D563E-244B-4D72-9266-20B76EBA6A95}"/>
    <cellStyle name="Millares 3 4 2 4 3" xfId="6574" xr:uid="{829C7DA7-33E9-4573-AFE9-66C13F4C5B2F}"/>
    <cellStyle name="Millares 3 4 2 4 4" xfId="6575" xr:uid="{83E594A0-9164-4A33-A920-6DFCAF1317D9}"/>
    <cellStyle name="Millares 3 4 2 4 5" xfId="6576" xr:uid="{0482F276-70C7-43D0-9BE8-2DACE7A80A14}"/>
    <cellStyle name="Millares 3 4 2 4 6" xfId="6577" xr:uid="{D94AC241-F694-4319-823F-A01DB052EDDE}"/>
    <cellStyle name="Millares 3 4 2 4 7" xfId="6571" xr:uid="{6337A699-552C-46D4-BB84-8585364C939D}"/>
    <cellStyle name="Millares 3 4 2 5" xfId="6578" xr:uid="{E697737F-95EF-46DC-8374-1FC313FF9EA7}"/>
    <cellStyle name="Millares 3 4 2 5 2" xfId="6579" xr:uid="{9C04C5AA-CDFA-4A83-99FE-899D5A184178}"/>
    <cellStyle name="Millares 3 4 2 5 3" xfId="6580" xr:uid="{C9D8468C-D490-4706-A70C-531129744B43}"/>
    <cellStyle name="Millares 3 4 2 5 4" xfId="6581" xr:uid="{F6E41B2F-5CC4-490A-83BC-B718971120C2}"/>
    <cellStyle name="Millares 3 4 2 6" xfId="6582" xr:uid="{36EF8C39-7070-4EEE-9F7E-50109AADCAFE}"/>
    <cellStyle name="Millares 3 4 2 7" xfId="6583" xr:uid="{69812AA8-2932-4B0A-9E14-A8AF2F803C60}"/>
    <cellStyle name="Millares 3 4 2 8" xfId="6584" xr:uid="{B70454CF-FAC6-4800-A32A-D560D1DCCE3F}"/>
    <cellStyle name="Millares 3 4 2 9" xfId="6585" xr:uid="{E6A2D706-205A-4009-97A1-4FD9008CBB10}"/>
    <cellStyle name="Millares 3 4 3" xfId="305" xr:uid="{6491834C-9AF5-4937-BA1A-33DF1BAB29DB}"/>
    <cellStyle name="Millares 3 4 3 2" xfId="1920" xr:uid="{DEF46E72-B43C-4B39-B6A9-9CB2033157FB}"/>
    <cellStyle name="Millares 3 4 3 2 2" xfId="6588" xr:uid="{4A647BE7-348C-46B3-AA8C-1F119ECC8D93}"/>
    <cellStyle name="Millares 3 4 3 2 3" xfId="6587" xr:uid="{5D969EBF-254C-41F7-9870-9EBABB1FA475}"/>
    <cellStyle name="Millares 3 4 3 3" xfId="1618" xr:uid="{21A000E2-3EDB-42B3-AC96-43C317B33B63}"/>
    <cellStyle name="Millares 3 4 3 3 2" xfId="6589" xr:uid="{19346514-79AF-4DBD-87A4-24C40995180E}"/>
    <cellStyle name="Millares 3 4 3 4" xfId="6590" xr:uid="{7A1F6275-BDBF-4A2B-A651-A712879EA179}"/>
    <cellStyle name="Millares 3 4 3 5" xfId="6591" xr:uid="{B6CDAE16-B6C2-44E6-9BBF-51A0BE60E860}"/>
    <cellStyle name="Millares 3 4 3 6" xfId="6592" xr:uid="{D9B1F6AF-A79B-4110-BB3D-205DE332D56D}"/>
    <cellStyle name="Millares 3 4 3 7" xfId="6593" xr:uid="{C3CA7468-952E-4A8A-AC27-40708366FC98}"/>
    <cellStyle name="Millares 3 4 3 8" xfId="6594" xr:uid="{D1C206FE-C309-465B-955A-686C893F2449}"/>
    <cellStyle name="Millares 3 4 3 9" xfId="6586" xr:uid="{57D263FA-6C72-46FF-BA00-FA120C8D5E49}"/>
    <cellStyle name="Millares 3 4 4" xfId="405" xr:uid="{2EE33319-CB5A-4F84-A0B1-44AC42F1AA86}"/>
    <cellStyle name="Millares 3 4 4 2" xfId="2020" xr:uid="{E5776D84-7E3F-4123-90A2-8E38D2C86147}"/>
    <cellStyle name="Millares 3 4 4 2 2" xfId="6597" xr:uid="{4DF200CB-29BB-4C27-8160-86A1A665CC75}"/>
    <cellStyle name="Millares 3 4 4 2 3" xfId="6596" xr:uid="{536F07BB-E91B-4890-8042-B0CB2F8E5681}"/>
    <cellStyle name="Millares 3 4 4 3" xfId="1414" xr:uid="{B070D875-B638-4AFC-B359-4744FA8D2279}"/>
    <cellStyle name="Millares 3 4 4 3 2" xfId="6598" xr:uid="{1969F6EF-38EC-48DF-B7A4-CAAFE66C8D5D}"/>
    <cellStyle name="Millares 3 4 4 4" xfId="6599" xr:uid="{2AEF1338-F289-4012-8A15-B5217140C065}"/>
    <cellStyle name="Millares 3 4 4 5" xfId="6600" xr:uid="{F3B3B51E-F4B9-48CB-8EE4-764FF8011732}"/>
    <cellStyle name="Millares 3 4 4 6" xfId="6601" xr:uid="{A22A29E9-40D6-4B7B-ADC1-E4E7BA3AC8CE}"/>
    <cellStyle name="Millares 3 4 4 7" xfId="6595" xr:uid="{62371A81-A002-4F33-AFC3-6FCA0A6C0A6B}"/>
    <cellStyle name="Millares 3 4 5" xfId="1721" xr:uid="{931BA80B-CCC5-4A97-AA10-D9F606D6C3C8}"/>
    <cellStyle name="Millares 3 4 5 2" xfId="6603" xr:uid="{8E672CA0-ABCA-4E8D-9788-4F34DB815F6C}"/>
    <cellStyle name="Millares 3 4 5 2 2" xfId="6604" xr:uid="{3AAF5D56-0FD1-4F55-8692-884996888A99}"/>
    <cellStyle name="Millares 3 4 5 3" xfId="6605" xr:uid="{608A4082-5653-4D1D-ACFC-7C78580145E0}"/>
    <cellStyle name="Millares 3 4 5 4" xfId="6606" xr:uid="{CE1594DC-6C75-4F52-BB02-D2B104B62410}"/>
    <cellStyle name="Millares 3 4 5 5" xfId="6607" xr:uid="{9AF6DC11-3F2A-4BBD-B570-B773A34215EF}"/>
    <cellStyle name="Millares 3 4 5 6" xfId="6608" xr:uid="{FCA791B4-411C-4E9A-8768-9B6428A46218}"/>
    <cellStyle name="Millares 3 4 5 7" xfId="6602" xr:uid="{2BD04E59-8172-4D30-B942-3C589662512F}"/>
    <cellStyle name="Millares 3 4 6" xfId="887" xr:uid="{46EB4D95-AE2D-4F46-AD2A-A5B935C7BE09}"/>
    <cellStyle name="Millares 3 4 6 2" xfId="6610" xr:uid="{40AD2F3A-2927-4CB9-A0E6-C57337EE0031}"/>
    <cellStyle name="Millares 3 4 6 3" xfId="6611" xr:uid="{0F2024C9-6E04-4360-A1C8-9006D53AF176}"/>
    <cellStyle name="Millares 3 4 6 4" xfId="6612" xr:uid="{EB4CBCFF-E34E-4526-AA68-AA967C17C637}"/>
    <cellStyle name="Millares 3 4 6 5" xfId="6609" xr:uid="{8AC5F585-2900-487A-BD74-344ECDEC6E68}"/>
    <cellStyle name="Millares 3 4 7" xfId="2122" xr:uid="{61AEC2B9-7ED9-40E5-95D9-D2E5FE28E172}"/>
    <cellStyle name="Millares 3 4 8" xfId="6613" xr:uid="{979AE647-0610-49E4-8EA3-BC1DB2194CCE}"/>
    <cellStyle name="Millares 3 4 9" xfId="6614" xr:uid="{CFCE9C37-7DEA-4490-B239-F9F5E808C5ED}"/>
    <cellStyle name="Millares 3 5" xfId="6615" xr:uid="{73DB3836-BDE5-46B2-BEB9-03B91BE552CC}"/>
    <cellStyle name="Millares 3 5 10" xfId="6616" xr:uid="{392EA867-18EE-4E6E-905A-9061CFE1FB54}"/>
    <cellStyle name="Millares 3 5 11" xfId="6617" xr:uid="{FC4CDE0D-9B0C-4161-8707-2F3CA18DE78E}"/>
    <cellStyle name="Millares 3 5 2" xfId="6618" xr:uid="{DBDD76CE-384E-4881-BC91-D438B790D0D8}"/>
    <cellStyle name="Millares 3 5 2 2" xfId="6619" xr:uid="{EB783355-A831-4C3F-9B40-123372DCAF7E}"/>
    <cellStyle name="Millares 3 5 2 2 2" xfId="6620" xr:uid="{2C87F6C3-5914-4EAD-876C-E3126A2C50E4}"/>
    <cellStyle name="Millares 3 5 2 3" xfId="6621" xr:uid="{10855525-FD1D-4607-BEB6-552557C6AF5C}"/>
    <cellStyle name="Millares 3 5 2 4" xfId="6622" xr:uid="{1280CB8A-875B-4315-9060-8F6B59E4BA29}"/>
    <cellStyle name="Millares 3 5 2 5" xfId="6623" xr:uid="{2ABEF1F7-0062-445C-80AB-2C41C3153DBF}"/>
    <cellStyle name="Millares 3 5 2 6" xfId="6624" xr:uid="{AE62ED35-D837-4035-B70F-3A26F87518FB}"/>
    <cellStyle name="Millares 3 5 2 7" xfId="6625" xr:uid="{102645FA-4162-41BC-B1A1-F73D8113DDDB}"/>
    <cellStyle name="Millares 3 5 2 8" xfId="6626" xr:uid="{4A1C1755-24F0-4EEC-A95D-3FFBBE74F4AB}"/>
    <cellStyle name="Millares 3 5 3" xfId="6627" xr:uid="{82FCFB9D-ABAE-47C0-96DD-85FA39A2B09F}"/>
    <cellStyle name="Millares 3 5 3 2" xfId="6628" xr:uid="{9E3E413C-7D5E-4DEA-8840-FC49DD337249}"/>
    <cellStyle name="Millares 3 5 3 2 2" xfId="6629" xr:uid="{7F85DEBC-D2B2-4780-BCED-55DCCA483E2A}"/>
    <cellStyle name="Millares 3 5 3 3" xfId="6630" xr:uid="{809032A8-946C-42B3-BE74-14BF3422F54B}"/>
    <cellStyle name="Millares 3 5 3 4" xfId="6631" xr:uid="{6E797274-BF96-4F3D-87BC-AB121F6EC439}"/>
    <cellStyle name="Millares 3 5 3 5" xfId="6632" xr:uid="{C4F74894-396B-4E77-AB93-6A7039A0EB72}"/>
    <cellStyle name="Millares 3 5 3 6" xfId="6633" xr:uid="{FAD275EA-688C-45C6-B793-F7443B419CF6}"/>
    <cellStyle name="Millares 3 5 4" xfId="6634" xr:uid="{3C3BA77E-AAEC-4BF1-9546-2B546372B57B}"/>
    <cellStyle name="Millares 3 5 4 2" xfId="6635" xr:uid="{B060E7BE-D551-46E4-9299-AC7C5B44404D}"/>
    <cellStyle name="Millares 3 5 4 2 2" xfId="6636" xr:uid="{300E05E5-D81B-471B-AA7A-2A8A70F1704E}"/>
    <cellStyle name="Millares 3 5 4 3" xfId="6637" xr:uid="{56526CF1-1420-4A92-B22B-DA046B4FEE97}"/>
    <cellStyle name="Millares 3 5 4 4" xfId="6638" xr:uid="{BC7BB7B4-3577-414E-BA9D-5ADDA7EC2DC7}"/>
    <cellStyle name="Millares 3 5 4 5" xfId="6639" xr:uid="{B31377F0-5C25-462C-93EE-D2B657019342}"/>
    <cellStyle name="Millares 3 5 4 6" xfId="6640" xr:uid="{9FE646B7-E95A-4755-A703-D8BDCAE030F6}"/>
    <cellStyle name="Millares 3 5 5" xfId="6641" xr:uid="{D393353A-CEAA-4A71-975E-01B88088C65C}"/>
    <cellStyle name="Millares 3 5 5 2" xfId="6642" xr:uid="{96FDD0E3-89DA-4D50-AE42-A066DDBC1DFC}"/>
    <cellStyle name="Millares 3 5 5 3" xfId="6643" xr:uid="{03355783-82D3-47B8-9B61-6F127BDF53F0}"/>
    <cellStyle name="Millares 3 5 5 4" xfId="6644" xr:uid="{0A94AD77-D652-4862-B4B4-DF1EEA483A7D}"/>
    <cellStyle name="Millares 3 5 6" xfId="6645" xr:uid="{A30BCA49-E43A-473F-A8A3-CF5C054D6D56}"/>
    <cellStyle name="Millares 3 5 7" xfId="6646" xr:uid="{1EDFF2EC-F434-4940-8EE8-91B6753B3393}"/>
    <cellStyle name="Millares 3 5 8" xfId="6647" xr:uid="{CCEA785F-2FCC-451A-9D33-67850FE963F4}"/>
    <cellStyle name="Millares 3 5 9" xfId="6648" xr:uid="{6F3DE369-D98D-4574-A236-0636588E1682}"/>
    <cellStyle name="Millares 3 6" xfId="6649" xr:uid="{56E9AA63-D0D1-418A-A005-489598C700A8}"/>
    <cellStyle name="Millares 3 7" xfId="6650" xr:uid="{15246618-E180-453B-B9B6-16BDEB93D289}"/>
    <cellStyle name="Millares 3 7 10" xfId="6651" xr:uid="{1677E96A-D9B2-4F37-867E-433FA964FF28}"/>
    <cellStyle name="Millares 3 7 2" xfId="6652" xr:uid="{E61ED50F-C36F-41EC-A51D-DDA08029168B}"/>
    <cellStyle name="Millares 3 7 2 2" xfId="6653" xr:uid="{ACD4DFFF-7751-49B3-ABF6-9A5BA76A8261}"/>
    <cellStyle name="Millares 3 7 2 2 2" xfId="6654" xr:uid="{569135D7-5A1A-4B2E-AC68-19C8DC69D673}"/>
    <cellStyle name="Millares 3 7 2 3" xfId="6655" xr:uid="{14055318-B5EF-492D-839A-8CB3373F2FA2}"/>
    <cellStyle name="Millares 3 7 2 4" xfId="6656" xr:uid="{A4F67C4B-87F2-4AFE-BA6E-1B971ED35CCF}"/>
    <cellStyle name="Millares 3 7 2 5" xfId="6657" xr:uid="{92741440-A293-476C-9298-9EAB345ED45F}"/>
    <cellStyle name="Millares 3 7 2 6" xfId="6658" xr:uid="{689A26CD-41D3-4E64-9C16-8B3546B306EE}"/>
    <cellStyle name="Millares 3 7 2 7" xfId="6659" xr:uid="{5810DB26-FFF0-491D-A41A-4F4F77A4974C}"/>
    <cellStyle name="Millares 3 7 2 8" xfId="6660" xr:uid="{90A4C1F5-2704-43B1-B1FA-8B3C0AE34DC7}"/>
    <cellStyle name="Millares 3 7 3" xfId="6661" xr:uid="{A6D4967B-FF24-4BB2-BA63-C1CB9E027FD0}"/>
    <cellStyle name="Millares 3 7 3 2" xfId="6662" xr:uid="{39A73AFE-DFCF-433C-A06F-2C059AB1886A}"/>
    <cellStyle name="Millares 3 7 3 2 2" xfId="6663" xr:uid="{8F40F2EA-FBD2-41C0-8353-50001099AC8A}"/>
    <cellStyle name="Millares 3 7 3 3" xfId="6664" xr:uid="{D0DA0741-47C1-4B1B-BF01-A67C3F8F2AB1}"/>
    <cellStyle name="Millares 3 7 3 4" xfId="6665" xr:uid="{1626024C-8632-4E3F-B330-64606832EED2}"/>
    <cellStyle name="Millares 3 7 3 5" xfId="6666" xr:uid="{B845F0D6-C67C-4456-88D5-63E750975B77}"/>
    <cellStyle name="Millares 3 7 3 6" xfId="6667" xr:uid="{D25075B9-F548-47E3-BCA8-2905294C69BD}"/>
    <cellStyle name="Millares 3 7 4" xfId="6668" xr:uid="{02FCC8F5-2B18-476B-A06E-52E1A06AF37F}"/>
    <cellStyle name="Millares 3 7 4 2" xfId="6669" xr:uid="{CE1FCB8A-0D7A-4E1B-B60A-1303D3867569}"/>
    <cellStyle name="Millares 3 7 5" xfId="6670" xr:uid="{23732DDB-D78C-455B-A74E-AC659B2AB2AD}"/>
    <cellStyle name="Millares 3 7 6" xfId="6671" xr:uid="{3146D3E1-0596-4124-B684-DBDACC88315B}"/>
    <cellStyle name="Millares 3 7 7" xfId="6672" xr:uid="{0DA167BA-8FC4-4B62-B20C-8B11363C527C}"/>
    <cellStyle name="Millares 3 7 8" xfId="6673" xr:uid="{B3DA6B63-E292-4464-9828-E2915A786E98}"/>
    <cellStyle name="Millares 3 7 9" xfId="6674" xr:uid="{ED3DE88D-2E49-40A0-9395-AF3C23F988CA}"/>
    <cellStyle name="Millares 3 8" xfId="6675" xr:uid="{5D12C3B0-FB44-4A5D-8F3E-8358BB0F16BC}"/>
    <cellStyle name="Millares 3 9" xfId="6676" xr:uid="{5028C9FF-78A9-4073-BA92-23E8A404482E}"/>
    <cellStyle name="Millares 3 9 2" xfId="6677" xr:uid="{C8EDA42A-758C-4B2C-92ED-D5CB08B444E1}"/>
    <cellStyle name="Millares 3 9 2 2" xfId="6678" xr:uid="{7BD106E4-F84E-4445-93A8-78775A7899DE}"/>
    <cellStyle name="Millares 3 9 3" xfId="6679" xr:uid="{00DB24AC-E2CA-4CFA-88B0-E9E98FF59FCA}"/>
    <cellStyle name="Millares 3 9 4" xfId="6680" xr:uid="{EBB668B1-49E7-4656-85B9-050A96706340}"/>
    <cellStyle name="Millares 3 9 5" xfId="6681" xr:uid="{4D2474B9-5E67-4233-B211-6AD31AD9E683}"/>
    <cellStyle name="Millares 3 9 6" xfId="6682" xr:uid="{BB5B6AD5-FAA7-4A06-8E0D-7F6CAC2F4728}"/>
    <cellStyle name="Millares 4" xfId="62" xr:uid="{066315E9-A0EA-48AE-B057-4B4C88A44DF0}"/>
    <cellStyle name="Millares 4 10" xfId="960" xr:uid="{24BE1429-EB62-4947-8D47-7E3807040591}"/>
    <cellStyle name="Millares 4 10 2" xfId="1379" xr:uid="{1D4E2006-C20D-4621-A767-A36BF717F32B}"/>
    <cellStyle name="Millares 4 10 2 2" xfId="3844" xr:uid="{BE6E2F7D-C1D8-4A49-840B-77F07CBCF22D}"/>
    <cellStyle name="Millares 4 10 2 2 2" xfId="6685" xr:uid="{D4C7F76D-D909-4406-96B5-9A2BBC755C5B}"/>
    <cellStyle name="Millares 4 10 2 2 3" xfId="5699" xr:uid="{10A969A7-BE22-4FFB-968D-E64E5D2ADEEB}"/>
    <cellStyle name="Millares 4 10 2 3" xfId="2898" xr:uid="{B90419A4-B298-4E15-8A54-A19EDAC28B30}"/>
    <cellStyle name="Millares 4 10 2 3 2" xfId="6684" xr:uid="{F38EADFC-9F0F-4AAC-A35F-2C2895696E4F}"/>
    <cellStyle name="Millares 4 10 2 4" xfId="4569" xr:uid="{156993E2-F650-4B31-92BA-3284C424F157}"/>
    <cellStyle name="Millares 4 10 3" xfId="3458" xr:uid="{56B4DE64-1EA3-4A4E-BA48-FD81ACE262E9}"/>
    <cellStyle name="Millares 4 10 3 2" xfId="6686" xr:uid="{1DBED60C-615A-489E-BF0B-84B57E1181E8}"/>
    <cellStyle name="Millares 4 10 3 3" xfId="5351" xr:uid="{55B59223-1598-4397-BDB0-BE42D35FB096}"/>
    <cellStyle name="Millares 4 10 4" xfId="2550" xr:uid="{9B556C1C-FBBC-44A5-8DDC-8B744164D3CA}"/>
    <cellStyle name="Millares 4 10 4 2" xfId="6687" xr:uid="{3077CD2F-745E-45D1-BD67-13B3D56E6B86}"/>
    <cellStyle name="Millares 4 10 5" xfId="6688" xr:uid="{3DF62F4B-72E6-4545-8E88-AA917B73AD3B}"/>
    <cellStyle name="Millares 4 10 6" xfId="6689" xr:uid="{7A08A7FA-8421-4306-8615-ED9AAE675DCB}"/>
    <cellStyle name="Millares 4 10 7" xfId="6683" xr:uid="{3A5E6282-0053-4E8F-BC67-B08655C58B44}"/>
    <cellStyle name="Millares 4 10 8" xfId="4221" xr:uid="{C6F7444B-E6F6-479B-9438-42DE701AE089}"/>
    <cellStyle name="Millares 4 11" xfId="979" xr:uid="{AC8A37A2-2FF5-4EA2-BC27-FB8BD557E5E3}"/>
    <cellStyle name="Millares 4 11 2" xfId="3476" xr:uid="{18A7137C-E89C-4651-B721-1416E8090E04}"/>
    <cellStyle name="Millares 4 11 2 2" xfId="6691" xr:uid="{726996E8-8D4E-46DC-AD4B-E36E3063E92C}"/>
    <cellStyle name="Millares 4 11 3" xfId="6692" xr:uid="{7E047D2F-DC01-4CBA-9E1F-F1B129649CBA}"/>
    <cellStyle name="Millares 4 11 4" xfId="6693" xr:uid="{89B250BF-13F8-4167-8095-E73C36CA32EC}"/>
    <cellStyle name="Millares 4 11 5" xfId="6694" xr:uid="{6000A765-8510-444C-A0AA-4616E4CA063A}"/>
    <cellStyle name="Millares 4 11 6" xfId="6690" xr:uid="{C8BBCF98-16CD-4597-8BFF-AF454F4B5C8A}"/>
    <cellStyle name="Millares 4 12" xfId="1415" xr:uid="{3588D637-848B-4262-8CBE-B5FBBB66496B}"/>
    <cellStyle name="Millares 4 12 2" xfId="5709" xr:uid="{FD6E8727-2D83-43D2-BFD3-FA9144BB4960}"/>
    <cellStyle name="Millares 4 12 2 2" xfId="6696" xr:uid="{DD6E5D05-AED4-415E-B22D-F9916106B63D}"/>
    <cellStyle name="Millares 4 12 3" xfId="6697" xr:uid="{676E04FB-B7D3-44E3-87A9-1CBDA793921A}"/>
    <cellStyle name="Millares 4 12 4" xfId="6695" xr:uid="{5EE8FFE8-95F0-41DB-B391-CACB63CFB6EB}"/>
    <cellStyle name="Millares 4 13" xfId="1722" xr:uid="{43204AE9-1A63-49D9-8247-953B42AC27A3}"/>
    <cellStyle name="Millares 4 13 2" xfId="6698" xr:uid="{85336AC0-96CD-4352-96BC-3FB3A9F9AA7A}"/>
    <cellStyle name="Millares 4 14" xfId="501" xr:uid="{1B928D16-94F8-4A39-A99F-3474F4DCCB16}"/>
    <cellStyle name="Millares 4 15" xfId="2123" xr:uid="{DA7F74D3-16CA-4494-BF90-2CE5A376470C}"/>
    <cellStyle name="Millares 4 2" xfId="63" xr:uid="{715BD318-DEBF-47A8-A1FB-BCDE146E10C3}"/>
    <cellStyle name="Millares 4 2 10" xfId="520" xr:uid="{4046A672-6A25-4FCB-9F91-307803AF27BC}"/>
    <cellStyle name="Millares 4 2 11" xfId="2124" xr:uid="{8274B5AA-B088-4075-B954-AE910E97BB37}"/>
    <cellStyle name="Millares 4 2 11 2" xfId="6699" xr:uid="{E1C7E94D-D657-4E0A-95CB-CAB93E67D30A}"/>
    <cellStyle name="Millares 4 2 2" xfId="64" xr:uid="{9941C2FE-8534-4A79-9427-8F21754C0E99}"/>
    <cellStyle name="Millares 4 2 2 2" xfId="208" xr:uid="{386419F0-11EA-49C3-B295-16EE3D765A45}"/>
    <cellStyle name="Millares 4 2 2 2 2" xfId="1356" xr:uid="{653DF6BA-D5F0-4813-A5F6-66E8D7F036A5}"/>
    <cellStyle name="Millares 4 2 2 2 2 2" xfId="3824" xr:uid="{80E548B5-1597-4293-BED9-FEB8EAC6BDA9}"/>
    <cellStyle name="Millares 4 2 2 2 2 3" xfId="6702" xr:uid="{1AEDC95A-C8E4-481D-93E1-61FBF680CD0C}"/>
    <cellStyle name="Millares 4 2 2 2 3" xfId="1522" xr:uid="{B9704D6A-C988-4444-B97A-D98E962D2090}"/>
    <cellStyle name="Millares 4 2 2 2 3 2" xfId="5790" xr:uid="{12BC8AF5-D38C-4A6F-B2F5-5E7B5459E43A}"/>
    <cellStyle name="Millares 4 2 2 2 3 3" xfId="6703" xr:uid="{05767AAB-D89F-4B33-96F5-69E302ED2BDB}"/>
    <cellStyle name="Millares 4 2 2 2 4" xfId="1824" xr:uid="{19DB9E77-0319-484F-938C-4B2F7CEA374F}"/>
    <cellStyle name="Millares 4 2 2 2 5" xfId="877" xr:uid="{C4BF9A1A-D11F-45AC-9CD6-E89047F830EA}"/>
    <cellStyle name="Millares 4 2 2 2 6" xfId="6701" xr:uid="{1BA9937C-9CBC-4790-B9FB-0444D856FC8C}"/>
    <cellStyle name="Millares 4 2 2 3" xfId="308" xr:uid="{4D0E4AA7-F0B1-4A44-AE8F-B716191AA785}"/>
    <cellStyle name="Millares 4 2 2 3 2" xfId="1621" xr:uid="{0472FE37-518A-48FF-8082-015E8E463808}"/>
    <cellStyle name="Millares 4 2 2 3 2 2" xfId="5874" xr:uid="{525E440C-70D7-411A-8BED-57FFC4A1FA59}"/>
    <cellStyle name="Millares 4 2 2 3 3" xfId="1923" xr:uid="{9EA048C1-DB8E-4359-8B4F-90D97C57773D}"/>
    <cellStyle name="Millares 4 2 2 3 4" xfId="1031" xr:uid="{E20FFC0F-634F-4771-B52B-5BDD684C7AE9}"/>
    <cellStyle name="Millares 4 2 2 3 5" xfId="6704" xr:uid="{E59BF9C4-F513-419B-B656-68C57EA64E2F}"/>
    <cellStyle name="Millares 4 2 2 4" xfId="408" xr:uid="{675A6775-B5E6-46D9-A0F2-7B7701BC0663}"/>
    <cellStyle name="Millares 4 2 2 4 2" xfId="2023" xr:uid="{7AD744BE-E303-4C83-AE5C-2C5D051B9D45}"/>
    <cellStyle name="Millares 4 2 2 4 3" xfId="1417" xr:uid="{D83CD7DF-10A3-4531-9865-F923C13D6D82}"/>
    <cellStyle name="Millares 4 2 2 5" xfId="1724" xr:uid="{74CD7423-D209-4E23-B63C-1E43598BF439}"/>
    <cellStyle name="Millares 4 2 2 6" xfId="553" xr:uid="{70F31F2F-1CA0-4341-A588-B801175E8E1D}"/>
    <cellStyle name="Millares 4 2 2 7" xfId="2125" xr:uid="{682B18F1-A470-4C07-9487-A8D0494DE132}"/>
    <cellStyle name="Millares 4 2 2 7 2" xfId="6700" xr:uid="{C02C2B7D-49C6-457A-9E54-C8BE9EB4BEB2}"/>
    <cellStyle name="Millares 4 2 3" xfId="65" xr:uid="{CE554709-C352-42C3-A022-161FA525F990}"/>
    <cellStyle name="Millares 4 2 3 2" xfId="209" xr:uid="{CDA9B752-4D11-42DE-A210-D5A2454F1655}"/>
    <cellStyle name="Millares 4 2 3 2 2" xfId="1523" xr:uid="{9F0FF8A3-C794-4711-B049-86A0D4ED817B}"/>
    <cellStyle name="Millares 4 2 3 2 2 2" xfId="5791" xr:uid="{C9463D32-1B4F-4097-8EC9-E0C65B311FFC}"/>
    <cellStyle name="Millares 4 2 3 2 3" xfId="1825" xr:uid="{7B5F3BDB-64DB-427A-A9B4-01ECF725C45E}"/>
    <cellStyle name="Millares 4 2 3 2 4" xfId="1095" xr:uid="{7FDA1639-FC4C-480E-8CFD-15410073F492}"/>
    <cellStyle name="Millares 4 2 3 2 5" xfId="6705" xr:uid="{52B9AE4B-E6B5-455C-B368-D2A03E7AE3C1}"/>
    <cellStyle name="Millares 4 2 3 3" xfId="309" xr:uid="{D4D9B611-2FA8-4046-8C06-8679C6CC255A}"/>
    <cellStyle name="Millares 4 2 3 3 2" xfId="1924" xr:uid="{2930E436-BDA6-42D2-99EE-8A6517CF2A25}"/>
    <cellStyle name="Millares 4 2 3 3 3" xfId="1622" xr:uid="{FFF5A3A4-7F1D-4AB3-B3ED-DFE24160A947}"/>
    <cellStyle name="Millares 4 2 3 3 4" xfId="6706" xr:uid="{5579FCCE-74CA-476A-B191-B1E1020CE6E8}"/>
    <cellStyle name="Millares 4 2 3 4" xfId="409" xr:uid="{A158CE18-D674-49B5-87A2-5F530F380D57}"/>
    <cellStyle name="Millares 4 2 3 4 2" xfId="2024" xr:uid="{59824B7D-7578-477B-8091-AF7FA60B8CBD}"/>
    <cellStyle name="Millares 4 2 3 4 3" xfId="1418" xr:uid="{3CAA64F6-0EF9-4980-83EB-6588C7CCB662}"/>
    <cellStyle name="Millares 4 2 3 5" xfId="1725" xr:uid="{0A801B95-B06C-4708-9D33-7410115A3D8D}"/>
    <cellStyle name="Millares 4 2 3 6" xfId="617" xr:uid="{18C5AA92-C97A-459B-9ECD-90701BDCF3D6}"/>
    <cellStyle name="Millares 4 2 3 7" xfId="2126" xr:uid="{0F7F4A9C-DA7F-4D06-933F-004435BD617D}"/>
    <cellStyle name="Millares 4 2 4" xfId="207" xr:uid="{5B68613F-1075-4AC2-AEE9-2F13B8AA6651}"/>
    <cellStyle name="Millares 4 2 4 2" xfId="1159" xr:uid="{D34F05F8-F3D8-4ACD-8A25-13C981A29E78}"/>
    <cellStyle name="Millares 4 2 4 2 2" xfId="3637" xr:uid="{4E15B404-8A78-4E11-ABD0-D8B443277C59}"/>
    <cellStyle name="Millares 4 2 4 3" xfId="1521" xr:uid="{37A6BE93-EB84-4F5C-9730-BEF125774569}"/>
    <cellStyle name="Millares 4 2 4 3 2" xfId="5789" xr:uid="{589D63A9-AE9C-4D2A-B2A3-2AFEE7875DC1}"/>
    <cellStyle name="Millares 4 2 4 4" xfId="1823" xr:uid="{2BB4B0EA-BC94-42D5-B788-51CF00B86578}"/>
    <cellStyle name="Millares 4 2 4 5" xfId="681" xr:uid="{0D83F5F4-8A0D-447A-BE46-4407151CDA29}"/>
    <cellStyle name="Millares 4 2 4 6" xfId="6707" xr:uid="{6F60827C-DE76-4453-92D4-E368F854C14F}"/>
    <cellStyle name="Millares 4 2 5" xfId="307" xr:uid="{4336B3E0-2942-4561-9CBB-63820F8DDD74}"/>
    <cellStyle name="Millares 4 2 5 2" xfId="1223" xr:uid="{4256983D-6F0E-4AAE-8102-50D6DD2B00EA}"/>
    <cellStyle name="Millares 4 2 5 2 2" xfId="3698" xr:uid="{3CC37F8A-8048-4F94-85B7-82CBB3557A2B}"/>
    <cellStyle name="Millares 4 2 5 3" xfId="1620" xr:uid="{8E94C18E-4EB1-4D55-81A4-01EDD617ECFB}"/>
    <cellStyle name="Millares 4 2 5 3 2" xfId="5873" xr:uid="{D2A11FDE-958D-454B-A4D0-DC0EB882B69C}"/>
    <cellStyle name="Millares 4 2 5 4" xfId="1922" xr:uid="{497744B0-17C2-4EA7-9900-F9A1B94629E2}"/>
    <cellStyle name="Millares 4 2 5 5" xfId="745" xr:uid="{7154D331-7452-4D2D-80A3-8FBC432278B4}"/>
    <cellStyle name="Millares 4 2 5 6" xfId="6708" xr:uid="{CF5D3F3C-539D-46F0-B043-3B2EE9C6646B}"/>
    <cellStyle name="Millares 4 2 6" xfId="407" xr:uid="{04F80DDC-ED79-404A-A52C-F3B4B92D7018}"/>
    <cellStyle name="Millares 4 2 6 2" xfId="1288" xr:uid="{0E45AEC5-F4CD-45B9-9E36-0C39EEA0D4EE}"/>
    <cellStyle name="Millares 4 2 6 2 2" xfId="3762" xr:uid="{30B60D35-75E3-4891-82E0-A64DD13E5D51}"/>
    <cellStyle name="Millares 4 2 6 3" xfId="2022" xr:uid="{C6F9876C-7C74-40AB-B7F4-C06C842775E6}"/>
    <cellStyle name="Millares 4 2 6 4" xfId="809" xr:uid="{8A9506DB-CEE7-440D-86F3-A337D7543C61}"/>
    <cellStyle name="Millares 4 2 6 5" xfId="6709" xr:uid="{1753565F-14C2-4E42-9B88-6699ACD79E97}"/>
    <cellStyle name="Millares 4 2 7" xfId="998" xr:uid="{19AA0292-7041-4430-B364-2EB65FB58894}"/>
    <cellStyle name="Millares 4 2 7 2" xfId="3495" xr:uid="{D4D65847-75AF-4216-840A-E67D0A188C6F}"/>
    <cellStyle name="Millares 4 2 7 3" xfId="6710" xr:uid="{66C1D17E-03AC-4B21-892D-FBCE8AD6C064}"/>
    <cellStyle name="Millares 4 2 8" xfId="1416" xr:uid="{B5DC41D9-6EA6-4B8D-9295-7B5097895D1A}"/>
    <cellStyle name="Millares 4 2 8 2" xfId="5710" xr:uid="{E94AA63F-5FA7-4973-BA2F-51E64DE83541}"/>
    <cellStyle name="Millares 4 2 9" xfId="1723" xr:uid="{CB059BA5-24D0-468F-BF63-0AF36B1886AE}"/>
    <cellStyle name="Millares 4 3" xfId="66" xr:uid="{A2A6C59E-AEBB-48F1-8856-AAA1D9A931F3}"/>
    <cellStyle name="Millares 4 3 10" xfId="2127" xr:uid="{62E98050-0D1D-4D04-BB7C-C34DA9B1F0EA}"/>
    <cellStyle name="Millares 4 3 10 2" xfId="6711" xr:uid="{057BC78D-ADD6-4580-8821-EE1D13544F75}"/>
    <cellStyle name="Millares 4 3 2" xfId="67" xr:uid="{CD1C6B8E-6A5E-486B-8C47-29DC70E9153B}"/>
    <cellStyle name="Millares 4 3 2 2" xfId="211" xr:uid="{26F71AC7-08BB-4C79-A584-0A6557EB6DF9}"/>
    <cellStyle name="Millares 4 3 2 2 2" xfId="1357" xr:uid="{6C2CF4A5-9726-4A24-B3E0-7674AAED885B}"/>
    <cellStyle name="Millares 4 3 2 2 2 2" xfId="3825" xr:uid="{C5961C06-5FE6-4BC4-8884-0243C286790D}"/>
    <cellStyle name="Millares 4 3 2 2 2 3" xfId="6713" xr:uid="{35972C62-7433-45B5-B7DC-86664483B282}"/>
    <cellStyle name="Millares 4 3 2 2 3" xfId="1525" xr:uid="{02A7F90F-1164-4840-A4D3-00C45DD055DC}"/>
    <cellStyle name="Millares 4 3 2 2 3 2" xfId="5793" xr:uid="{A84C0C91-9D20-45FB-B8FF-AC225BFFE5B3}"/>
    <cellStyle name="Millares 4 3 2 2 4" xfId="1827" xr:uid="{496E7F7A-C33F-419B-BE00-45980CE8BB15}"/>
    <cellStyle name="Millares 4 3 2 2 5" xfId="878" xr:uid="{696646E9-1B4E-4355-BC86-5A2051D19575}"/>
    <cellStyle name="Millares 4 3 2 2 6" xfId="6712" xr:uid="{2D1A9BCF-7945-4B07-9B86-EACEBA7E89EF}"/>
    <cellStyle name="Millares 4 3 2 3" xfId="311" xr:uid="{B6A3152D-8D0E-4B1B-AE91-E426DDD06BAA}"/>
    <cellStyle name="Millares 4 3 2 3 2" xfId="1624" xr:uid="{B422A54D-5A51-475D-A871-78B035C454B5}"/>
    <cellStyle name="Millares 4 3 2 3 2 2" xfId="5876" xr:uid="{74BA72FE-01EC-432E-A33E-DCD889953303}"/>
    <cellStyle name="Millares 4 3 2 3 3" xfId="1926" xr:uid="{8532A758-7E97-4674-B50D-FD3539EB6DBE}"/>
    <cellStyle name="Millares 4 3 2 3 4" xfId="1096" xr:uid="{04886F2A-8405-4DDE-997C-DB4A30725777}"/>
    <cellStyle name="Millares 4 3 2 3 5" xfId="6714" xr:uid="{8376FAA2-D56C-4DF5-B814-E61B77DABC06}"/>
    <cellStyle name="Millares 4 3 2 4" xfId="411" xr:uid="{0BC84E32-4C5D-4478-A861-483180B36488}"/>
    <cellStyle name="Millares 4 3 2 4 2" xfId="2026" xr:uid="{5B4CDC4F-F665-4369-B331-2FE3BACCE63E}"/>
    <cellStyle name="Millares 4 3 2 4 3" xfId="1420" xr:uid="{C62D0E99-4C9E-49C7-B28F-BB290D28ACEB}"/>
    <cellStyle name="Millares 4 3 2 5" xfId="1727" xr:uid="{2BAAF614-2D41-4250-9404-82144E5EA5B6}"/>
    <cellStyle name="Millares 4 3 2 6" xfId="618" xr:uid="{F5B78968-5E32-4C16-93E9-0D160041FE83}"/>
    <cellStyle name="Millares 4 3 2 7" xfId="2128" xr:uid="{079C537B-D5D6-4044-9A6C-88FD03BAFC13}"/>
    <cellStyle name="Millares 4 3 3" xfId="68" xr:uid="{A782F95C-BFE5-482D-84A8-80096D8F205C}"/>
    <cellStyle name="Millares 4 3 3 2" xfId="212" xr:uid="{1DB2EC8F-E667-450F-BFF0-E13028B923D6}"/>
    <cellStyle name="Millares 4 3 3 2 2" xfId="1526" xr:uid="{DFB0C31C-E0E9-4DA8-A277-3FA4667814B7}"/>
    <cellStyle name="Millares 4 3 3 2 2 2" xfId="5794" xr:uid="{642B6F5D-4261-4FDC-A855-A5C1BC7280CC}"/>
    <cellStyle name="Millares 4 3 3 2 3" xfId="1828" xr:uid="{D4DAD76A-5601-44D3-8740-9EAD721A2F72}"/>
    <cellStyle name="Millares 4 3 3 2 4" xfId="1160" xr:uid="{54BD08EB-2C97-4A68-B641-9C32A6350A92}"/>
    <cellStyle name="Millares 4 3 3 2 5" xfId="6715" xr:uid="{65AAA345-3B63-47E8-B345-9271136C9D65}"/>
    <cellStyle name="Millares 4 3 3 3" xfId="312" xr:uid="{58FDE801-6AA5-442C-AF65-843F4BB904BC}"/>
    <cellStyle name="Millares 4 3 3 3 2" xfId="1927" xr:uid="{BAC108ED-9102-465B-AFEB-56B8FF90A68A}"/>
    <cellStyle name="Millares 4 3 3 3 3" xfId="1625" xr:uid="{1B781358-A0CB-436E-BC69-F7F025B6CDF1}"/>
    <cellStyle name="Millares 4 3 3 3 4" xfId="6716" xr:uid="{03B277BE-6837-40A7-BCF4-86A44974B40F}"/>
    <cellStyle name="Millares 4 3 3 4" xfId="412" xr:uid="{C0C5B114-50EC-4CAB-8ED5-1996BAC855F2}"/>
    <cellStyle name="Millares 4 3 3 4 2" xfId="2027" xr:uid="{1B0F40E8-211E-4581-B4CD-11EF93EB4DF9}"/>
    <cellStyle name="Millares 4 3 3 4 3" xfId="1421" xr:uid="{51397F88-E70F-4F5A-BE02-7552135AB03E}"/>
    <cellStyle name="Millares 4 3 3 5" xfId="1728" xr:uid="{410B25FB-285C-4599-ADFF-F23B6E2A0AA4}"/>
    <cellStyle name="Millares 4 3 3 6" xfId="682" xr:uid="{8C4F12A6-BA8B-4B8E-B6BD-2824D7434A8D}"/>
    <cellStyle name="Millares 4 3 3 7" xfId="2129" xr:uid="{78E639B0-F13E-4961-8404-04E8CA3A437F}"/>
    <cellStyle name="Millares 4 3 4" xfId="210" xr:uid="{4825FB65-8C06-4DF2-AF3A-65958DD53A2C}"/>
    <cellStyle name="Millares 4 3 4 2" xfId="1224" xr:uid="{FEDA2815-1761-48DD-B240-D27DD1123AD3}"/>
    <cellStyle name="Millares 4 3 4 2 2" xfId="3699" xr:uid="{D08530F4-C364-400A-B5B1-D2F6A822F631}"/>
    <cellStyle name="Millares 4 3 4 3" xfId="1524" xr:uid="{9B0B4561-C4E2-411C-9BAB-7DF29C2D0803}"/>
    <cellStyle name="Millares 4 3 4 3 2" xfId="5792" xr:uid="{09A2B70F-4605-4825-9387-E147599FF0C2}"/>
    <cellStyle name="Millares 4 3 4 4" xfId="1826" xr:uid="{AB3F4085-5907-4100-BC74-B17F8A2194FD}"/>
    <cellStyle name="Millares 4 3 4 5" xfId="746" xr:uid="{E5EFB77D-9EE5-422B-90CC-515E5E40793B}"/>
    <cellStyle name="Millares 4 3 4 6" xfId="6717" xr:uid="{F418E390-0393-4202-B68D-6B830AF20A47}"/>
    <cellStyle name="Millares 4 3 5" xfId="310" xr:uid="{1CA8556D-CE0B-4950-BBFF-9071F587F41F}"/>
    <cellStyle name="Millares 4 3 5 2" xfId="1289" xr:uid="{259816C8-E5B7-4EC3-9AD8-EFD565D7FD3F}"/>
    <cellStyle name="Millares 4 3 5 2 2" xfId="3763" xr:uid="{92D116BC-FC70-4680-AE60-DA695BF6FAB5}"/>
    <cellStyle name="Millares 4 3 5 3" xfId="1623" xr:uid="{1CF4EE3A-5020-4D0A-95DA-25A54BFD5367}"/>
    <cellStyle name="Millares 4 3 5 3 2" xfId="5875" xr:uid="{8590DA19-D01E-4503-A347-CD9242F730F9}"/>
    <cellStyle name="Millares 4 3 5 4" xfId="1925" xr:uid="{3E311587-FB97-4F3B-BBA0-4BD027317FF3}"/>
    <cellStyle name="Millares 4 3 5 5" xfId="810" xr:uid="{73168233-389A-45C4-AA1C-A68CEBBD726A}"/>
    <cellStyle name="Millares 4 3 5 6" xfId="6718" xr:uid="{73F75C57-378C-4E9E-88D6-6DF26E179048}"/>
    <cellStyle name="Millares 4 3 6" xfId="410" xr:uid="{1F9404AE-4896-4805-80DE-F5D277EAF9BF}"/>
    <cellStyle name="Millares 4 3 6 2" xfId="2025" xr:uid="{5738B845-ABAC-4B45-89F8-D249E3657D5F}"/>
    <cellStyle name="Millares 4 3 6 3" xfId="1032" xr:uid="{3A093720-8612-46AB-8820-94F5FBF2F512}"/>
    <cellStyle name="Millares 4 3 6 4" xfId="6719" xr:uid="{40C0D90D-B9E7-45BB-8B87-B64C6330DFC3}"/>
    <cellStyle name="Millares 4 3 7" xfId="1419" xr:uid="{034818DA-359F-49E6-A317-625A50F0BDBD}"/>
    <cellStyle name="Millares 4 3 7 2" xfId="5711" xr:uid="{6930C691-4D11-410C-8C9E-5B3981040B0C}"/>
    <cellStyle name="Millares 4 3 8" xfId="1726" xr:uid="{232D49BA-13D1-4E33-A3FE-6B23746B7358}"/>
    <cellStyle name="Millares 4 3 9" xfId="554" xr:uid="{A55BECF2-E5AA-4235-990F-CB55D12BF01F}"/>
    <cellStyle name="Millares 4 4" xfId="69" xr:uid="{CDEE7A6E-6E11-4BF0-A190-9E95583E9E23}"/>
    <cellStyle name="Millares 4 4 10" xfId="6721" xr:uid="{C77543A4-2909-4B81-BB99-35685C28B77D}"/>
    <cellStyle name="Millares 4 4 11" xfId="6722" xr:uid="{C8BA6CB5-4922-4A4A-8E02-6FC5DFA4792B}"/>
    <cellStyle name="Millares 4 4 12" xfId="6723" xr:uid="{1F4319DC-BD41-40A9-B4F4-7C0E13550EC5}"/>
    <cellStyle name="Millares 4 4 13" xfId="6724" xr:uid="{2E5EB39F-FD5C-47CA-AEB4-687CA328F27B}"/>
    <cellStyle name="Millares 4 4 14" xfId="6720" xr:uid="{7CE996D1-EC0B-4AA3-ACBD-A82D2DA0C6CE}"/>
    <cellStyle name="Millares 4 4 2" xfId="213" xr:uid="{3501A2E1-65FA-4194-BE5D-EA199B5B8E0D}"/>
    <cellStyle name="Millares 4 4 2 10" xfId="6726" xr:uid="{3FD458E4-5E5D-4FBA-AD34-536D65148D30}"/>
    <cellStyle name="Millares 4 4 2 11" xfId="6727" xr:uid="{F3A0DF18-E199-4FB1-AD40-EBF91578CF69}"/>
    <cellStyle name="Millares 4 4 2 12" xfId="6728" xr:uid="{E2E8C4C5-EB08-4097-A408-4733F03F26DC}"/>
    <cellStyle name="Millares 4 4 2 13" xfId="6725" xr:uid="{6D6C17CF-756E-49C0-9DA7-6B8250DE2462}"/>
    <cellStyle name="Millares 4 4 2 2" xfId="1355" xr:uid="{D70821B3-2E83-419B-B56C-BF21D40221B4}"/>
    <cellStyle name="Millares 4 4 2 2 2" xfId="3823" xr:uid="{462871BB-64EE-4C33-94D3-9B8F014FE2F7}"/>
    <cellStyle name="Millares 4 4 2 2 2 2" xfId="6731" xr:uid="{5A9D5700-B0EA-43ED-99BB-CFADCA3E42F1}"/>
    <cellStyle name="Millares 4 4 2 2 2 3" xfId="6730" xr:uid="{69BC4F6A-6629-4714-B4BD-4CFAA1CEBB08}"/>
    <cellStyle name="Millares 4 4 2 2 3" xfId="6732" xr:uid="{612A90C6-0CFB-4A1F-BD3C-70F25C3BAE3B}"/>
    <cellStyle name="Millares 4 4 2 2 4" xfId="6733" xr:uid="{B77BD6EF-4E32-4998-B5B0-07BE6A83CC72}"/>
    <cellStyle name="Millares 4 4 2 2 5" xfId="6734" xr:uid="{8921293A-1EAF-48E1-B59D-678BD3178C0C}"/>
    <cellStyle name="Millares 4 4 2 2 6" xfId="6735" xr:uid="{48EA994C-0230-4733-A997-0491E07B9E7C}"/>
    <cellStyle name="Millares 4 4 2 2 7" xfId="6736" xr:uid="{574D395E-2DFD-4853-B431-4A0BC614EA50}"/>
    <cellStyle name="Millares 4 4 2 2 8" xfId="6737" xr:uid="{1124BAEE-9EBD-4517-BC16-3ABA0AA5032B}"/>
    <cellStyle name="Millares 4 4 2 2 9" xfId="6729" xr:uid="{25779F03-9480-4532-ADA2-DD49797B3AD5}"/>
    <cellStyle name="Millares 4 4 2 3" xfId="1527" xr:uid="{001EBEA7-80CE-449D-A0D7-994324D2F13F}"/>
    <cellStyle name="Millares 4 4 2 3 2" xfId="5795" xr:uid="{87E4CE59-D9F1-406A-BFC5-2E7D7A3F1D72}"/>
    <cellStyle name="Millares 4 4 2 3 2 2" xfId="6740" xr:uid="{DA194CA1-9A8F-45F7-A911-2744298D1D8D}"/>
    <cellStyle name="Millares 4 4 2 3 2 3" xfId="6739" xr:uid="{F5F53153-F3A9-44C1-8EB7-F4318A38A7EF}"/>
    <cellStyle name="Millares 4 4 2 3 3" xfId="6741" xr:uid="{470AC811-BE17-42D1-9060-7E018A5C979A}"/>
    <cellStyle name="Millares 4 4 2 3 4" xfId="6742" xr:uid="{26888507-BF15-4F34-979F-BB9E6130A54C}"/>
    <cellStyle name="Millares 4 4 2 3 5" xfId="6743" xr:uid="{20254E1A-3F66-443F-B865-7700346D39A6}"/>
    <cellStyle name="Millares 4 4 2 3 6" xfId="6744" xr:uid="{894B5754-5B61-456C-91A8-AFD77CBE6FE7}"/>
    <cellStyle name="Millares 4 4 2 3 7" xfId="6738" xr:uid="{F1598EB0-ED62-49B3-8ADC-17BD8F021677}"/>
    <cellStyle name="Millares 4 4 2 4" xfId="1829" xr:uid="{10464D75-176E-402C-8515-454B5AA45BD5}"/>
    <cellStyle name="Millares 4 4 2 4 2" xfId="6746" xr:uid="{95A1BD0F-7C12-462E-93D3-04A0625BAB62}"/>
    <cellStyle name="Millares 4 4 2 4 2 2" xfId="6747" xr:uid="{BDC635B3-75A8-4CFF-9BB7-16908D473FCF}"/>
    <cellStyle name="Millares 4 4 2 4 3" xfId="6748" xr:uid="{6930A7A5-5564-4EC4-810B-700D94F53CF9}"/>
    <cellStyle name="Millares 4 4 2 4 4" xfId="6749" xr:uid="{7A69F844-D146-4059-BAEE-9C3BC89BE360}"/>
    <cellStyle name="Millares 4 4 2 4 5" xfId="6750" xr:uid="{0B718B7B-1E26-48F6-886F-F55999FCE614}"/>
    <cellStyle name="Millares 4 4 2 4 6" xfId="6751" xr:uid="{EA3AABE7-ADE4-4176-B68C-3A5890E16087}"/>
    <cellStyle name="Millares 4 4 2 4 7" xfId="6745" xr:uid="{EF026619-843C-4BF1-B536-7EC1DE423469}"/>
    <cellStyle name="Millares 4 4 2 5" xfId="876" xr:uid="{C2817C9A-2758-4AB5-83BD-767694539423}"/>
    <cellStyle name="Millares 4 4 2 5 2" xfId="6753" xr:uid="{87FD58A0-782B-4CA0-A5F2-B34DEA011B74}"/>
    <cellStyle name="Millares 4 4 2 5 3" xfId="6754" xr:uid="{42C91545-84BE-4B7E-9F6F-8198EEDA775F}"/>
    <cellStyle name="Millares 4 4 2 5 4" xfId="6755" xr:uid="{6C509D81-C8D6-4DAE-BB39-209124CB194F}"/>
    <cellStyle name="Millares 4 4 2 5 5" xfId="6752" xr:uid="{63DBD985-DDF4-4693-A807-5E241357FF9E}"/>
    <cellStyle name="Millares 4 4 2 6" xfId="6756" xr:uid="{AA67D18B-4ACB-4C15-BBE3-E3DFD37FD7B3}"/>
    <cellStyle name="Millares 4 4 2 7" xfId="6757" xr:uid="{51999178-7FD8-4762-A323-5EA73708EE89}"/>
    <cellStyle name="Millares 4 4 2 8" xfId="6758" xr:uid="{3EA0F275-ACEF-4B14-A451-E99D895B428C}"/>
    <cellStyle name="Millares 4 4 2 9" xfId="6759" xr:uid="{3F203D04-D960-4512-A631-B5350C674BEB}"/>
    <cellStyle name="Millares 4 4 3" xfId="313" xr:uid="{1EBF226C-F508-4BC5-BD7A-67582C70CA4D}"/>
    <cellStyle name="Millares 4 4 3 2" xfId="1626" xr:uid="{2DF67774-1B24-49DE-9FC1-B4D6BCD0C593}"/>
    <cellStyle name="Millares 4 4 3 2 2" xfId="5877" xr:uid="{46CDBB16-4E0E-41DC-92D6-0611CA58D2DB}"/>
    <cellStyle name="Millares 4 4 3 2 2 2" xfId="6762" xr:uid="{79ADCB75-0C5E-4D40-8E71-FB79BF73F791}"/>
    <cellStyle name="Millares 4 4 3 2 3" xfId="6761" xr:uid="{0E183855-8FCD-4503-812D-A0A484B12658}"/>
    <cellStyle name="Millares 4 4 3 3" xfId="1928" xr:uid="{027C8093-9965-48B1-BAE0-47315E3ADB21}"/>
    <cellStyle name="Millares 4 4 3 3 2" xfId="6763" xr:uid="{45DE71A6-A2F4-4AE1-91EC-5D1037B53600}"/>
    <cellStyle name="Millares 4 4 3 4" xfId="1030" xr:uid="{FEC80404-B150-489E-8869-4380891CD166}"/>
    <cellStyle name="Millares 4 4 3 4 2" xfId="6764" xr:uid="{47E8CDE0-B6C9-4478-AE24-04ECCE952C49}"/>
    <cellStyle name="Millares 4 4 3 5" xfId="6765" xr:uid="{E1598137-95D3-42E4-BC98-8DA3E00C81D6}"/>
    <cellStyle name="Millares 4 4 3 6" xfId="6766" xr:uid="{0B1A7617-E18C-477D-9C22-C45471134D13}"/>
    <cellStyle name="Millares 4 4 3 7" xfId="6767" xr:uid="{BEB2A29E-EC5E-40FB-B66F-49610826E136}"/>
    <cellStyle name="Millares 4 4 3 8" xfId="6768" xr:uid="{0B90F2BC-E40F-479B-B840-0359E9828159}"/>
    <cellStyle name="Millares 4 4 3 9" xfId="6760" xr:uid="{762510AF-8DA0-448F-907E-562A215A32C7}"/>
    <cellStyle name="Millares 4 4 4" xfId="413" xr:uid="{62C6E2BF-2447-4C3D-9D95-DC166D88BA20}"/>
    <cellStyle name="Millares 4 4 4 2" xfId="2028" xr:uid="{1AD45011-31FC-4FEF-A65F-D2EF81828168}"/>
    <cellStyle name="Millares 4 4 4 2 2" xfId="6771" xr:uid="{59D0BEFC-AE75-4BD5-BD4C-4ABD936CE49B}"/>
    <cellStyle name="Millares 4 4 4 2 3" xfId="6770" xr:uid="{EBAB829F-AEA5-4688-AC14-602D3A60712E}"/>
    <cellStyle name="Millares 4 4 4 3" xfId="1422" xr:uid="{5D0A7AF0-D4F3-4D60-A722-9EA71E3FEAF5}"/>
    <cellStyle name="Millares 4 4 4 3 2" xfId="6772" xr:uid="{56AD1EC3-F92F-42FC-B72B-02D8A177E06C}"/>
    <cellStyle name="Millares 4 4 4 4" xfId="6773" xr:uid="{58C3B45B-8110-45AA-816A-88CD34286B51}"/>
    <cellStyle name="Millares 4 4 4 5" xfId="6774" xr:uid="{912E06A6-B810-428E-A52C-7F7E7AE1F478}"/>
    <cellStyle name="Millares 4 4 4 6" xfId="6775" xr:uid="{2F666385-5EF5-4513-8DDB-B2AE1D3A131C}"/>
    <cellStyle name="Millares 4 4 4 7" xfId="6769" xr:uid="{46A10505-49B7-4277-AC55-C29775BAC6BC}"/>
    <cellStyle name="Millares 4 4 5" xfId="1729" xr:uid="{5950EF38-3CDE-4C43-BFBA-9BCFF0797C14}"/>
    <cellStyle name="Millares 4 4 5 2" xfId="6777" xr:uid="{C0B61580-EC55-450E-9C44-CAB111813C3A}"/>
    <cellStyle name="Millares 4 4 5 2 2" xfId="6778" xr:uid="{F7A972D1-9103-4A10-8CC7-3690A7F1AFBB}"/>
    <cellStyle name="Millares 4 4 5 3" xfId="6779" xr:uid="{F6EB1E10-D458-4B46-B99F-36E1A2BEB994}"/>
    <cellStyle name="Millares 4 4 5 4" xfId="6780" xr:uid="{4DDF028D-2EFC-430C-A345-5EA589E56928}"/>
    <cellStyle name="Millares 4 4 5 5" xfId="6781" xr:uid="{02A12368-B641-49EA-BC45-35622FA9AC58}"/>
    <cellStyle name="Millares 4 4 5 6" xfId="6782" xr:uid="{257EEBC0-B6D1-49E2-9EA1-F9C00C631039}"/>
    <cellStyle name="Millares 4 4 5 7" xfId="6776" xr:uid="{CEF62CCE-71AC-4FE2-9145-80A97D431BA6}"/>
    <cellStyle name="Millares 4 4 6" xfId="552" xr:uid="{F78A13D4-3487-4152-92A1-CDA6BFA6F69E}"/>
    <cellStyle name="Millares 4 4 6 2" xfId="6784" xr:uid="{3CBACAAA-1152-47B7-9BEA-8851706B49D7}"/>
    <cellStyle name="Millares 4 4 6 3" xfId="6785" xr:uid="{043C1B27-A3DB-40B2-9882-85E6B7D694BF}"/>
    <cellStyle name="Millares 4 4 6 4" xfId="6786" xr:uid="{1458AA51-430D-474F-AE5D-52007826BE74}"/>
    <cellStyle name="Millares 4 4 6 5" xfId="6783" xr:uid="{1BA40FF5-1D17-40FF-AD34-BF24642093D8}"/>
    <cellStyle name="Millares 4 4 7" xfId="2130" xr:uid="{73CB0F1E-CB03-41D0-B739-6BA87BE340AD}"/>
    <cellStyle name="Millares 4 4 7 2" xfId="6787" xr:uid="{8D416EF4-E8C7-452C-A21E-CEBBE398C7E2}"/>
    <cellStyle name="Millares 4 4 7 3" xfId="6788" xr:uid="{16148117-EE49-4936-A42E-A9BFABC42102}"/>
    <cellStyle name="Millares 4 4 8" xfId="6789" xr:uid="{09D1AFFC-E4A3-4807-A204-5B5BA0690930}"/>
    <cellStyle name="Millares 4 4 9" xfId="6790" xr:uid="{545D2898-F33E-4A5B-9568-5909F6302249}"/>
    <cellStyle name="Millares 4 5" xfId="70" xr:uid="{24151980-11CB-4BEC-BE57-04FDE6D25D7A}"/>
    <cellStyle name="Millares 4 5 10" xfId="6792" xr:uid="{609FB53B-563D-4959-A274-76A66F9C3D23}"/>
    <cellStyle name="Millares 4 5 11" xfId="6793" xr:uid="{037A8BE5-5776-4594-9FC7-4466037CEB34}"/>
    <cellStyle name="Millares 4 5 12" xfId="6794" xr:uid="{6A33BE0D-9C3E-46C5-96E9-AE30CD2F1BD2}"/>
    <cellStyle name="Millares 4 5 13" xfId="6791" xr:uid="{D6BFC41A-DBC0-4E85-8707-F3F510BF715A}"/>
    <cellStyle name="Millares 4 5 2" xfId="214" xr:uid="{1A56B598-B34F-4648-BAC5-61E58B3283D9}"/>
    <cellStyle name="Millares 4 5 2 2" xfId="1528" xr:uid="{E6277AC9-A315-4EB6-B199-5C644754F472}"/>
    <cellStyle name="Millares 4 5 2 2 2" xfId="5796" xr:uid="{729A3DFC-EC27-4403-8946-160CDDB6681A}"/>
    <cellStyle name="Millares 4 5 2 2 2 2" xfId="6797" xr:uid="{CDC19CED-5EC6-4009-9F4A-654EEE3910FD}"/>
    <cellStyle name="Millares 4 5 2 2 3" xfId="6796" xr:uid="{7A21C246-2C01-4AE8-A063-AC84CBCF7B76}"/>
    <cellStyle name="Millares 4 5 2 3" xfId="1830" xr:uid="{D416DE81-85E8-404D-BEED-2C8B3371C7A5}"/>
    <cellStyle name="Millares 4 5 2 3 2" xfId="6798" xr:uid="{DF90D69D-A8DF-4A2C-AC68-A3B62507F905}"/>
    <cellStyle name="Millares 4 5 2 4" xfId="1094" xr:uid="{78AF5D10-B887-4B50-ABFD-0E7E82779A8B}"/>
    <cellStyle name="Millares 4 5 2 4 2" xfId="6799" xr:uid="{ECD13A33-A29B-4A87-BD17-8F79A5BF0999}"/>
    <cellStyle name="Millares 4 5 2 5" xfId="6800" xr:uid="{67B224B6-B2CF-4396-9993-077F8E2D5ABD}"/>
    <cellStyle name="Millares 4 5 2 6" xfId="6801" xr:uid="{A8E267D4-4020-4F64-8E55-D0DDB2FB95DD}"/>
    <cellStyle name="Millares 4 5 2 7" xfId="6802" xr:uid="{FB98C48E-E007-4F60-BBAB-2C2480F022BB}"/>
    <cellStyle name="Millares 4 5 2 8" xfId="6803" xr:uid="{546B8E9C-2231-4AA1-A3B5-B85594249A35}"/>
    <cellStyle name="Millares 4 5 2 9" xfId="6795" xr:uid="{2DB74A5A-6802-4187-A87E-E46799EAF254}"/>
    <cellStyle name="Millares 4 5 3" xfId="314" xr:uid="{40A47F26-48D9-4FE3-BABC-62F0FD001D2B}"/>
    <cellStyle name="Millares 4 5 3 2" xfId="1929" xr:uid="{16C18A9A-D756-41DD-8627-34F0E5A8429E}"/>
    <cellStyle name="Millares 4 5 3 2 2" xfId="6806" xr:uid="{3BFECE3F-DCDD-4E82-B0BD-776D809407E8}"/>
    <cellStyle name="Millares 4 5 3 2 3" xfId="6805" xr:uid="{D7E62595-C780-48C2-A737-24FA3FFD2770}"/>
    <cellStyle name="Millares 4 5 3 3" xfId="1627" xr:uid="{B42092B7-57E1-429F-A84C-6EF41E2AD17A}"/>
    <cellStyle name="Millares 4 5 3 3 2" xfId="6807" xr:uid="{E2ADD092-1352-4CA4-B946-1E70FEE14FBA}"/>
    <cellStyle name="Millares 4 5 3 4" xfId="6808" xr:uid="{56381D78-97E1-4724-A92A-49CEDA193016}"/>
    <cellStyle name="Millares 4 5 3 5" xfId="6809" xr:uid="{3FC35C20-86A8-42EE-9309-545401E293A7}"/>
    <cellStyle name="Millares 4 5 3 6" xfId="6810" xr:uid="{DD3B78CC-19EE-4FA8-814F-82B9CAB8510A}"/>
    <cellStyle name="Millares 4 5 3 7" xfId="6804" xr:uid="{04025C15-F1E0-471F-B936-86C01384BA26}"/>
    <cellStyle name="Millares 4 5 4" xfId="414" xr:uid="{8AF6A9E8-6DB1-4404-9E7E-ED1CA031CC0B}"/>
    <cellStyle name="Millares 4 5 4 2" xfId="2029" xr:uid="{362D78F1-EF8A-42B2-AFBA-6350B66DE1DD}"/>
    <cellStyle name="Millares 4 5 4 2 2" xfId="6813" xr:uid="{66280520-094C-44A9-851F-8D90D5DF5902}"/>
    <cellStyle name="Millares 4 5 4 2 3" xfId="6812" xr:uid="{295C66F2-E332-4268-B7BD-858B5CBB0873}"/>
    <cellStyle name="Millares 4 5 4 3" xfId="1423" xr:uid="{2C8785AA-D501-4AA7-832C-916F9F603402}"/>
    <cellStyle name="Millares 4 5 4 3 2" xfId="6814" xr:uid="{B2F205EC-F8EA-4313-BCB1-5E6CAB402D4B}"/>
    <cellStyle name="Millares 4 5 4 4" xfId="6815" xr:uid="{E37B813B-DD05-475D-9702-0C235F4311ED}"/>
    <cellStyle name="Millares 4 5 4 5" xfId="6816" xr:uid="{E8144DBF-7FA6-4D9D-9B64-4B50EE0D2897}"/>
    <cellStyle name="Millares 4 5 4 6" xfId="6817" xr:uid="{FD487D2B-C93C-4FD3-BF4B-62D4596C4AF4}"/>
    <cellStyle name="Millares 4 5 4 7" xfId="6811" xr:uid="{BEEE0E15-06A2-46C2-A2BC-FA8F2A919C8D}"/>
    <cellStyle name="Millares 4 5 5" xfId="1730" xr:uid="{25DA9730-DD00-4C8D-95EE-35B0637DBD6C}"/>
    <cellStyle name="Millares 4 5 5 2" xfId="6819" xr:uid="{B25352FF-F298-4F59-9C44-13C8494EB920}"/>
    <cellStyle name="Millares 4 5 5 3" xfId="6820" xr:uid="{CE7622F1-A9E9-48EF-8DAA-89FBFAA3DEAA}"/>
    <cellStyle name="Millares 4 5 5 4" xfId="6821" xr:uid="{CED812EC-306A-4981-A481-79C7020EA5C1}"/>
    <cellStyle name="Millares 4 5 5 5" xfId="6818" xr:uid="{826C9D6E-195B-4098-AF03-6E62546C13AF}"/>
    <cellStyle name="Millares 4 5 6" xfId="616" xr:uid="{E78B87D3-35F9-4277-A35B-5E8DBB2C93D2}"/>
    <cellStyle name="Millares 4 5 6 2" xfId="6822" xr:uid="{0822C256-DDA2-4578-9947-0FE718EA458E}"/>
    <cellStyle name="Millares 4 5 7" xfId="2131" xr:uid="{488BDA06-B5EB-4E13-9928-8C97BE44336F}"/>
    <cellStyle name="Millares 4 5 8" xfId="6823" xr:uid="{E3086E08-3AC6-443A-8399-5F5316A97E09}"/>
    <cellStyle name="Millares 4 5 9" xfId="6824" xr:uid="{A2C7B27E-057B-4D3C-9C5E-E9BA2EA1629E}"/>
    <cellStyle name="Millares 4 6" xfId="206" xr:uid="{09965D6A-B4B1-4CD7-87CE-284B9C597357}"/>
    <cellStyle name="Millares 4 6 10" xfId="6826" xr:uid="{1136A0B6-048C-43F2-B19A-0E51337D6C06}"/>
    <cellStyle name="Millares 4 6 11" xfId="6827" xr:uid="{25515A29-2371-4327-A462-8B9DA55D0145}"/>
    <cellStyle name="Millares 4 6 12" xfId="6825" xr:uid="{3C24AFDA-610B-44FD-B637-F8A173E0ABC0}"/>
    <cellStyle name="Millares 4 6 2" xfId="1158" xr:uid="{C5EBA7A6-C0CC-4593-9247-1DDBD7C6EA51}"/>
    <cellStyle name="Millares 4 6 2 2" xfId="3636" xr:uid="{088624BA-120C-43DF-986B-FCFE63DDEB03}"/>
    <cellStyle name="Millares 4 6 2 2 2" xfId="6830" xr:uid="{1215D9B0-D8D7-49A6-B50C-1A6FBD9D68E0}"/>
    <cellStyle name="Millares 4 6 2 2 3" xfId="6829" xr:uid="{7EDFC4CD-D055-469D-ADD8-7AF26F0A2146}"/>
    <cellStyle name="Millares 4 6 2 3" xfId="6831" xr:uid="{110E3691-977C-4016-BE04-8ACE2DBB2CC2}"/>
    <cellStyle name="Millares 4 6 2 4" xfId="6832" xr:uid="{76A9C7E8-8F4C-45C5-A895-9DB90F3F6203}"/>
    <cellStyle name="Millares 4 6 2 5" xfId="6833" xr:uid="{ECD83191-1990-4706-9957-C8157A9A7B42}"/>
    <cellStyle name="Millares 4 6 2 6" xfId="6834" xr:uid="{3D5ABE01-48C7-4EFB-8CB7-1898D8A3F164}"/>
    <cellStyle name="Millares 4 6 2 7" xfId="6835" xr:uid="{BA7CD0AA-CB3E-4BAB-8205-18AC1B1D4B99}"/>
    <cellStyle name="Millares 4 6 2 8" xfId="6836" xr:uid="{271B90D3-A3C5-4012-846D-156B0E2A4F17}"/>
    <cellStyle name="Millares 4 6 2 9" xfId="6828" xr:uid="{BE229FB7-687F-4830-8F5C-45ABF0195656}"/>
    <cellStyle name="Millares 4 6 3" xfId="1520" xr:uid="{FE7332C6-390F-44B6-8B4A-AF591F9900B6}"/>
    <cellStyle name="Millares 4 6 3 2" xfId="5788" xr:uid="{7B212726-76D2-4872-979F-591B6E491123}"/>
    <cellStyle name="Millares 4 6 3 2 2" xfId="6839" xr:uid="{16274D5B-4389-49D1-B027-E16C1C2AF0E3}"/>
    <cellStyle name="Millares 4 6 3 2 3" xfId="6838" xr:uid="{ABA61612-EA66-456E-9D18-EEA922464610}"/>
    <cellStyle name="Millares 4 6 3 3" xfId="6840" xr:uid="{0B5879C1-20C1-4E49-B77C-F6786895E53B}"/>
    <cellStyle name="Millares 4 6 3 4" xfId="6841" xr:uid="{5F3DB958-F45A-44BB-8570-04E951D2508B}"/>
    <cellStyle name="Millares 4 6 3 5" xfId="6842" xr:uid="{888737A0-7422-46FE-BAD8-7E06A4437A91}"/>
    <cellStyle name="Millares 4 6 3 6" xfId="6843" xr:uid="{E37B6EF5-CB27-47A3-A2F5-66C8259AAE23}"/>
    <cellStyle name="Millares 4 6 3 7" xfId="6837" xr:uid="{750F51F0-2E0B-41F8-9F6F-2B78B0710648}"/>
    <cellStyle name="Millares 4 6 4" xfId="1822" xr:uid="{22BA7EBB-72F5-4DC7-BC6C-E3963812AEE0}"/>
    <cellStyle name="Millares 4 6 4 2" xfId="6845" xr:uid="{A2976FA9-D68C-47FC-9D86-7EBD0A0A7316}"/>
    <cellStyle name="Millares 4 6 4 3" xfId="6844" xr:uid="{8FECFB54-08F3-41E3-A9BE-4A34601C6E12}"/>
    <cellStyle name="Millares 4 6 5" xfId="680" xr:uid="{13A7B23F-AAEF-47AB-A892-C7F638544D5D}"/>
    <cellStyle name="Millares 4 6 5 2" xfId="6846" xr:uid="{7205EEE1-E578-4208-9346-D5AA509B8EF8}"/>
    <cellStyle name="Millares 4 6 6" xfId="6847" xr:uid="{4D9855A9-1C1D-4A40-9492-B4AC284C2FFF}"/>
    <cellStyle name="Millares 4 6 7" xfId="6848" xr:uid="{548A7DE6-CD86-48B0-A998-7E02514D4912}"/>
    <cellStyle name="Millares 4 6 8" xfId="6849" xr:uid="{16D2A8A2-BFF0-4E45-BCEE-47C6F51C8B52}"/>
    <cellStyle name="Millares 4 6 9" xfId="6850" xr:uid="{B9963730-C8D3-4433-8C3A-A9F4D53AD2EC}"/>
    <cellStyle name="Millares 4 7" xfId="306" xr:uid="{42E08276-D595-4A04-A318-6AAE428E7C40}"/>
    <cellStyle name="Millares 4 7 2" xfId="1222" xr:uid="{811D29B5-438A-4626-AF89-BC2300B6C11F}"/>
    <cellStyle name="Millares 4 7 2 2" xfId="3697" xr:uid="{4F3AA02D-3239-4B5F-9858-396E299CB1C2}"/>
    <cellStyle name="Millares 4 7 2 3" xfId="6852" xr:uid="{D904899D-C756-4A71-8513-313DF19ABB89}"/>
    <cellStyle name="Millares 4 7 3" xfId="1619" xr:uid="{8B808977-2084-4E3A-B6FA-9F99847A736A}"/>
    <cellStyle name="Millares 4 7 3 2" xfId="5872" xr:uid="{1BBC0862-BE47-416F-B79C-E3ABCC77003D}"/>
    <cellStyle name="Millares 4 7 4" xfId="1921" xr:uid="{6985BFDC-CD85-4056-A595-846B71CAD880}"/>
    <cellStyle name="Millares 4 7 5" xfId="744" xr:uid="{4A9CDE29-F2AA-4B86-A6D9-6CF4D34F0471}"/>
    <cellStyle name="Millares 4 7 6" xfId="6851" xr:uid="{2D0EF79C-77B6-43A9-A7E2-55BDE2B23578}"/>
    <cellStyle name="Millares 4 8" xfId="406" xr:uid="{C17A5DB5-ABEB-444E-93A3-75A71857D2C0}"/>
    <cellStyle name="Millares 4 8 2" xfId="1287" xr:uid="{3930EC9F-C851-4371-A8D7-D4B74F8C2B27}"/>
    <cellStyle name="Millares 4 8 2 2" xfId="3761" xr:uid="{FD5F6039-708B-4355-8733-75525DDFD450}"/>
    <cellStyle name="Millares 4 8 2 2 2" xfId="6855" xr:uid="{0406561B-0039-4D5D-BA58-A1ECF9F29220}"/>
    <cellStyle name="Millares 4 8 2 3" xfId="6854" xr:uid="{66E5056C-FBA0-4E01-89B0-FC1EC2EA7043}"/>
    <cellStyle name="Millares 4 8 3" xfId="2021" xr:uid="{D7CA71BC-0A3B-4AA9-8385-583CE07B4B54}"/>
    <cellStyle name="Millares 4 8 3 2" xfId="6856" xr:uid="{9E582732-B6D0-424A-8B74-CE66CD7F2EDB}"/>
    <cellStyle name="Millares 4 8 4" xfId="808" xr:uid="{98A9C925-888E-4FC5-B7EE-7C564DEA3E64}"/>
    <cellStyle name="Millares 4 8 4 2" xfId="6857" xr:uid="{C484D381-C942-4ED5-916D-E60A1E983287}"/>
    <cellStyle name="Millares 4 8 5" xfId="6858" xr:uid="{1A814C74-4174-4279-95CD-DF36756FFCF3}"/>
    <cellStyle name="Millares 4 8 6" xfId="6859" xr:uid="{FD258BCC-4AAD-4973-BC8B-BF833DB2A021}"/>
    <cellStyle name="Millares 4 8 7" xfId="6860" xr:uid="{C3AD7DE0-81CE-4CE8-86F6-ED918B8130DB}"/>
    <cellStyle name="Millares 4 8 8" xfId="6853" xr:uid="{D716EF68-365B-4414-8738-8FAE294B4906}"/>
    <cellStyle name="Millares 4 9" xfId="947" xr:uid="{FC20EE57-A69F-49A3-A7CB-EC1E1E3E1E62}"/>
    <cellStyle name="Millares 4 9 2" xfId="1369" xr:uid="{A8710F6A-B6CA-4E5F-8A23-2F6B5F7525D6}"/>
    <cellStyle name="Millares 4 9 2 2" xfId="3836" xr:uid="{F0F72C0A-6843-4DEF-86A9-7373079F4E8C}"/>
    <cellStyle name="Millares 4 9 2 2 2" xfId="6863" xr:uid="{8676FC59-932D-4981-AD95-26D4A9A870D3}"/>
    <cellStyle name="Millares 4 9 2 2 3" xfId="5692" xr:uid="{35940332-EB66-4D06-8C88-58AC307859AC}"/>
    <cellStyle name="Millares 4 9 2 3" xfId="2891" xr:uid="{D38BAC3A-3AE6-4CA9-BE6D-C00D5E82135E}"/>
    <cellStyle name="Millares 4 9 2 3 2" xfId="6862" xr:uid="{977953A1-88E7-489E-B7B3-E07DB3B8F805}"/>
    <cellStyle name="Millares 4 9 2 4" xfId="4562" xr:uid="{DAF393B0-BE93-40D7-925F-BE8D3AFC6122}"/>
    <cellStyle name="Millares 4 9 3" xfId="3449" xr:uid="{1FAC2F8E-B287-4798-B2D9-0172D3841A48}"/>
    <cellStyle name="Millares 4 9 3 2" xfId="6864" xr:uid="{D987B067-0362-438D-A3D6-6EE902BDAA27}"/>
    <cellStyle name="Millares 4 9 3 3" xfId="5344" xr:uid="{26E29C68-6C02-4F7E-9DD7-3DF5A311B583}"/>
    <cellStyle name="Millares 4 9 4" xfId="2543" xr:uid="{19BF8DF2-5663-46E6-9195-3D110D8C4B93}"/>
    <cellStyle name="Millares 4 9 4 2" xfId="6865" xr:uid="{B670F007-E289-4A1D-8C45-D23AE1EFC392}"/>
    <cellStyle name="Millares 4 9 5" xfId="6866" xr:uid="{6ADC52A7-3B35-40A4-A0FF-E079C78DEB3D}"/>
    <cellStyle name="Millares 4 9 6" xfId="6867" xr:uid="{E31FCECD-AEE6-4564-94D2-6193A4F18DD0}"/>
    <cellStyle name="Millares 4 9 7" xfId="6868" xr:uid="{283DBE0E-73EC-47FA-9A11-6DA9BF4C1B9C}"/>
    <cellStyle name="Millares 4 9 8" xfId="6861" xr:uid="{90FFCAA3-AD49-4AEC-8B33-37E5CDA9FB31}"/>
    <cellStyle name="Millares 4 9 9" xfId="4214" xr:uid="{17AD5A82-69FC-4259-AF57-8F17383E7CE1}"/>
    <cellStyle name="Millares 5" xfId="71" xr:uid="{58EFE33C-248B-4DEE-A82D-2D718DFDDFF4}"/>
    <cellStyle name="Millares 5 10" xfId="1424" xr:uid="{3071D604-080C-473B-9EE3-374687386093}"/>
    <cellStyle name="Millares 5 10 2" xfId="5712" xr:uid="{4BA22631-BCCB-461A-A48F-6EDBA4A36E5F}"/>
    <cellStyle name="Millares 5 11" xfId="1731" xr:uid="{208F098C-6AC8-4C03-84A2-BB4DDFCB51ED}"/>
    <cellStyle name="Millares 5 12" xfId="502" xr:uid="{B99D8B7C-76BB-4655-974F-B508B29B1352}"/>
    <cellStyle name="Millares 5 13" xfId="2132" xr:uid="{AAD0269F-EB67-4FFF-B0F4-7A2C75BF2CCC}"/>
    <cellStyle name="Millares 5 2" xfId="72" xr:uid="{191A86CE-E9AD-47FE-823C-47DE076AB266}"/>
    <cellStyle name="Millares 5 2 10" xfId="521" xr:uid="{CE078226-50A0-4569-AEFF-1D60F4E8B3B7}"/>
    <cellStyle name="Millares 5 2 11" xfId="2133" xr:uid="{6692F7FA-EB9A-446E-BBA9-7B4C3C4FAD37}"/>
    <cellStyle name="Millares 5 2 11 2" xfId="6869" xr:uid="{141FAC9E-E576-47D4-B752-507D7BF90055}"/>
    <cellStyle name="Millares 5 2 2" xfId="73" xr:uid="{9A09EC7F-4437-4397-8EB5-EA42CE6C7A59}"/>
    <cellStyle name="Millares 5 2 2 2" xfId="217" xr:uid="{9D04F810-4660-4E7F-ADE4-E731D7CAF2C2}"/>
    <cellStyle name="Millares 5 2 2 2 2" xfId="1359" xr:uid="{6B773F73-EE6E-4B52-87D9-FFA5B1CA8902}"/>
    <cellStyle name="Millares 5 2 2 2 2 2" xfId="3827" xr:uid="{23203CC7-233D-41A5-8919-F46EF7CF6B53}"/>
    <cellStyle name="Millares 5 2 2 2 2 3" xfId="6871" xr:uid="{C9765B4B-8912-4910-BEA3-0E2F34564429}"/>
    <cellStyle name="Millares 5 2 2 2 3" xfId="1531" xr:uid="{A3C18991-E3A2-4F4E-9D7E-B800E9DDC8EF}"/>
    <cellStyle name="Millares 5 2 2 2 3 2" xfId="5799" xr:uid="{34AF6708-3E84-4675-B18A-5E4984D51B0F}"/>
    <cellStyle name="Millares 5 2 2 2 4" xfId="1833" xr:uid="{534FD7D7-F6A7-4E8A-902E-2609480F132E}"/>
    <cellStyle name="Millares 5 2 2 2 5" xfId="880" xr:uid="{D4917791-A8AB-4D2F-9BE1-3E1005108228}"/>
    <cellStyle name="Millares 5 2 2 2 6" xfId="6870" xr:uid="{994F456B-9C41-4D31-8EE1-4FCF5DF64C77}"/>
    <cellStyle name="Millares 5 2 2 3" xfId="317" xr:uid="{5C9BFA8E-600C-4E5D-B6C1-F1A36AC6DCF2}"/>
    <cellStyle name="Millares 5 2 2 3 2" xfId="1630" xr:uid="{EAB17315-EBF8-492B-B71E-FE6B937778DF}"/>
    <cellStyle name="Millares 5 2 2 3 2 2" xfId="5880" xr:uid="{3BD098D3-D98B-414D-9E4A-305C84436628}"/>
    <cellStyle name="Millares 5 2 2 3 3" xfId="1932" xr:uid="{DFE487F9-796A-480D-BBE8-39A0674B161D}"/>
    <cellStyle name="Millares 5 2 2 3 4" xfId="1034" xr:uid="{DC9B3D94-CDA8-4BA4-8B30-151C020656CC}"/>
    <cellStyle name="Millares 5 2 2 3 5" xfId="6872" xr:uid="{042436D7-5977-4EB9-908C-ED7B6B2590F6}"/>
    <cellStyle name="Millares 5 2 2 4" xfId="417" xr:uid="{779DCA6A-CD74-41DC-9363-119B959A778D}"/>
    <cellStyle name="Millares 5 2 2 4 2" xfId="2032" xr:uid="{B5A652D4-985F-4C94-9B4E-57EEDC83AB07}"/>
    <cellStyle name="Millares 5 2 2 4 3" xfId="1426" xr:uid="{45ACF76F-5D72-43A4-830D-D8D9D82BDFED}"/>
    <cellStyle name="Millares 5 2 2 5" xfId="1733" xr:uid="{A9A2E419-BF61-4789-AB80-869EA5C1A996}"/>
    <cellStyle name="Millares 5 2 2 6" xfId="556" xr:uid="{5066BCB2-ED53-489E-94FB-24AD4735FED1}"/>
    <cellStyle name="Millares 5 2 2 7" xfId="2134" xr:uid="{70A82135-67EC-45B2-823A-582442A01658}"/>
    <cellStyle name="Millares 5 2 3" xfId="74" xr:uid="{C8C0AF05-A412-4D8F-935E-B49B4DC52D5B}"/>
    <cellStyle name="Millares 5 2 3 2" xfId="218" xr:uid="{88006E8C-9043-499E-A86D-810D4E8812FC}"/>
    <cellStyle name="Millares 5 2 3 2 2" xfId="1532" xr:uid="{2BEB9261-082C-4611-A422-DD3075277E00}"/>
    <cellStyle name="Millares 5 2 3 2 2 2" xfId="5800" xr:uid="{A9832952-E096-43CC-A462-EB84CBE8BE1A}"/>
    <cellStyle name="Millares 5 2 3 2 3" xfId="1834" xr:uid="{D5D7C5F7-EE2A-486B-9C45-7A720E2D6710}"/>
    <cellStyle name="Millares 5 2 3 2 4" xfId="1098" xr:uid="{BCDAB760-A337-4299-AFA1-033DBC0E6F75}"/>
    <cellStyle name="Millares 5 2 3 2 5" xfId="6873" xr:uid="{61CE34E5-8E3B-486B-B6A8-3823A7316327}"/>
    <cellStyle name="Millares 5 2 3 3" xfId="318" xr:uid="{782359A6-B898-4CDA-916F-7EDF88D72999}"/>
    <cellStyle name="Millares 5 2 3 3 2" xfId="1933" xr:uid="{F89A468C-4109-4C1F-B999-A4C4DFB91637}"/>
    <cellStyle name="Millares 5 2 3 3 3" xfId="1631" xr:uid="{11DD8E7A-6417-4240-9A94-32233E96AB79}"/>
    <cellStyle name="Millares 5 2 3 3 4" xfId="6874" xr:uid="{F4CC97E0-F1B0-4082-BA8C-C375045066F5}"/>
    <cellStyle name="Millares 5 2 3 4" xfId="418" xr:uid="{B2EFCAA9-BDED-45D2-8A56-973E7C332274}"/>
    <cellStyle name="Millares 5 2 3 4 2" xfId="2033" xr:uid="{49DA8BB1-0728-4676-9EDC-F777B6A48ED3}"/>
    <cellStyle name="Millares 5 2 3 4 3" xfId="1427" xr:uid="{90CC13CA-F701-4B96-8D7C-EA8246A26DB4}"/>
    <cellStyle name="Millares 5 2 3 5" xfId="1734" xr:uid="{C7CCECC3-08ED-4E7D-9385-E7A4975AD227}"/>
    <cellStyle name="Millares 5 2 3 6" xfId="620" xr:uid="{311E9FD0-FD1C-4453-81EC-97155F73DE13}"/>
    <cellStyle name="Millares 5 2 3 7" xfId="2135" xr:uid="{376A919E-2A0A-44FB-A3CC-98531A2B6BE3}"/>
    <cellStyle name="Millares 5 2 4" xfId="216" xr:uid="{A695E2DC-B21C-4E92-96E4-08D5C80C7FE8}"/>
    <cellStyle name="Millares 5 2 4 2" xfId="1162" xr:uid="{F7CBEB2C-9074-4D14-9D6F-04C6BDD545AF}"/>
    <cellStyle name="Millares 5 2 4 2 2" xfId="3639" xr:uid="{6423F3E9-F279-4AA6-A7DB-57B979FC09A9}"/>
    <cellStyle name="Millares 5 2 4 3" xfId="1530" xr:uid="{A4737F32-3721-477D-B029-44C11C335858}"/>
    <cellStyle name="Millares 5 2 4 3 2" xfId="5798" xr:uid="{84502038-D6AD-4616-AEA4-DAECF75E7D51}"/>
    <cellStyle name="Millares 5 2 4 4" xfId="1832" xr:uid="{97AF82F8-E6BE-47A1-BFB3-7160DC3590D4}"/>
    <cellStyle name="Millares 5 2 4 5" xfId="684" xr:uid="{8F8E7DD2-F848-41BD-842C-5A59B19E1F3A}"/>
    <cellStyle name="Millares 5 2 4 6" xfId="6875" xr:uid="{3E326B5B-C8ED-4057-A00B-F40E5961F559}"/>
    <cellStyle name="Millares 5 2 5" xfId="316" xr:uid="{B77A3718-4F74-4E2B-AA88-890EFD2A09FF}"/>
    <cellStyle name="Millares 5 2 5 2" xfId="1226" xr:uid="{3731C36D-9418-47DF-9BEE-E3A1C9031312}"/>
    <cellStyle name="Millares 5 2 5 2 2" xfId="3701" xr:uid="{5FFC10F6-05C5-4429-B684-7E1A71645C41}"/>
    <cellStyle name="Millares 5 2 5 3" xfId="1629" xr:uid="{DEB1F0D9-C6AE-464A-B0E8-ED4B5E755FF9}"/>
    <cellStyle name="Millares 5 2 5 3 2" xfId="5879" xr:uid="{F6B0A30F-1801-4F90-835E-CF4A063E6CA4}"/>
    <cellStyle name="Millares 5 2 5 4" xfId="1931" xr:uid="{64AFF578-8853-4542-BA6D-7A90856915D2}"/>
    <cellStyle name="Millares 5 2 5 5" xfId="748" xr:uid="{8849FB14-A4A3-4332-BAC3-B58EB66759AE}"/>
    <cellStyle name="Millares 5 2 5 6" xfId="6876" xr:uid="{A2F391AD-2C45-49FD-BAD9-DA29E078DE9D}"/>
    <cellStyle name="Millares 5 2 6" xfId="416" xr:uid="{51F225F5-8F66-432D-9F84-6C43C4E0EADD}"/>
    <cellStyle name="Millares 5 2 6 2" xfId="1291" xr:uid="{E8F72364-3755-456F-B99D-1D81FD1C118E}"/>
    <cellStyle name="Millares 5 2 6 2 2" xfId="3765" xr:uid="{19D1AE46-BADA-494A-8B8C-980406410B45}"/>
    <cellStyle name="Millares 5 2 6 3" xfId="2031" xr:uid="{BA3DC54D-05B5-465B-ACBE-2CEA02C0E96B}"/>
    <cellStyle name="Millares 5 2 6 4" xfId="812" xr:uid="{05F13BB4-5AA1-4486-88A8-30C52226E3EA}"/>
    <cellStyle name="Millares 5 2 6 5" xfId="6877" xr:uid="{B49945E3-A935-4A81-A83C-BAEE9C772183}"/>
    <cellStyle name="Millares 5 2 7" xfId="999" xr:uid="{F9C47C28-6C5D-4A69-A205-9CFCDBC1F62E}"/>
    <cellStyle name="Millares 5 2 7 2" xfId="3496" xr:uid="{5EDAF93C-8AD3-4995-87B1-BC49B90FDACB}"/>
    <cellStyle name="Millares 5 2 7 3" xfId="6878" xr:uid="{E395FC80-F9D9-45E3-BD50-6DE620086B29}"/>
    <cellStyle name="Millares 5 2 8" xfId="1425" xr:uid="{636AD832-F4EE-4E94-B771-1C0029C4FABD}"/>
    <cellStyle name="Millares 5 2 8 2" xfId="5713" xr:uid="{F8F179D8-6ADE-468A-AE4A-5CAF585F87DD}"/>
    <cellStyle name="Millares 5 2 9" xfId="1732" xr:uid="{BE307D67-DB8E-496B-BD5F-E4EF5EA71CEB}"/>
    <cellStyle name="Millares 5 3" xfId="75" xr:uid="{B826BC9E-72C9-49F2-96CC-0CC17551396E}"/>
    <cellStyle name="Millares 5 3 10" xfId="2136" xr:uid="{80D6C38A-01AE-4C51-BEAB-3B53BB2F67D8}"/>
    <cellStyle name="Millares 5 3 10 2" xfId="6879" xr:uid="{765BF0FA-493F-4019-9DAC-99D5B13086FB}"/>
    <cellStyle name="Millares 5 3 2" xfId="76" xr:uid="{414E0F21-8C83-46BE-8EA0-4A73AF72E76C}"/>
    <cellStyle name="Millares 5 3 2 2" xfId="220" xr:uid="{82ED24A1-CAB5-4AC4-9370-78BDEEA2AAE5}"/>
    <cellStyle name="Millares 5 3 2 2 2" xfId="1360" xr:uid="{FF009539-DA1F-4F75-9772-6F5BD1C0218B}"/>
    <cellStyle name="Millares 5 3 2 2 2 2" xfId="3828" xr:uid="{07C640CD-CD0F-4586-B59A-2A8B95AB44CC}"/>
    <cellStyle name="Millares 5 3 2 2 2 3" xfId="6881" xr:uid="{67FE0807-2DC0-4C8A-8D2A-0D4FF6446A0C}"/>
    <cellStyle name="Millares 5 3 2 2 3" xfId="1534" xr:uid="{C41D65E3-D5F8-496F-882F-E69756E0B6C3}"/>
    <cellStyle name="Millares 5 3 2 2 3 2" xfId="5802" xr:uid="{9B50B067-5317-41DC-92DE-D54698BF6E3A}"/>
    <cellStyle name="Millares 5 3 2 2 4" xfId="1836" xr:uid="{069B2AA0-B9EC-4665-A3CE-6712934215AA}"/>
    <cellStyle name="Millares 5 3 2 2 5" xfId="881" xr:uid="{44248DE5-2E61-425F-A5AF-DE6C1381E8E6}"/>
    <cellStyle name="Millares 5 3 2 2 6" xfId="6880" xr:uid="{5CF2678C-8495-4330-BCB1-3F0CDF4BF78E}"/>
    <cellStyle name="Millares 5 3 2 3" xfId="320" xr:uid="{34343719-CB9B-487C-9A8A-E70D720AED25}"/>
    <cellStyle name="Millares 5 3 2 3 2" xfId="1633" xr:uid="{B66B174C-66A8-41E0-BB62-4C1F0AE3353C}"/>
    <cellStyle name="Millares 5 3 2 3 2 2" xfId="5882" xr:uid="{F74E2D02-2A2A-4632-9D17-71840EB9DF95}"/>
    <cellStyle name="Millares 5 3 2 3 3" xfId="1935" xr:uid="{46AC3E22-D745-4799-B7D2-C9FC4D32DF3C}"/>
    <cellStyle name="Millares 5 3 2 3 4" xfId="1099" xr:uid="{DDD9EB29-E65D-4B03-9165-5247BF415131}"/>
    <cellStyle name="Millares 5 3 2 3 5" xfId="6882" xr:uid="{146282DB-D90C-4AD5-8040-E1106629FE59}"/>
    <cellStyle name="Millares 5 3 2 4" xfId="420" xr:uid="{0D237949-69FB-4D0E-8BD6-B089589FFFAB}"/>
    <cellStyle name="Millares 5 3 2 4 2" xfId="2035" xr:uid="{B59ADF15-9566-4248-BE71-9E28B9035CBC}"/>
    <cellStyle name="Millares 5 3 2 4 3" xfId="1429" xr:uid="{3C12C861-45A7-46D2-8D37-5F1E99158768}"/>
    <cellStyle name="Millares 5 3 2 5" xfId="1736" xr:uid="{3C4ABE52-B431-483A-81A5-C7036B733FE9}"/>
    <cellStyle name="Millares 5 3 2 6" xfId="621" xr:uid="{5A98DA75-3F79-4E42-A2DC-805805B1043E}"/>
    <cellStyle name="Millares 5 3 2 7" xfId="2137" xr:uid="{2A6CC0E0-BD7C-49AB-B626-BA3EC3015019}"/>
    <cellStyle name="Millares 5 3 3" xfId="77" xr:uid="{6EAB4599-008E-495F-B260-9F1BE24ED5AF}"/>
    <cellStyle name="Millares 5 3 3 2" xfId="221" xr:uid="{948EE4A6-9BC7-4633-ACDE-9654F3A401DA}"/>
    <cellStyle name="Millares 5 3 3 2 2" xfId="1535" xr:uid="{F26F0E88-6DAD-46F6-B69D-D5B7BC6F56B7}"/>
    <cellStyle name="Millares 5 3 3 2 2 2" xfId="5803" xr:uid="{1834F59D-995E-4647-A55D-E0924B7D0AC0}"/>
    <cellStyle name="Millares 5 3 3 2 3" xfId="1837" xr:uid="{0891506C-2826-455E-84FE-690669ACCB8B}"/>
    <cellStyle name="Millares 5 3 3 2 4" xfId="1163" xr:uid="{562DCD5C-166C-4FDB-8763-21829636917D}"/>
    <cellStyle name="Millares 5 3 3 2 5" xfId="6883" xr:uid="{78686144-4423-4013-A2DC-B5E5B219B89B}"/>
    <cellStyle name="Millares 5 3 3 3" xfId="321" xr:uid="{DE50CCAB-0BDB-4075-8047-D70E78295BFA}"/>
    <cellStyle name="Millares 5 3 3 3 2" xfId="1936" xr:uid="{82D1A42A-A773-45E2-98C4-3F3DB3406730}"/>
    <cellStyle name="Millares 5 3 3 3 3" xfId="1634" xr:uid="{0CBBE0B8-E96D-4F6E-82B1-1D11F180F025}"/>
    <cellStyle name="Millares 5 3 3 3 4" xfId="6884" xr:uid="{F95457BA-12D7-4EE3-B694-0B9757548276}"/>
    <cellStyle name="Millares 5 3 3 4" xfId="421" xr:uid="{240055F0-45C0-41A3-8C11-481D6655A06B}"/>
    <cellStyle name="Millares 5 3 3 4 2" xfId="2036" xr:uid="{0082A2EA-8775-4387-80EB-F47EEAB0D638}"/>
    <cellStyle name="Millares 5 3 3 4 3" xfId="1430" xr:uid="{0E983119-971F-4A3D-9D5B-EE2D22B0D8E2}"/>
    <cellStyle name="Millares 5 3 3 5" xfId="1737" xr:uid="{4A23B846-AB7C-4903-A78E-84695034CCAC}"/>
    <cellStyle name="Millares 5 3 3 6" xfId="685" xr:uid="{555B351A-1453-4F07-88F6-F5D036FBCF95}"/>
    <cellStyle name="Millares 5 3 3 7" xfId="2138" xr:uid="{6395F59B-BAC8-4148-B4E3-111A39D4FB5B}"/>
    <cellStyle name="Millares 5 3 4" xfId="219" xr:uid="{760BF03B-4765-4D1A-972A-3A3C68C63FAD}"/>
    <cellStyle name="Millares 5 3 4 2" xfId="1227" xr:uid="{B4C4AF32-2086-4FA9-94E9-86B01C4190C6}"/>
    <cellStyle name="Millares 5 3 4 2 2" xfId="3702" xr:uid="{0B933FE9-33C4-4A72-BC88-124E3658970F}"/>
    <cellStyle name="Millares 5 3 4 3" xfId="1533" xr:uid="{D39CB54B-5F19-4402-936E-6D2CEF8CAF96}"/>
    <cellStyle name="Millares 5 3 4 3 2" xfId="5801" xr:uid="{C2BA184A-CE2F-4A68-8018-52D004ED5B02}"/>
    <cellStyle name="Millares 5 3 4 4" xfId="1835" xr:uid="{159B6282-C0D6-4178-8A64-45FDB321256E}"/>
    <cellStyle name="Millares 5 3 4 5" xfId="749" xr:uid="{60AC5E1B-F869-4524-A1BD-7673B5C175A2}"/>
    <cellStyle name="Millares 5 3 4 6" xfId="6885" xr:uid="{9B5A2EBE-9378-4D77-924B-834AC4755727}"/>
    <cellStyle name="Millares 5 3 5" xfId="319" xr:uid="{49ACC664-CF45-4511-8099-A2946477762D}"/>
    <cellStyle name="Millares 5 3 5 2" xfId="1292" xr:uid="{21CEFBB2-C889-4B87-80AA-1DD7EDA88988}"/>
    <cellStyle name="Millares 5 3 5 2 2" xfId="3766" xr:uid="{C8C6A094-B2CB-4679-9860-83ABB9F65F20}"/>
    <cellStyle name="Millares 5 3 5 3" xfId="1632" xr:uid="{5DB6E84C-615F-4DD0-AE35-D4B386ABCE43}"/>
    <cellStyle name="Millares 5 3 5 3 2" xfId="5881" xr:uid="{255F00F9-4639-480D-B9F9-5C6A3BA0A304}"/>
    <cellStyle name="Millares 5 3 5 4" xfId="1934" xr:uid="{05E0A488-8657-49FB-989B-2DC9406406C9}"/>
    <cellStyle name="Millares 5 3 5 5" xfId="813" xr:uid="{A0258CED-A458-408D-B94A-E9AA3CEA2486}"/>
    <cellStyle name="Millares 5 3 5 6" xfId="6886" xr:uid="{3925F2A6-37CE-4743-B306-925E4B421BEF}"/>
    <cellStyle name="Millares 5 3 6" xfId="419" xr:uid="{63EB79E0-6884-415C-A660-A8777DBB6DBF}"/>
    <cellStyle name="Millares 5 3 6 2" xfId="2034" xr:uid="{48F59F36-FFC9-47B7-993B-CB590037B761}"/>
    <cellStyle name="Millares 5 3 6 3" xfId="1035" xr:uid="{1570CCD9-2A3B-401C-A1E8-C409C4C44DAC}"/>
    <cellStyle name="Millares 5 3 6 4" xfId="6887" xr:uid="{5E9EF860-F4B6-402F-B971-9B996F4599C8}"/>
    <cellStyle name="Millares 5 3 7" xfId="1428" xr:uid="{72C1AF65-8953-42F9-BCAA-0454A8816C20}"/>
    <cellStyle name="Millares 5 3 7 2" xfId="5714" xr:uid="{B5F6D3BF-40C9-4016-87AC-2B39C7B127FF}"/>
    <cellStyle name="Millares 5 3 8" xfId="1735" xr:uid="{A14E52F9-1E9E-42B2-9E17-99058EDAC425}"/>
    <cellStyle name="Millares 5 3 9" xfId="557" xr:uid="{48CB7EED-C326-413E-8833-200A2A60D40F}"/>
    <cellStyle name="Millares 5 4" xfId="78" xr:uid="{172E64E0-BDB4-445E-9C03-216CB391CE9E}"/>
    <cellStyle name="Millares 5 4 2" xfId="222" xr:uid="{ABBE1E83-697F-4B35-A36C-21157F4E352E}"/>
    <cellStyle name="Millares 5 4 2 2" xfId="1358" xr:uid="{5BD203E6-32D6-4B4B-B43B-28312EA38DFF}"/>
    <cellStyle name="Millares 5 4 2 2 2" xfId="3826" xr:uid="{12B90B02-51C4-4120-BD87-5737E7DC951C}"/>
    <cellStyle name="Millares 5 4 2 2 3" xfId="6890" xr:uid="{D826C9B5-2717-4ECC-A5CE-398CAFD19448}"/>
    <cellStyle name="Millares 5 4 2 3" xfId="1536" xr:uid="{6DF3925A-14B5-4741-9F28-410F45959E63}"/>
    <cellStyle name="Millares 5 4 2 3 2" xfId="5804" xr:uid="{8FDBCE6A-4119-419A-A8B4-20B4BE0EAA7F}"/>
    <cellStyle name="Millares 5 4 2 3 3" xfId="6891" xr:uid="{65B3B99B-701F-4266-96BB-D1696CD00A11}"/>
    <cellStyle name="Millares 5 4 2 4" xfId="1838" xr:uid="{FCDB5C5D-7CB3-4B53-8338-EF7C770890AE}"/>
    <cellStyle name="Millares 5 4 2 4 2" xfId="6892" xr:uid="{76EE9C25-8082-4DDD-87AA-5E466538EEEB}"/>
    <cellStyle name="Millares 5 4 2 5" xfId="879" xr:uid="{2C2E94B5-8273-4783-9D1C-3F6DC7971573}"/>
    <cellStyle name="Millares 5 4 2 5 2" xfId="6893" xr:uid="{E76B7E82-95AE-41BE-815C-9C0BDFA1E42D}"/>
    <cellStyle name="Millares 5 4 2 6" xfId="6889" xr:uid="{747AEC55-FC2E-4568-8CE6-0356A00922A3}"/>
    <cellStyle name="Millares 5 4 3" xfId="322" xr:uid="{655B9E57-5270-4698-9DF8-34E718A4B6DF}"/>
    <cellStyle name="Millares 5 4 3 2" xfId="1635" xr:uid="{4A48D114-DC94-4992-BDF0-06B531B8873E}"/>
    <cellStyle name="Millares 5 4 3 2 2" xfId="5883" xr:uid="{0E36DD2E-A3FF-47A9-BF82-295284120CFD}"/>
    <cellStyle name="Millares 5 4 3 3" xfId="1937" xr:uid="{328F1CA2-008A-43B3-B62B-C12F25B3F924}"/>
    <cellStyle name="Millares 5 4 3 4" xfId="1033" xr:uid="{D1574875-4017-40FA-BD06-560501FAB24C}"/>
    <cellStyle name="Millares 5 4 3 5" xfId="6894" xr:uid="{41F126B8-4FEA-4EDA-869D-B7C0AD156E1D}"/>
    <cellStyle name="Millares 5 4 4" xfId="422" xr:uid="{BFD0B810-B10C-4FEF-B703-DAA4DFDD0B54}"/>
    <cellStyle name="Millares 5 4 4 2" xfId="2037" xr:uid="{7830C652-A107-48E5-8B45-E8127BF503C9}"/>
    <cellStyle name="Millares 5 4 4 3" xfId="1431" xr:uid="{3213EE78-1A63-4167-B09D-ED82AC9B5982}"/>
    <cellStyle name="Millares 5 4 4 4" xfId="6895" xr:uid="{738D54B5-5171-4051-A67B-5C4EDCA34ACD}"/>
    <cellStyle name="Millares 5 4 5" xfId="1738" xr:uid="{4988250E-A67B-4931-BE95-3086C372E1F2}"/>
    <cellStyle name="Millares 5 4 5 2" xfId="6896" xr:uid="{E70569BD-4A02-4145-9855-183CF2957C2D}"/>
    <cellStyle name="Millares 5 4 6" xfId="555" xr:uid="{6C5F33EE-DBFC-4E05-9B6D-BA8AE1F8A3ED}"/>
    <cellStyle name="Millares 5 4 6 2" xfId="6897" xr:uid="{6FF36826-5467-43F5-A4E5-EF2FF73E175E}"/>
    <cellStyle name="Millares 5 4 7" xfId="2139" xr:uid="{098F96E8-C5B3-461B-A150-C4E17E95A02B}"/>
    <cellStyle name="Millares 5 4 8" xfId="6888" xr:uid="{1705359A-5773-4C13-86CC-1203E98678F0}"/>
    <cellStyle name="Millares 5 5" xfId="79" xr:uid="{96854698-2B0E-44E0-9B19-7A5B13BE31C2}"/>
    <cellStyle name="Millares 5 5 2" xfId="223" xr:uid="{F4532520-A314-4773-838C-903B35AA6DEC}"/>
    <cellStyle name="Millares 5 5 2 2" xfId="1537" xr:uid="{0FF144C2-E4C8-418E-8E8F-1DD27FEE6B69}"/>
    <cellStyle name="Millares 5 5 2 2 2" xfId="5805" xr:uid="{9034B4DF-539C-4BDB-A7D1-71A36A2A0E5C}"/>
    <cellStyle name="Millares 5 5 2 2 3" xfId="6900" xr:uid="{60704B59-4CB7-4D5C-8822-92CF42EBB6F2}"/>
    <cellStyle name="Millares 5 5 2 3" xfId="1839" xr:uid="{92121DC4-5693-4E64-AA01-AA94B457FB3B}"/>
    <cellStyle name="Millares 5 5 2 4" xfId="1097" xr:uid="{2F09CAFE-9B4F-4C85-8827-2F349B8BFD9A}"/>
    <cellStyle name="Millares 5 5 2 5" xfId="6899" xr:uid="{A7271395-71D5-452E-98A5-8B1A179DC5FC}"/>
    <cellStyle name="Millares 5 5 3" xfId="323" xr:uid="{A807D850-F4C2-4F0E-B480-4C4B64D74615}"/>
    <cellStyle name="Millares 5 5 3 2" xfId="1938" xr:uid="{F40C9DC0-DB5D-47BC-B50D-D8472BCB1E82}"/>
    <cellStyle name="Millares 5 5 3 3" xfId="1636" xr:uid="{7B9578CD-DC64-40F4-9612-958633CF8628}"/>
    <cellStyle name="Millares 5 5 3 4" xfId="6901" xr:uid="{CE5E4916-5286-4173-87E6-230770A8D0FF}"/>
    <cellStyle name="Millares 5 5 4" xfId="423" xr:uid="{220B25FC-27BC-46CA-932C-057F6F7CD3AF}"/>
    <cellStyle name="Millares 5 5 4 2" xfId="2038" xr:uid="{061EAFA1-0362-403D-9A1A-6C81215A33C0}"/>
    <cellStyle name="Millares 5 5 4 3" xfId="1432" xr:uid="{0325C742-22FC-4135-90F8-D0D80E905291}"/>
    <cellStyle name="Millares 5 5 4 4" xfId="6902" xr:uid="{96D5D6B8-28A6-4861-8620-AE8C622D22DD}"/>
    <cellStyle name="Millares 5 5 5" xfId="1739" xr:uid="{89679799-4C1D-451E-894C-0DCDCC541EF7}"/>
    <cellStyle name="Millares 5 5 5 2" xfId="6903" xr:uid="{8DD1FD0E-B5A0-41BC-8554-FF9DA26584D7}"/>
    <cellStyle name="Millares 5 5 6" xfId="619" xr:uid="{559374D9-BD67-4907-BE57-E0254E6A78EF}"/>
    <cellStyle name="Millares 5 5 6 2" xfId="6904" xr:uid="{8A261DB8-E556-422B-99E5-999E135834F4}"/>
    <cellStyle name="Millares 5 5 7" xfId="2140" xr:uid="{1DD408A7-82D3-4A51-B29C-A9577C06C6B1}"/>
    <cellStyle name="Millares 5 5 8" xfId="6898" xr:uid="{5B698B5C-B2A2-4A5D-A9A9-537EED5CCDAE}"/>
    <cellStyle name="Millares 5 6" xfId="215" xr:uid="{1CDACE0C-EB44-49F1-AED4-522B3075A57D}"/>
    <cellStyle name="Millares 5 6 2" xfId="1161" xr:uid="{DE14628F-67E6-413A-9440-5F8378C91C8A}"/>
    <cellStyle name="Millares 5 6 2 2" xfId="3638" xr:uid="{A87FB038-6763-4650-A4B9-F0EA85CD32A6}"/>
    <cellStyle name="Millares 5 6 2 2 2" xfId="6907" xr:uid="{73558169-BA2D-475E-8FF4-CA14ED6A03EF}"/>
    <cellStyle name="Millares 5 6 2 3" xfId="6906" xr:uid="{761B4B53-FE0E-46FA-A8A8-2606896B838D}"/>
    <cellStyle name="Millares 5 6 3" xfId="1529" xr:uid="{977742D6-4667-4009-B516-88B28DFF3F10}"/>
    <cellStyle name="Millares 5 6 3 2" xfId="5797" xr:uid="{D3EDF58E-56AF-47F0-8365-E9F9A49C207D}"/>
    <cellStyle name="Millares 5 6 3 3" xfId="6908" xr:uid="{957AEF09-C575-458C-ADDD-E81704A49B0E}"/>
    <cellStyle name="Millares 5 6 4" xfId="1831" xr:uid="{D80A50A8-5DB0-4101-ABE9-B8C0212006A0}"/>
    <cellStyle name="Millares 5 6 4 2" xfId="6909" xr:uid="{1763217D-49AB-455F-88AB-3C91D102AB1F}"/>
    <cellStyle name="Millares 5 6 5" xfId="683" xr:uid="{6152EB8A-60DF-408D-9DBB-39C9687604F7}"/>
    <cellStyle name="Millares 5 6 5 2" xfId="6910" xr:uid="{01894644-3130-41B5-B806-9F7439914A45}"/>
    <cellStyle name="Millares 5 6 6" xfId="6911" xr:uid="{D3C7EA24-96EF-4ADD-B93D-8EA147BFB986}"/>
    <cellStyle name="Millares 5 6 7" xfId="6912" xr:uid="{6F0FC0CC-DB0F-45C4-A300-2A6C8BB7137F}"/>
    <cellStyle name="Millares 5 6 8" xfId="6905" xr:uid="{494B9684-AA96-40F8-A1DD-782218458EE3}"/>
    <cellStyle name="Millares 5 7" xfId="315" xr:uid="{5AE5C98F-512A-4764-8046-88E19B8F2225}"/>
    <cellStyle name="Millares 5 7 2" xfId="1225" xr:uid="{AB50FC72-44D0-4263-809F-5B0A21FA850B}"/>
    <cellStyle name="Millares 5 7 2 2" xfId="3700" xr:uid="{AE943637-25B0-4912-9074-39304E7CEE11}"/>
    <cellStyle name="Millares 5 7 2 3" xfId="6914" xr:uid="{78A7CDD8-336F-4999-9729-6725E9A675BF}"/>
    <cellStyle name="Millares 5 7 3" xfId="1628" xr:uid="{DDF029DB-F9B6-4920-B1B5-CC116FBA810A}"/>
    <cellStyle name="Millares 5 7 3 2" xfId="5878" xr:uid="{FCC58C89-C046-4D37-9FC9-20055D1E7551}"/>
    <cellStyle name="Millares 5 7 3 3" xfId="6915" xr:uid="{C19B2178-6412-4955-8354-0019FCB8A6B5}"/>
    <cellStyle name="Millares 5 7 4" xfId="1930" xr:uid="{3F276FA0-7F98-46C7-83E4-04B1ED8E174A}"/>
    <cellStyle name="Millares 5 7 4 2" xfId="6916" xr:uid="{D3235AA8-25A5-4051-A490-A8CC90BF107F}"/>
    <cellStyle name="Millares 5 7 5" xfId="747" xr:uid="{214BD705-B214-443B-9D5A-5DD45D112E47}"/>
    <cellStyle name="Millares 5 7 5 2" xfId="6917" xr:uid="{48F1F504-9FC9-44D6-AFCB-D55286DD0B1D}"/>
    <cellStyle name="Millares 5 7 6" xfId="6918" xr:uid="{BEA99A20-3AC4-4349-A583-9392FDF8BB4B}"/>
    <cellStyle name="Millares 5 7 7" xfId="6913" xr:uid="{F6F529DD-D1A2-4800-8865-9DCDFF8281D9}"/>
    <cellStyle name="Millares 5 8" xfId="415" xr:uid="{CFE92539-E5F4-40CE-94E8-ED02F3790141}"/>
    <cellStyle name="Millares 5 8 2" xfId="1290" xr:uid="{0F21FDE1-2E4E-4D0C-A11E-38E99788407E}"/>
    <cellStyle name="Millares 5 8 2 2" xfId="3764" xr:uid="{30B31E39-77CF-4F03-810F-AE048BB4F0FD}"/>
    <cellStyle name="Millares 5 8 2 3" xfId="6920" xr:uid="{47422F65-2CE8-43A9-905C-2A96FBD05033}"/>
    <cellStyle name="Millares 5 8 3" xfId="2030" xr:uid="{5184AE9A-DA64-45D5-9710-9226EE4090DB}"/>
    <cellStyle name="Millares 5 8 3 2" xfId="6921" xr:uid="{6162AD17-E3E0-4DB9-BFA5-0A5C2FB88F06}"/>
    <cellStyle name="Millares 5 8 4" xfId="811" xr:uid="{6EBE9ECA-FA4D-418A-818D-1DDA4CE9AA7C}"/>
    <cellStyle name="Millares 5 8 4 2" xfId="6922" xr:uid="{AF12DD07-E2B3-4555-B836-44A4E00D2EE1}"/>
    <cellStyle name="Millares 5 8 5" xfId="6919" xr:uid="{09277035-9C83-456E-BE1A-37E18508AEB9}"/>
    <cellStyle name="Millares 5 9" xfId="980" xr:uid="{3570985F-D8A0-4D54-B271-620708D8C97C}"/>
    <cellStyle name="Millares 5 9 2" xfId="3477" xr:uid="{F976AFEB-DE07-4B99-81CA-3BE90F970243}"/>
    <cellStyle name="Millares 5 9 3" xfId="6923" xr:uid="{673AB1C9-DB68-4DFA-8AE1-FA8068DFCC8E}"/>
    <cellStyle name="Millares 6" xfId="80" xr:uid="{3BDDE80B-2747-440C-BBE3-AD8B38FE6BE2}"/>
    <cellStyle name="Millares 6 2" xfId="6924" xr:uid="{07F8CB8B-39C3-46C9-B502-3C621C4358FA}"/>
    <cellStyle name="Millares 6 3" xfId="6925" xr:uid="{45166FF0-ADC4-4A8C-AE4D-5D37B566DFDB}"/>
    <cellStyle name="Millares 6 4" xfId="6926" xr:uid="{6BDEE6DE-3979-46D5-AF00-64FD0648FA22}"/>
    <cellStyle name="Millares 7" xfId="81" xr:uid="{033FBD01-25B0-4750-A61D-CCF5CC60A1CB}"/>
    <cellStyle name="Millares 7 10" xfId="517" xr:uid="{C58B220F-9B22-47A0-BA17-4AB0A74C6C0E}"/>
    <cellStyle name="Millares 7 10 2" xfId="6928" xr:uid="{88A9D800-177A-45AB-AF12-D03CD1BAF951}"/>
    <cellStyle name="Millares 7 11" xfId="2141" xr:uid="{599B4B3C-F685-4938-B468-55A4CFC16D48}"/>
    <cellStyle name="Millares 7 12" xfId="6929" xr:uid="{BF206366-483E-4291-A4BC-889A2C144D6A}"/>
    <cellStyle name="Millares 7 13" xfId="6930" xr:uid="{F7E5C44B-E63B-415D-8A15-9938866AB09C}"/>
    <cellStyle name="Millares 7 14" xfId="6931" xr:uid="{7D47AAE2-A7E9-4EAC-9267-3F7031A297A8}"/>
    <cellStyle name="Millares 7 15" xfId="6927" xr:uid="{A832C27F-019C-4673-A443-002F4B1FDAA9}"/>
    <cellStyle name="Millares 7 2" xfId="82" xr:uid="{2EA5ED73-20FA-409A-8FA6-92736F1A5859}"/>
    <cellStyle name="Millares 7 2 10" xfId="6933" xr:uid="{5F35D3FD-99F2-4B3E-A0D4-C39CC52BBCBE}"/>
    <cellStyle name="Millares 7 2 11" xfId="6934" xr:uid="{24F61A10-3A75-4877-8D39-E30BFBB9B4A1}"/>
    <cellStyle name="Millares 7 2 12" xfId="6935" xr:uid="{ABA3AA82-103F-4D18-97A2-3153B851E53E}"/>
    <cellStyle name="Millares 7 2 13" xfId="6932" xr:uid="{F241B749-8A34-4213-99BC-8E15BB271E8E}"/>
    <cellStyle name="Millares 7 2 2" xfId="225" xr:uid="{46B932D3-C217-4A78-8C50-6BCB50A97892}"/>
    <cellStyle name="Millares 7 2 2 10" xfId="6936" xr:uid="{7907C496-B634-4A23-97CB-76B022405535}"/>
    <cellStyle name="Millares 7 2 2 2" xfId="1361" xr:uid="{AF194D71-FE40-4DF4-B82A-0C1184999EB7}"/>
    <cellStyle name="Millares 7 2 2 2 2" xfId="3829" xr:uid="{9F031A2B-0D77-4FDC-9EBE-2F0030DB0066}"/>
    <cellStyle name="Millares 7 2 2 2 2 2" xfId="6938" xr:uid="{44FF5C62-59B4-4F32-9496-9890A52A07ED}"/>
    <cellStyle name="Millares 7 2 2 2 3" xfId="6937" xr:uid="{39841434-D6DE-4B78-9771-F7B773DBC964}"/>
    <cellStyle name="Millares 7 2 2 3" xfId="1539" xr:uid="{DDE97325-60F1-4322-88EA-ADCD85142FFE}"/>
    <cellStyle name="Millares 7 2 2 3 2" xfId="5807" xr:uid="{FA0BD113-ED16-4634-A048-4B5CA76FF63D}"/>
    <cellStyle name="Millares 7 2 2 3 3" xfId="6939" xr:uid="{7C52B4FA-AE60-4505-942F-88B574436DB6}"/>
    <cellStyle name="Millares 7 2 2 4" xfId="1841" xr:uid="{09CB1A75-602D-4E23-9849-138692E2EBD9}"/>
    <cellStyle name="Millares 7 2 2 4 2" xfId="6940" xr:uid="{A8296C03-2EAD-4A10-B15D-CB29E0EFBAD0}"/>
    <cellStyle name="Millares 7 2 2 5" xfId="882" xr:uid="{69049584-6E61-408A-942B-4CFF3801C000}"/>
    <cellStyle name="Millares 7 2 2 5 2" xfId="6941" xr:uid="{FED5A420-C9B3-4D1D-A3E9-0E720422D30E}"/>
    <cellStyle name="Millares 7 2 2 6" xfId="6942" xr:uid="{995A661E-D641-44D8-823A-296B61FD1ED7}"/>
    <cellStyle name="Millares 7 2 2 7" xfId="6943" xr:uid="{72643ADF-A919-4F70-86A9-E286DB30791A}"/>
    <cellStyle name="Millares 7 2 2 8" xfId="6944" xr:uid="{2582C665-DB4C-4F11-A726-D89C0F7955D1}"/>
    <cellStyle name="Millares 7 2 2 9" xfId="6945" xr:uid="{8E35856F-7DDD-49C6-91C3-9D21931D235F}"/>
    <cellStyle name="Millares 7 2 3" xfId="325" xr:uid="{D80BD29B-0B74-4623-9713-05D23B229B1C}"/>
    <cellStyle name="Millares 7 2 3 2" xfId="1638" xr:uid="{8A0F9D49-5153-45C1-9BAF-D78AE0BBCD86}"/>
    <cellStyle name="Millares 7 2 3 2 2" xfId="5885" xr:uid="{CF45A21A-CBEB-4567-9DDE-DD6278217693}"/>
    <cellStyle name="Millares 7 2 3 2 2 2" xfId="6948" xr:uid="{C7241D1C-85F8-4516-B9F7-424B95BB3E92}"/>
    <cellStyle name="Millares 7 2 3 2 3" xfId="6947" xr:uid="{0CCD5D24-674E-4E89-9F08-7B25C81D35E4}"/>
    <cellStyle name="Millares 7 2 3 3" xfId="1940" xr:uid="{F1D0EAC2-2F36-4308-9F7B-87DEF8871365}"/>
    <cellStyle name="Millares 7 2 3 3 2" xfId="6949" xr:uid="{98EF1301-7D58-43FB-9759-D33EE2499A7F}"/>
    <cellStyle name="Millares 7 2 3 4" xfId="1036" xr:uid="{20E0AF98-7250-491A-820B-F153B13D4F00}"/>
    <cellStyle name="Millares 7 2 3 4 2" xfId="6950" xr:uid="{E4F5C804-3E00-49EC-A3D7-211482574262}"/>
    <cellStyle name="Millares 7 2 3 5" xfId="6951" xr:uid="{49C6026E-3728-4451-9551-7107BB5D48CF}"/>
    <cellStyle name="Millares 7 2 3 6" xfId="6952" xr:uid="{7DC4935C-E4A4-4D2C-BD3B-4BC541BFF2C5}"/>
    <cellStyle name="Millares 7 2 3 7" xfId="6946" xr:uid="{2C90630A-05D0-460B-AF4B-6B21E301614A}"/>
    <cellStyle name="Millares 7 2 4" xfId="425" xr:uid="{9F358803-BDB8-4CBD-8590-F4BCE6DA7BD5}"/>
    <cellStyle name="Millares 7 2 4 2" xfId="2040" xr:uid="{024EB9A5-2CD5-44EA-9F68-4338ECFCC040}"/>
    <cellStyle name="Millares 7 2 4 2 2" xfId="6955" xr:uid="{F294A211-A58E-429D-AFFD-942A9472E694}"/>
    <cellStyle name="Millares 7 2 4 2 3" xfId="6954" xr:uid="{D06DE565-56F6-464C-AD4E-2DF1A68B5E86}"/>
    <cellStyle name="Millares 7 2 4 3" xfId="1434" xr:uid="{38597D91-1771-4729-9553-C0DA8E302EF7}"/>
    <cellStyle name="Millares 7 2 4 3 2" xfId="6956" xr:uid="{58973AD3-3958-437E-97D3-AF14117FDD1D}"/>
    <cellStyle name="Millares 7 2 4 4" xfId="6957" xr:uid="{594CD82E-7575-48C9-BC0D-EC51A4E18D04}"/>
    <cellStyle name="Millares 7 2 4 5" xfId="6958" xr:uid="{5FE50851-B3CE-4BC6-ADB7-E54AA1F75645}"/>
    <cellStyle name="Millares 7 2 4 6" xfId="6959" xr:uid="{136F5053-9F91-4667-8027-F5606D2DB2AF}"/>
    <cellStyle name="Millares 7 2 4 7" xfId="6953" xr:uid="{4AA441BF-FF45-42DC-9D78-43E37F378E2D}"/>
    <cellStyle name="Millares 7 2 5" xfId="1741" xr:uid="{BA57A69E-ECF1-4C80-898F-BA98ECC66E5D}"/>
    <cellStyle name="Millares 7 2 5 2" xfId="6961" xr:uid="{7A9F7DE9-284B-40CD-8275-53710B372681}"/>
    <cellStyle name="Millares 7 2 5 3" xfId="6962" xr:uid="{5AC1E761-CC29-4A11-A911-620A3824D8A8}"/>
    <cellStyle name="Millares 7 2 5 4" xfId="6963" xr:uid="{02C7227E-2E81-48AA-9AF4-8806DB82B30F}"/>
    <cellStyle name="Millares 7 2 5 5" xfId="6960" xr:uid="{A596EA60-9C68-4B22-99D0-3251137D4C52}"/>
    <cellStyle name="Millares 7 2 6" xfId="558" xr:uid="{9561AE9F-7BDE-4D3C-89E3-782E622595D7}"/>
    <cellStyle name="Millares 7 2 6 2" xfId="6965" xr:uid="{C3CE6B0C-6157-46CC-8FBF-0BE2DF5C9E46}"/>
    <cellStyle name="Millares 7 2 6 3" xfId="6966" xr:uid="{72F71837-0175-4DEE-BF60-0674C0C6D2B1}"/>
    <cellStyle name="Millares 7 2 6 4" xfId="6964" xr:uid="{A7B78D78-49EB-43F9-A9AF-88DCE90CC540}"/>
    <cellStyle name="Millares 7 2 7" xfId="2142" xr:uid="{7226AF36-4B60-4E22-9CF3-7DBD31B42A6E}"/>
    <cellStyle name="Millares 7 2 8" xfId="6967" xr:uid="{EAB853AC-43C2-4E42-ADB0-53C78FFEEDC2}"/>
    <cellStyle name="Millares 7 2 9" xfId="6968" xr:uid="{08CD77F0-325D-4B1F-AF9D-3AD936B618AB}"/>
    <cellStyle name="Millares 7 3" xfId="83" xr:uid="{19E33FDD-1E48-413D-94D6-7141C27DE33B}"/>
    <cellStyle name="Millares 7 3 10" xfId="6970" xr:uid="{30EAA6E8-1974-4826-ACBB-51DA8FB5893E}"/>
    <cellStyle name="Millares 7 3 11" xfId="6971" xr:uid="{E8360877-3790-4825-B44D-BADF5E731E20}"/>
    <cellStyle name="Millares 7 3 12" xfId="6972" xr:uid="{CDDC7E6B-AC0B-4A8B-9C2A-BE1E3BE74F35}"/>
    <cellStyle name="Millares 7 3 13" xfId="6969" xr:uid="{9AFFE863-6E39-47F5-BEE1-0F8F96174003}"/>
    <cellStyle name="Millares 7 3 2" xfId="226" xr:uid="{4CA4E4D1-EA8C-4D59-8BDC-A9A6BBD2F3DD}"/>
    <cellStyle name="Millares 7 3 2 2" xfId="1540" xr:uid="{A4DEBD7D-1EA1-4474-ACA8-EC3190D2668F}"/>
    <cellStyle name="Millares 7 3 2 2 2" xfId="5808" xr:uid="{4241B7F9-8482-4782-9D36-919C81BC70AD}"/>
    <cellStyle name="Millares 7 3 2 2 2 2" xfId="6975" xr:uid="{70E7FC2E-54F5-4AA1-9038-29C87947C7E1}"/>
    <cellStyle name="Millares 7 3 2 2 3" xfId="6974" xr:uid="{9D1972BA-9325-4AD7-9C49-D1C5BFCA1880}"/>
    <cellStyle name="Millares 7 3 2 3" xfId="1842" xr:uid="{F25F2C15-3824-4666-9E06-3A960CA084B6}"/>
    <cellStyle name="Millares 7 3 2 3 2" xfId="6976" xr:uid="{CF80B1F3-14D4-4AAA-A18B-2F37DB30C7C4}"/>
    <cellStyle name="Millares 7 3 2 4" xfId="1100" xr:uid="{2151DE5E-5FCD-4D79-AEAC-954DE2CE8A6D}"/>
    <cellStyle name="Millares 7 3 2 4 2" xfId="6977" xr:uid="{7F8FC061-4ACB-4BCC-9919-AE2BB5974C0E}"/>
    <cellStyle name="Millares 7 3 2 5" xfId="6978" xr:uid="{B76D910E-2CDE-4E83-A258-B1461DB1FB72}"/>
    <cellStyle name="Millares 7 3 2 6" xfId="6979" xr:uid="{48620FE6-1316-4C96-B902-F06D99C864D3}"/>
    <cellStyle name="Millares 7 3 2 7" xfId="6980" xr:uid="{ECB63AD8-494E-464C-B5FA-E8409F969EE3}"/>
    <cellStyle name="Millares 7 3 2 8" xfId="6981" xr:uid="{2F75881A-246D-4F14-8159-6FD0EBAB8412}"/>
    <cellStyle name="Millares 7 3 2 9" xfId="6973" xr:uid="{1619F4A4-04AF-4959-AE24-7B73F3A6B5A3}"/>
    <cellStyle name="Millares 7 3 3" xfId="326" xr:uid="{F1B3470D-4ED9-4BC2-AC2F-10033BBE9C27}"/>
    <cellStyle name="Millares 7 3 3 2" xfId="1941" xr:uid="{9B16A916-C5DD-4F6C-A9DE-9FFAD5B79544}"/>
    <cellStyle name="Millares 7 3 3 2 2" xfId="6984" xr:uid="{FCDD0459-71F2-4C52-B604-6FB24F5C4B31}"/>
    <cellStyle name="Millares 7 3 3 2 3" xfId="6983" xr:uid="{E13364A7-C3AD-4B54-8385-9D9FE68A2D8A}"/>
    <cellStyle name="Millares 7 3 3 3" xfId="1639" xr:uid="{1542C46E-A308-420E-875B-F9731665FF73}"/>
    <cellStyle name="Millares 7 3 3 3 2" xfId="6985" xr:uid="{FA34F427-2C6F-4AEB-B618-C2C469F9B22F}"/>
    <cellStyle name="Millares 7 3 3 4" xfId="6986" xr:uid="{7AC2CF18-DAFE-4733-9EBE-602524C63E02}"/>
    <cellStyle name="Millares 7 3 3 5" xfId="6987" xr:uid="{4BAD6B4F-9D09-4C7B-9B41-ABB8653BD931}"/>
    <cellStyle name="Millares 7 3 3 6" xfId="6988" xr:uid="{04A6BA9C-5429-4D9B-8847-296A7389B4A4}"/>
    <cellStyle name="Millares 7 3 3 7" xfId="6982" xr:uid="{45A98A0B-E8F5-40CF-A6B5-64C627C25D80}"/>
    <cellStyle name="Millares 7 3 4" xfId="426" xr:uid="{F3516D79-0D18-4024-A639-68FA18EA261B}"/>
    <cellStyle name="Millares 7 3 4 2" xfId="2041" xr:uid="{27B16351-9F56-47C5-8215-9C72CE8B311F}"/>
    <cellStyle name="Millares 7 3 4 2 2" xfId="6991" xr:uid="{9928442E-3C2B-4E5F-8534-2BDD40EFB4A5}"/>
    <cellStyle name="Millares 7 3 4 2 3" xfId="6990" xr:uid="{B0597000-CB8B-4D92-9A66-19796C4C1CD7}"/>
    <cellStyle name="Millares 7 3 4 3" xfId="1435" xr:uid="{F592C177-5B2C-430E-89B0-D0A25CC8DA84}"/>
    <cellStyle name="Millares 7 3 4 3 2" xfId="6992" xr:uid="{AD830697-1E95-4E67-BBDB-FE73EA0ED09B}"/>
    <cellStyle name="Millares 7 3 4 4" xfId="6993" xr:uid="{A442031A-C4EA-42BA-834C-2488939A7A15}"/>
    <cellStyle name="Millares 7 3 4 5" xfId="6994" xr:uid="{3FEB23C6-EE45-4C3D-8370-EFB7C26F5241}"/>
    <cellStyle name="Millares 7 3 4 6" xfId="6995" xr:uid="{3AC42E76-A3CF-43CE-838C-D7C10457373F}"/>
    <cellStyle name="Millares 7 3 4 7" xfId="6989" xr:uid="{8BA30F11-6561-4EB9-99B7-45053CE82D4E}"/>
    <cellStyle name="Millares 7 3 5" xfId="1742" xr:uid="{4838770B-B395-4998-ABE2-A9AB7818AEDD}"/>
    <cellStyle name="Millares 7 3 5 2" xfId="6997" xr:uid="{6CCE7C0B-71CA-4D40-8220-13CA96E452D3}"/>
    <cellStyle name="Millares 7 3 5 3" xfId="6998" xr:uid="{C7DBC393-CC1B-40C1-A896-C6554F1E02BD}"/>
    <cellStyle name="Millares 7 3 5 4" xfId="6999" xr:uid="{569B36A5-4879-4E5D-8799-B270377858B5}"/>
    <cellStyle name="Millares 7 3 5 5" xfId="6996" xr:uid="{5C26BF3D-63F2-4799-86FD-DEBADA17E378}"/>
    <cellStyle name="Millares 7 3 6" xfId="622" xr:uid="{2FC166F1-3BAD-47CE-9ABD-63BF69177614}"/>
    <cellStyle name="Millares 7 3 6 2" xfId="7000" xr:uid="{57E7D198-F164-4191-87AF-85A0DDD4DB5A}"/>
    <cellStyle name="Millares 7 3 7" xfId="2143" xr:uid="{22E3BC10-30FD-48B0-824E-6D391B1BF940}"/>
    <cellStyle name="Millares 7 3 8" xfId="7001" xr:uid="{22777999-D23D-49FB-9105-9E4EB994C2BF}"/>
    <cellStyle name="Millares 7 3 9" xfId="7002" xr:uid="{3FA34809-11B7-42B5-A9A4-B2683119386C}"/>
    <cellStyle name="Millares 7 4" xfId="224" xr:uid="{BCE2B0A2-AFE5-40C1-8194-BA37DCEC40E0}"/>
    <cellStyle name="Millares 7 4 10" xfId="7003" xr:uid="{E14FCE59-2FC4-4C71-B565-3B606D5419DA}"/>
    <cellStyle name="Millares 7 4 2" xfId="1164" xr:uid="{432A3FE6-FF6F-4047-B609-B48F33A4E214}"/>
    <cellStyle name="Millares 7 4 2 2" xfId="3640" xr:uid="{90CC8A16-929F-4BB3-85A1-E3F08F18429D}"/>
    <cellStyle name="Millares 7 4 2 2 2" xfId="7005" xr:uid="{B61667D9-D9F9-4F6B-A765-DBFCD96DB5D3}"/>
    <cellStyle name="Millares 7 4 2 3" xfId="7004" xr:uid="{0953701E-5F81-4057-9A9F-AE4543EA9DA5}"/>
    <cellStyle name="Millares 7 4 3" xfId="1538" xr:uid="{DE22C054-6F8A-43D8-A213-51E7FD56E22B}"/>
    <cellStyle name="Millares 7 4 3 2" xfId="5806" xr:uid="{2DC6706C-981A-4212-9DE0-4B87C3AF3D6C}"/>
    <cellStyle name="Millares 7 4 3 3" xfId="7006" xr:uid="{0BC8C0B2-0C24-4C36-AF72-D0F1A424B962}"/>
    <cellStyle name="Millares 7 4 4" xfId="1840" xr:uid="{3F5520D7-C75D-490E-9686-6AD173C2C9CF}"/>
    <cellStyle name="Millares 7 4 4 2" xfId="7007" xr:uid="{723E13EB-37FD-4B4B-8CE1-B0AC797A3C64}"/>
    <cellStyle name="Millares 7 4 5" xfId="686" xr:uid="{0A05E8B6-6419-49CD-9837-1253C059B7A2}"/>
    <cellStyle name="Millares 7 4 5 2" xfId="7008" xr:uid="{2AEA7F8F-2623-4147-97E9-07DAE6108563}"/>
    <cellStyle name="Millares 7 4 6" xfId="7009" xr:uid="{96601790-E0EC-4C91-B3FB-F5B8D05F588F}"/>
    <cellStyle name="Millares 7 4 7" xfId="7010" xr:uid="{DDDB5EA8-5000-499E-B88E-92004EC7C080}"/>
    <cellStyle name="Millares 7 4 8" xfId="7011" xr:uid="{8834DD8F-6BFD-4FD9-BD79-38DBD5933B81}"/>
    <cellStyle name="Millares 7 4 9" xfId="7012" xr:uid="{DE402825-D568-4A2C-8909-C996166CEAD4}"/>
    <cellStyle name="Millares 7 5" xfId="324" xr:uid="{43E1AC41-E168-4296-8447-27AACCEB679E}"/>
    <cellStyle name="Millares 7 5 2" xfId="1228" xr:uid="{1AC2343C-7044-4BE8-8104-75794D520012}"/>
    <cellStyle name="Millares 7 5 2 2" xfId="3703" xr:uid="{B56C6ECA-3D3D-4F76-A6E8-B1D1479ACC8B}"/>
    <cellStyle name="Millares 7 5 2 2 2" xfId="7015" xr:uid="{7A89A42D-0974-4D45-8A4E-DB3954FE74BA}"/>
    <cellStyle name="Millares 7 5 2 3" xfId="7014" xr:uid="{F4D2D2B8-BA7A-468F-9DDE-8C397831E896}"/>
    <cellStyle name="Millares 7 5 3" xfId="1637" xr:uid="{A68B62C8-EA55-4F7A-8350-80011F689D95}"/>
    <cellStyle name="Millares 7 5 3 2" xfId="5884" xr:uid="{C8006540-04D2-4229-ACE8-BE0BF8CE1C9A}"/>
    <cellStyle name="Millares 7 5 3 3" xfId="7016" xr:uid="{A9EC009A-615A-427B-AEC3-140E37F5C1AB}"/>
    <cellStyle name="Millares 7 5 4" xfId="1939" xr:uid="{E8F5AA4B-1BE1-4097-B48B-A9E2CD25AD5F}"/>
    <cellStyle name="Millares 7 5 4 2" xfId="7017" xr:uid="{D56A9B85-F1AA-4286-A791-72EB7F8A74BF}"/>
    <cellStyle name="Millares 7 5 5" xfId="750" xr:uid="{3E491129-E6FD-4E30-868E-1FF70A207926}"/>
    <cellStyle name="Millares 7 5 5 2" xfId="7018" xr:uid="{2179C4FF-9D36-4A42-82D0-75F509801899}"/>
    <cellStyle name="Millares 7 5 6" xfId="7019" xr:uid="{6EE15068-A368-4635-8AC7-E646F5E4C052}"/>
    <cellStyle name="Millares 7 5 7" xfId="7020" xr:uid="{509BC0F8-EB35-4874-82B4-F68544A9FB7B}"/>
    <cellStyle name="Millares 7 5 8" xfId="7013" xr:uid="{6CEBDA00-AF96-4BC8-BBE8-96CCF12C75C8}"/>
    <cellStyle name="Millares 7 6" xfId="424" xr:uid="{C27900C8-C73C-4FCB-A277-860BA3A7F6CB}"/>
    <cellStyle name="Millares 7 6 2" xfId="1293" xr:uid="{ADF5A4C2-6D2C-47AC-9359-B48A66D63B97}"/>
    <cellStyle name="Millares 7 6 2 2" xfId="3767" xr:uid="{8ED2234C-A2F6-4CB1-8FE5-47A448284956}"/>
    <cellStyle name="Millares 7 6 2 2 2" xfId="7023" xr:uid="{294D7620-F966-4509-803E-6481B5B8DB92}"/>
    <cellStyle name="Millares 7 6 2 3" xfId="7022" xr:uid="{D5C900D1-2F8F-4AA1-96E0-DA7E267A30D3}"/>
    <cellStyle name="Millares 7 6 3" xfId="2039" xr:uid="{C1BA5ED1-970D-4CE3-ACA3-2F050E827E63}"/>
    <cellStyle name="Millares 7 6 3 2" xfId="7024" xr:uid="{3D460EDA-5D1F-40FB-A884-24707CCE925F}"/>
    <cellStyle name="Millares 7 6 4" xfId="814" xr:uid="{716B4D81-6C7F-4E6D-AB8E-54138B38CA2C}"/>
    <cellStyle name="Millares 7 6 4 2" xfId="7025" xr:uid="{584A62E5-8547-4C5A-A3D3-E0E6CF3BB75A}"/>
    <cellStyle name="Millares 7 6 5" xfId="7026" xr:uid="{2B80FD29-9AA4-4A24-A9DE-1EAB013527DE}"/>
    <cellStyle name="Millares 7 6 6" xfId="7027" xr:uid="{6DB6D87D-2C2C-4623-9F1D-F77C328D0351}"/>
    <cellStyle name="Millares 7 6 7" xfId="7028" xr:uid="{5E36C6FF-C1C5-434A-8627-D69F8E1EBC79}"/>
    <cellStyle name="Millares 7 6 8" xfId="7021" xr:uid="{A0F1045E-09AC-4D54-9FDB-FFBEFE30F055}"/>
    <cellStyle name="Millares 7 7" xfId="995" xr:uid="{4DA8CA34-3AD0-4F1F-A616-DC6BBA5B467C}"/>
    <cellStyle name="Millares 7 7 2" xfId="3492" xr:uid="{66E84849-1CCC-427C-B10B-E46857C7CAE2}"/>
    <cellStyle name="Millares 7 7 2 2" xfId="7030" xr:uid="{9EB42714-651C-4BE8-A7EB-F075AEBA64E0}"/>
    <cellStyle name="Millares 7 7 3" xfId="7031" xr:uid="{D7283A30-2B1D-4859-BE60-F470E11C517B}"/>
    <cellStyle name="Millares 7 7 4" xfId="7032" xr:uid="{266D4CD4-FDEA-4383-B28D-74BD500CA782}"/>
    <cellStyle name="Millares 7 7 5" xfId="7029" xr:uid="{4AAF046D-93D6-47C1-9107-7707C1BC5CD4}"/>
    <cellStyle name="Millares 7 8" xfId="1433" xr:uid="{353B68AA-5F35-49C1-954C-0217375A7F8A}"/>
    <cellStyle name="Millares 7 8 2" xfId="5715" xr:uid="{94B3E6D4-D8A5-4315-A5CD-4A39D74C7792}"/>
    <cellStyle name="Millares 7 8 2 2" xfId="7034" xr:uid="{54BEF100-6EF3-44F0-8ADD-4ABE5C7DDF91}"/>
    <cellStyle name="Millares 7 8 3" xfId="7035" xr:uid="{BC3B8058-AF6A-4787-A9CB-681C0F766410}"/>
    <cellStyle name="Millares 7 8 4" xfId="7033" xr:uid="{4C2D9DF0-6C38-46E7-9959-811683388A52}"/>
    <cellStyle name="Millares 7 9" xfId="1740" xr:uid="{2E28A955-7F5D-4432-8B3F-29E6485D35AF}"/>
    <cellStyle name="Millares 7 9 2" xfId="7036" xr:uid="{3F3D04F0-A2AE-44F6-86B3-160839AF9F92}"/>
    <cellStyle name="Millares 8" xfId="84" xr:uid="{5B76EC2C-0462-41F5-A4DB-9EF2A4E78979}"/>
    <cellStyle name="Millares 8 10" xfId="7037" xr:uid="{ABB99531-8517-4D5B-BC17-04F50E1A598B}"/>
    <cellStyle name="Millares 8 11" xfId="4207" xr:uid="{CDDED1DF-CCE7-41F8-9A47-F480DD18331B}"/>
    <cellStyle name="Millares 8 2" xfId="85" xr:uid="{6A3747F2-289F-4C09-8A48-EAB86A950BD0}"/>
    <cellStyle name="Millares 8 2 10" xfId="4555" xr:uid="{94C77D46-9677-4C1D-8CC1-A8A353943C82}"/>
    <cellStyle name="Millares 8 2 2" xfId="228" xr:uid="{5B38ED10-D96D-43DE-AC21-ED502FDE54CD}"/>
    <cellStyle name="Millares 8 2 2 2" xfId="1844" xr:uid="{84790078-DA49-42F4-989B-A039817A483E}"/>
    <cellStyle name="Millares 8 2 2 2 2" xfId="7040" xr:uid="{B75B8209-4976-4991-B74C-E588F9C86B8C}"/>
    <cellStyle name="Millares 8 2 2 2 3" xfId="4825" xr:uid="{3C4AE9B0-3E5D-4C1C-9976-0E62BA61670B}"/>
    <cellStyle name="Millares 8 2 2 3" xfId="1542" xr:uid="{7D3CD9BB-BB99-4AFF-A9EF-6E70EDA5E9D5}"/>
    <cellStyle name="Millares 8 2 2 3 2" xfId="5810" xr:uid="{A83A66FD-F416-4F29-8DD9-4ED948296BE8}"/>
    <cellStyle name="Millares 8 2 2 4" xfId="3136" xr:uid="{67C5556A-064D-41EB-8D63-29445AEF87AF}"/>
    <cellStyle name="Millares 8 2 2 4 2" xfId="7039" xr:uid="{33A846BB-DE3E-4E7A-A629-80CCFE1DEFF6}"/>
    <cellStyle name="Millares 8 2 2 5" xfId="4639" xr:uid="{C2FCA562-5C66-46C5-9C7F-924FA7FA129F}"/>
    <cellStyle name="Millares 8 2 3" xfId="328" xr:uid="{1C5A0695-C2B8-4426-B443-8A651F4A7DD5}"/>
    <cellStyle name="Millares 8 2 3 2" xfId="1943" xr:uid="{C14F0047-557C-4700-9C7B-046EC7E1D35E}"/>
    <cellStyle name="Millares 8 2 3 2 2" xfId="4886" xr:uid="{A9C42B36-ECD8-4B5F-820D-020D48D023E5}"/>
    <cellStyle name="Millares 8 2 3 3" xfId="1641" xr:uid="{408391E6-5B36-41A7-ABDF-C4777A728AC0}"/>
    <cellStyle name="Millares 8 2 3 3 2" xfId="5887" xr:uid="{5D256C61-7FB2-42FA-91ED-DA969CF443CB}"/>
    <cellStyle name="Millares 8 2 3 4" xfId="3117" xr:uid="{56D34023-DDEB-4886-B177-80AF05C8D961}"/>
    <cellStyle name="Millares 8 2 3 4 2" xfId="7041" xr:uid="{F946A1F6-715B-46E7-8904-F0A93898C7B3}"/>
    <cellStyle name="Millares 8 2 3 5" xfId="4700" xr:uid="{77F7083F-B7A2-496A-9676-45BA6FA28F81}"/>
    <cellStyle name="Millares 8 2 4" xfId="428" xr:uid="{FFE44099-3F94-4FE5-986F-BF68C6922DF7}"/>
    <cellStyle name="Millares 8 2 4 2" xfId="2043" xr:uid="{76BBAC51-3121-44CD-B738-8D8741CA31A0}"/>
    <cellStyle name="Millares 8 2 4 2 2" xfId="4948" xr:uid="{46EDD014-2789-4343-AA9C-238CA47F65FE}"/>
    <cellStyle name="Millares 8 2 4 3" xfId="1437" xr:uid="{E7DB2D4A-5FA3-4B11-854C-7B1153FCE222}"/>
    <cellStyle name="Millares 8 2 4 3 2" xfId="5717" xr:uid="{B0B3A556-2789-4842-89AF-6B82CEF283BB}"/>
    <cellStyle name="Millares 8 2 4 4" xfId="7042" xr:uid="{E23C51B6-ACBE-4B41-85B2-140EAF27EE3C}"/>
    <cellStyle name="Millares 8 2 4 5" xfId="4578" xr:uid="{B78C5F7C-F516-4D00-A20B-D6F2EB727E2D}"/>
    <cellStyle name="Millares 8 2 5" xfId="1744" xr:uid="{5DFFF737-DD7C-4CDF-9151-50D7AF33A31A}"/>
    <cellStyle name="Millares 8 2 5 2" xfId="7043" xr:uid="{0BD99AFA-4183-4833-8CC0-11256321AFBE}"/>
    <cellStyle name="Millares 8 2 5 3" xfId="4764" xr:uid="{04FE5269-C026-4AC8-997A-6E94639504F7}"/>
    <cellStyle name="Millares 8 2 6" xfId="1351" xr:uid="{E7899C4E-DE35-4EB4-81DF-4D9CB9E916BA}"/>
    <cellStyle name="Millares 8 2 6 2" xfId="7044" xr:uid="{4FF7757D-D7A9-476D-9DC9-BAF45E905D99}"/>
    <cellStyle name="Millares 8 2 6 3" xfId="5685" xr:uid="{E6119ACC-C92E-417E-A982-8F4E94353099}"/>
    <cellStyle name="Millares 8 2 7" xfId="2145" xr:uid="{DD7B5295-D1EE-4855-8275-09509606D1BD}"/>
    <cellStyle name="Millares 8 2 7 2" xfId="7045" xr:uid="{EE3E459C-8ECB-4EC7-BB2D-77FAE99615FA}"/>
    <cellStyle name="Millares 8 2 8" xfId="2884" xr:uid="{EEE84660-3A37-4090-99AD-83A03A992AE3}"/>
    <cellStyle name="Millares 8 2 8 2" xfId="7046" xr:uid="{22B5631B-9A61-4576-BD0B-B9457BBC7321}"/>
    <cellStyle name="Millares 8 2 9" xfId="7038" xr:uid="{EB5BA95D-B3F9-4C9D-8D7C-F21100938FB0}"/>
    <cellStyle name="Millares 8 3" xfId="227" xr:uid="{F7D36016-3C54-4B71-B4CB-2A0E931E1DB7}"/>
    <cellStyle name="Millares 8 3 2" xfId="1843" xr:uid="{751FAF4B-E8F2-46B4-99DD-85393594FEFE}"/>
    <cellStyle name="Millares 8 3 2 2" xfId="7048" xr:uid="{1ED90E9C-BC3C-479F-A460-B2DC1996AD9D}"/>
    <cellStyle name="Millares 8 3 2 3" xfId="4824" xr:uid="{9ED08E53-A6EC-4237-AB6A-A571A02B00AE}"/>
    <cellStyle name="Millares 8 3 3" xfId="1541" xr:uid="{20FB48FA-5479-47EE-B8F8-81E12AC749B5}"/>
    <cellStyle name="Millares 8 3 3 2" xfId="7049" xr:uid="{49174736-B06A-4AD9-86B3-933E695A0072}"/>
    <cellStyle name="Millares 8 3 3 3" xfId="5809" xr:uid="{D2F30C03-156B-4C53-B533-CA284491E93E}"/>
    <cellStyle name="Millares 8 3 4" xfId="3135" xr:uid="{C4E67BE2-33A0-4E39-A4AB-2473DC5B3927}"/>
    <cellStyle name="Millares 8 3 4 2" xfId="7050" xr:uid="{AFF05759-ADEF-44FB-8689-607707C63C58}"/>
    <cellStyle name="Millares 8 3 5" xfId="7047" xr:uid="{47CC0D50-325D-48D7-8882-B2FA2295F83C}"/>
    <cellStyle name="Millares 8 3 6" xfId="4638" xr:uid="{6BD87F37-8E31-4977-B043-3F6CB073ED6B}"/>
    <cellStyle name="Millares 8 4" xfId="327" xr:uid="{0104B2CD-0680-4365-9F9A-838FDAAC9968}"/>
    <cellStyle name="Millares 8 4 2" xfId="1942" xr:uid="{657C4A15-88AD-4106-A5BE-6B93CECE196D}"/>
    <cellStyle name="Millares 8 4 2 2" xfId="7052" xr:uid="{F9F6491A-AFA3-435B-97C7-7A6429A352E6}"/>
    <cellStyle name="Millares 8 4 2 3" xfId="4885" xr:uid="{2D90CA75-F848-44BF-87D2-99106910C77C}"/>
    <cellStyle name="Millares 8 4 3" xfId="1640" xr:uid="{0C47DF8F-A88F-458C-8B54-656EFA983BD4}"/>
    <cellStyle name="Millares 8 4 3 2" xfId="7053" xr:uid="{79CDEDFE-E204-499A-881D-A08497882BEB}"/>
    <cellStyle name="Millares 8 4 3 3" xfId="5886" xr:uid="{55E6AA16-0B4A-4498-97B3-61C27F921ADB}"/>
    <cellStyle name="Millares 8 4 4" xfId="3116" xr:uid="{1FCFC267-1BE4-47F8-94C5-19283C3C73AD}"/>
    <cellStyle name="Millares 8 4 4 2" xfId="7051" xr:uid="{BB29FBD9-E1C2-4CF1-8122-6364A7931EA6}"/>
    <cellStyle name="Millares 8 4 5" xfId="4699" xr:uid="{8EF78316-4F65-47F9-9977-6968FEF6EB98}"/>
    <cellStyle name="Millares 8 5" xfId="427" xr:uid="{5CBC7E4C-0DD6-4B01-A8BE-6BC667F338D8}"/>
    <cellStyle name="Millares 8 5 2" xfId="2042" xr:uid="{5E626C22-4FC3-46CD-BD9A-E97172ED1FD9}"/>
    <cellStyle name="Millares 8 5 2 2" xfId="4947" xr:uid="{2A63127E-2A19-4094-84AD-9CE879B8B771}"/>
    <cellStyle name="Millares 8 5 3" xfId="1436" xr:uid="{4327D5F5-3615-4373-A955-80B07891BCAA}"/>
    <cellStyle name="Millares 8 5 3 2" xfId="5716" xr:uid="{842D7827-3163-4269-878F-AB1594A7101E}"/>
    <cellStyle name="Millares 8 5 4" xfId="7054" xr:uid="{EADD907A-6451-49AC-94C0-28B1B475EE0F}"/>
    <cellStyle name="Millares 8 5 5" xfId="4577" xr:uid="{D2B5A8E2-429D-4076-BFB7-82DC6A76C0A1}"/>
    <cellStyle name="Millares 8 6" xfId="1743" xr:uid="{A8381314-A6D3-44D6-A3FB-57D54553A3CA}"/>
    <cellStyle name="Millares 8 6 2" xfId="7055" xr:uid="{D919A8BB-151B-4AC7-8539-B0F38E3892A7}"/>
    <cellStyle name="Millares 8 6 3" xfId="4763" xr:uid="{FE4537B8-A358-41E7-AE2E-F79B90E682BD}"/>
    <cellStyle name="Millares 8 7" xfId="872" xr:uid="{DAAAEA22-BC6A-4DB4-89E0-CC526F37D038}"/>
    <cellStyle name="Millares 8 7 2" xfId="7056" xr:uid="{1349E19E-AC1E-4758-9683-BC7D5552DAF5}"/>
    <cellStyle name="Millares 8 7 3" xfId="5337" xr:uid="{09D0BBDA-AAFA-4524-A647-0BB6135CB57F}"/>
    <cellStyle name="Millares 8 8" xfId="2144" xr:uid="{D45EB031-ABD6-4F10-B8E8-D0BAA6939E1D}"/>
    <cellStyle name="Millares 8 8 2" xfId="7057" xr:uid="{1D8F3EF7-DA7D-4A63-8716-A31EF733A52D}"/>
    <cellStyle name="Millares 8 9" xfId="2536" xr:uid="{56847036-B7AD-4803-8284-DBB18DAA4EEE}"/>
    <cellStyle name="Millares 8 9 2" xfId="7058" xr:uid="{13CBEE51-5456-4F02-ADF0-0FE703923146}"/>
    <cellStyle name="Millares 9" xfId="86" xr:uid="{2EF56949-4D98-42FF-81B8-73B61F8B8705}"/>
    <cellStyle name="Millares 9 10" xfId="7060" xr:uid="{BA0B37C6-48A6-4D81-8472-D303568B0A1B}"/>
    <cellStyle name="Millares 9 11" xfId="7061" xr:uid="{72BE8E25-B7C6-4F38-93F5-877818355F46}"/>
    <cellStyle name="Millares 9 12" xfId="7059" xr:uid="{4E589C63-0445-4ED1-961C-764C27D1E416}"/>
    <cellStyle name="Millares 9 2" xfId="87" xr:uid="{1E917CC4-90D3-4828-AA3F-6AF8959133C6}"/>
    <cellStyle name="Millares 9 2 2" xfId="230" xr:uid="{DF680EA6-AD27-49F0-99C0-BD2A009EA349}"/>
    <cellStyle name="Millares 9 2 2 2" xfId="1846" xr:uid="{F7D42EB6-B181-41A7-9B7D-82EF04549D22}"/>
    <cellStyle name="Millares 9 2 2 2 2" xfId="7064" xr:uid="{12C3A6FF-93EE-4493-8842-C8F7D1165E7D}"/>
    <cellStyle name="Millares 9 2 2 3" xfId="1544" xr:uid="{E81E5FFD-4117-48FB-81CB-B8283F0F1A4F}"/>
    <cellStyle name="Millares 9 2 2 4" xfId="7063" xr:uid="{70409568-76D9-412A-9503-707FF03693B8}"/>
    <cellStyle name="Millares 9 2 3" xfId="330" xr:uid="{155A116C-AA49-4ED1-AD2A-2D624F9D70C7}"/>
    <cellStyle name="Millares 9 2 3 2" xfId="1945" xr:uid="{470EF55A-E956-4DE7-A687-8B3E0EB0413A}"/>
    <cellStyle name="Millares 9 2 3 3" xfId="1643" xr:uid="{7624E928-3F4E-4FBC-ABE4-95776DF78618}"/>
    <cellStyle name="Millares 9 2 3 4" xfId="7065" xr:uid="{E044808D-96A6-402A-A808-82307ECF2C75}"/>
    <cellStyle name="Millares 9 2 4" xfId="430" xr:uid="{7B6C197D-7F06-482C-ABBC-DEE2A78CA5F3}"/>
    <cellStyle name="Millares 9 2 4 2" xfId="2045" xr:uid="{82A1AB00-A257-4C5D-8FC5-22D90E763B88}"/>
    <cellStyle name="Millares 9 2 4 3" xfId="1439" xr:uid="{E07CCA49-804D-4230-8FC2-EF3F86FBD433}"/>
    <cellStyle name="Millares 9 2 4 4" xfId="7066" xr:uid="{C71755DB-F9A3-48D2-B855-6EB1ACDA2971}"/>
    <cellStyle name="Millares 9 2 5" xfId="1746" xr:uid="{433C0AA5-4834-48F0-B1CF-F79FC3AA5733}"/>
    <cellStyle name="Millares 9 2 5 2" xfId="7067" xr:uid="{F3EC887D-A8BB-42CD-B586-6537300418F5}"/>
    <cellStyle name="Millares 9 2 6" xfId="1352" xr:uid="{0AC7E00C-1C7F-4FD8-B132-532371B56D7E}"/>
    <cellStyle name="Millares 9 2 6 2" xfId="7068" xr:uid="{AE5702C4-4FB3-4D84-85D4-C965E11196DE}"/>
    <cellStyle name="Millares 9 2 7" xfId="2147" xr:uid="{8E93F246-9105-4B71-8C84-8FB259F57253}"/>
    <cellStyle name="Millares 9 2 8" xfId="7069" xr:uid="{E4A784B6-BF7A-4BDD-86B1-9AE678F65B53}"/>
    <cellStyle name="Millares 9 2 9" xfId="7062" xr:uid="{93172C12-1141-44CC-89F0-F425D4C32555}"/>
    <cellStyle name="Millares 9 3" xfId="229" xr:uid="{5AF6DB6C-40D9-4FB9-9115-0BF2F36A5980}"/>
    <cellStyle name="Millares 9 3 2" xfId="1845" xr:uid="{C40E38A6-47D5-4816-AD79-CEDE8E1046A6}"/>
    <cellStyle name="Millares 9 3 2 2" xfId="7072" xr:uid="{57B48645-109C-4417-980B-985E5192F951}"/>
    <cellStyle name="Millares 9 3 2 3" xfId="7071" xr:uid="{3663984F-047E-47B9-826A-28A0762A34EF}"/>
    <cellStyle name="Millares 9 3 3" xfId="1543" xr:uid="{F7BBE1E6-83D9-41E6-9C27-49B6E4CC3173}"/>
    <cellStyle name="Millares 9 3 3 2" xfId="7073" xr:uid="{793FBA94-54DE-4E2A-AA31-81BDE0CC895C}"/>
    <cellStyle name="Millares 9 3 4" xfId="7074" xr:uid="{DE17F0C9-3677-45E4-B30A-892833CEA63C}"/>
    <cellStyle name="Millares 9 3 5" xfId="7075" xr:uid="{2B03EC05-0BCC-41BE-884F-A4C0229E47BA}"/>
    <cellStyle name="Millares 9 3 6" xfId="7076" xr:uid="{89027337-DBF7-4900-92DB-5A923381EA97}"/>
    <cellStyle name="Millares 9 3 7" xfId="7070" xr:uid="{537A53B3-9D1F-452E-B61A-CD2A9972F20E}"/>
    <cellStyle name="Millares 9 4" xfId="329" xr:uid="{6EFBF02A-99C1-43FB-B99D-43379034A449}"/>
    <cellStyle name="Millares 9 4 2" xfId="1944" xr:uid="{B8F05D22-16D9-4AB2-AC14-E5BB41422ED5}"/>
    <cellStyle name="Millares 9 4 2 2" xfId="7078" xr:uid="{0501A0EA-E1AE-494C-868E-25B7F61A82D9}"/>
    <cellStyle name="Millares 9 4 3" xfId="1642" xr:uid="{224AF05D-D5B5-4272-AE38-EADB598F1DC5}"/>
    <cellStyle name="Millares 9 4 3 2" xfId="7079" xr:uid="{3B40AA96-7FA2-4F84-A386-25BCEF0403C9}"/>
    <cellStyle name="Millares 9 4 4" xfId="7080" xr:uid="{B1DB357B-2473-4801-82B2-4C678A59827B}"/>
    <cellStyle name="Millares 9 4 5" xfId="7077" xr:uid="{D67B302C-BDC6-4C7B-A9B0-ED6B71966FB9}"/>
    <cellStyle name="Millares 9 5" xfId="429" xr:uid="{A0532BB8-A36D-405D-AD9E-4C521184385B}"/>
    <cellStyle name="Millares 9 5 2" xfId="2044" xr:uid="{10C349E6-5B8B-4592-8F06-7F4F64CD437F}"/>
    <cellStyle name="Millares 9 5 2 2" xfId="7082" xr:uid="{43DEC23F-7F26-441B-BBDF-D26EC6CD5B59}"/>
    <cellStyle name="Millares 9 5 3" xfId="1438" xr:uid="{FC0D5179-EE84-4D05-8F2C-078A54852DE7}"/>
    <cellStyle name="Millares 9 5 3 2" xfId="7083" xr:uid="{7273E85A-1027-4004-A959-2691A5E8D632}"/>
    <cellStyle name="Millares 9 5 4" xfId="7081" xr:uid="{452EDB91-825E-451E-8ED0-64F56584C0EE}"/>
    <cellStyle name="Millares 9 6" xfId="1745" xr:uid="{0F8AC8AB-FB0F-4568-B109-43ADD9A25D01}"/>
    <cellStyle name="Millares 9 6 2" xfId="7084" xr:uid="{6B84E426-9EE5-4699-864E-82A1B2047A90}"/>
    <cellStyle name="Millares 9 7" xfId="873" xr:uid="{DF8E958B-B0ED-4783-B01B-BFE0BC1C2C09}"/>
    <cellStyle name="Millares 9 7 2" xfId="7085" xr:uid="{26552FFD-1D3B-47EE-A7D8-9C8C5005EF9B}"/>
    <cellStyle name="Millares 9 8" xfId="2146" xr:uid="{4C54D6AD-FB20-4378-BB48-D142476EC426}"/>
    <cellStyle name="Millares 9 9" xfId="7086" xr:uid="{8823F1E8-7F0A-4528-ACD5-29CECFB018D9}"/>
    <cellStyle name="Moneda 2" xfId="88" xr:uid="{1AF00184-240B-4037-9761-B356403E76CE}"/>
    <cellStyle name="Moneda 2 10" xfId="1747" xr:uid="{51ED83CD-EAA8-4209-B876-DE85BC45F3D4}"/>
    <cellStyle name="Moneda 2 10 2" xfId="4765" xr:uid="{8503BC9A-39CA-4AA3-817C-523095F13FC0}"/>
    <cellStyle name="Moneda 2 11" xfId="516" xr:uid="{7BA30127-F7B6-4F95-881D-A83144409BC4}"/>
    <cellStyle name="Moneda 2 11 2" xfId="5032" xr:uid="{B05F3A5A-BDF6-41E4-AEAD-BC5AE2286C4A}"/>
    <cellStyle name="Moneda 2 12" xfId="2148" xr:uid="{FB8BFE23-03C7-464F-9B66-A466D9C3F969}"/>
    <cellStyle name="Moneda 2 12 2" xfId="7087" xr:uid="{3684EBDC-169B-4F97-B1B3-B50DB05CD691}"/>
    <cellStyle name="Moneda 2 13" xfId="2231" xr:uid="{9C8EB469-D2E4-4F5E-BDA5-E0DA4BCB36F0}"/>
    <cellStyle name="Moneda 2 14" xfId="3902" xr:uid="{37BF09D0-3C6C-4A70-9576-3D3216DE6D39}"/>
    <cellStyle name="Moneda 2 2" xfId="89" xr:uid="{2BBB610C-0C10-433A-A8F9-974E41A5C9D8}"/>
    <cellStyle name="Moneda 2 2 10" xfId="522" xr:uid="{DC1562F1-D79B-4FB6-BDE5-0758EEF42029}"/>
    <cellStyle name="Moneda 2 2 10 2" xfId="5034" xr:uid="{63B9C4BF-9718-45C1-9C8C-B82CC588C2CD}"/>
    <cellStyle name="Moneda 2 2 11" xfId="2149" xr:uid="{185ADE02-4A86-4A3B-8484-DC37820A42D1}"/>
    <cellStyle name="Moneda 2 2 11 2" xfId="7088" xr:uid="{68CC69CD-DC54-417F-AE2D-96D1F06858F8}"/>
    <cellStyle name="Moneda 2 2 12" xfId="2233" xr:uid="{A77427F7-5CA8-4C89-8C05-9B610A64A5E1}"/>
    <cellStyle name="Moneda 2 2 13" xfId="3904" xr:uid="{AB59B8B4-C1EC-4BDA-99EE-F4279F624E46}"/>
    <cellStyle name="Moneda 2 2 2" xfId="232" xr:uid="{F24C6C7B-1A1F-45CF-82C5-57D9F3DC92EC}"/>
    <cellStyle name="Moneda 2 2 2 2" xfId="1038" xr:uid="{BFC36ED0-365F-4804-AE25-2DB1C9B4D0EA}"/>
    <cellStyle name="Moneda 2 2 2 2 2" xfId="3526" xr:uid="{62CDA5FE-CA64-40A1-80EB-617E94BBCEAE}"/>
    <cellStyle name="Moneda 2 2 2 2 2 2" xfId="5411" xr:uid="{4A099873-0560-435C-B230-1075C9C920FF}"/>
    <cellStyle name="Moneda 2 2 2 2 3" xfId="2610" xr:uid="{AC506946-26AC-4844-AF8F-77558A5F4B2F}"/>
    <cellStyle name="Moneda 2 2 2 2 3 2" xfId="7090" xr:uid="{D5CA3AA3-11AA-4E41-96DC-CD74360BE7E2}"/>
    <cellStyle name="Moneda 2 2 2 2 4" xfId="4281" xr:uid="{4037ABAE-F624-426B-A183-B34FD97BDD8C}"/>
    <cellStyle name="Moneda 2 2 2 3" xfId="1546" xr:uid="{2A27B8D0-0D96-470F-802A-3038C9188229}"/>
    <cellStyle name="Moneda 2 2 2 3 2" xfId="3141" xr:uid="{414BF99E-C1FA-48AB-B16C-934D9332F249}"/>
    <cellStyle name="Moneda 2 2 2 3 2 2" xfId="5812" xr:uid="{3BFE6451-FBC8-46F5-8CC0-2ED23C306C9C}"/>
    <cellStyle name="Moneda 2 2 2 3 3" xfId="7091" xr:uid="{C72447DC-C9C2-481F-B5AB-75E7CC95D0E4}"/>
    <cellStyle name="Moneda 2 2 2 3 4" xfId="4641" xr:uid="{32E80EF5-400A-4D42-A0CC-4E668FF14AC0}"/>
    <cellStyle name="Moneda 2 2 2 4" xfId="1848" xr:uid="{9DA4E99F-4FBF-48E4-B811-4D7F318D8C01}"/>
    <cellStyle name="Moneda 2 2 2 4 2" xfId="7092" xr:uid="{35688230-071C-4170-B8E0-04E5D277BDA1}"/>
    <cellStyle name="Moneda 2 2 2 4 3" xfId="4827" xr:uid="{12FCC4D2-50D7-4764-BC34-5F0151B55A79}"/>
    <cellStyle name="Moneda 2 2 2 5" xfId="560" xr:uid="{F87CF457-6B6C-4230-8110-9B1A6B2D1A0F}"/>
    <cellStyle name="Moneda 2 2 2 5 2" xfId="5063" xr:uid="{74D76A2F-9E32-412B-B197-DFD592DE437D}"/>
    <cellStyle name="Moneda 2 2 2 6" xfId="2262" xr:uid="{42F30555-5D0B-4843-841F-4CD4C0B71ABA}"/>
    <cellStyle name="Moneda 2 2 2 6 2" xfId="7089" xr:uid="{662A82F0-0456-4C87-84C7-D0AE1E1ADE9E}"/>
    <cellStyle name="Moneda 2 2 2 7" xfId="3933" xr:uid="{B3B95986-61BB-4C4D-9112-0C2293AFE6A4}"/>
    <cellStyle name="Moneda 2 2 3" xfId="332" xr:uid="{33FF679E-E5BD-48AA-B59E-587E04DD7448}"/>
    <cellStyle name="Moneda 2 2 3 2" xfId="1102" xr:uid="{2A02554A-E37E-4548-BC29-097EA8D03AD6}"/>
    <cellStyle name="Moneda 2 2 3 2 2" xfId="3581" xr:uid="{EFCCFE00-F047-4B21-8B0F-5BB904629389}"/>
    <cellStyle name="Moneda 2 2 3 2 2 2" xfId="5466" xr:uid="{B20D7DE1-EED7-4639-9263-861B5F411C03}"/>
    <cellStyle name="Moneda 2 2 3 2 3" xfId="2665" xr:uid="{6550FD27-1681-4307-82A0-C61585B062FE}"/>
    <cellStyle name="Moneda 2 2 3 2 3 2" xfId="7094" xr:uid="{B0BFE550-7BE2-40A6-9784-D8BB72611867}"/>
    <cellStyle name="Moneda 2 2 3 2 4" xfId="4336" xr:uid="{3F7F1C41-664A-46ED-8DD3-B3C1F8354B5F}"/>
    <cellStyle name="Moneda 2 2 3 3" xfId="1645" xr:uid="{DA03BDD1-CF84-496D-A89C-1D7C676263A1}"/>
    <cellStyle name="Moneda 2 2 3 3 2" xfId="3192" xr:uid="{570258F4-A21E-4341-A79D-E7FCFB6B4282}"/>
    <cellStyle name="Moneda 2 2 3 3 2 2" xfId="5889" xr:uid="{4178E857-A5A1-4B23-9D5C-364022E57EFC}"/>
    <cellStyle name="Moneda 2 2 3 3 3" xfId="4702" xr:uid="{65C39081-26FC-4357-960B-C90B75E06144}"/>
    <cellStyle name="Moneda 2 2 3 4" xfId="1947" xr:uid="{C78206C2-12C0-4B81-A4D2-3BF8422F0726}"/>
    <cellStyle name="Moneda 2 2 3 4 2" xfId="4888" xr:uid="{B5A46567-DF28-4761-BDBA-16489AF39714}"/>
    <cellStyle name="Moneda 2 2 3 5" xfId="624" xr:uid="{4F454A5C-4B50-4247-A5AA-8EF8D89B7860}"/>
    <cellStyle name="Moneda 2 2 3 5 2" xfId="5118" xr:uid="{FA5BDC3D-40BD-4284-85F7-7CA182774493}"/>
    <cellStyle name="Moneda 2 2 3 6" xfId="2317" xr:uid="{90A81DB6-71DE-42E9-9486-4CA0C3FFEC1A}"/>
    <cellStyle name="Moneda 2 2 3 6 2" xfId="7093" xr:uid="{2CD73D0C-991E-4CA6-9CCC-2FDD01429E1D}"/>
    <cellStyle name="Moneda 2 2 3 7" xfId="3988" xr:uid="{684F9031-C020-4E40-A172-A0DC21E57025}"/>
    <cellStyle name="Moneda 2 2 4" xfId="432" xr:uid="{A3FD33AA-F672-4630-82B8-F1AE51EE3FA4}"/>
    <cellStyle name="Moneda 2 2 4 2" xfId="1166" xr:uid="{88CE13F1-C1CA-4471-AE70-402121AB84D2}"/>
    <cellStyle name="Moneda 2 2 4 2 2" xfId="3642" xr:uid="{E6E22BED-B7E0-421D-8659-7FB530C261EE}"/>
    <cellStyle name="Moneda 2 2 4 2 2 2" xfId="5521" xr:uid="{873F8F5E-2008-46C5-AE7A-DCF825B04E8C}"/>
    <cellStyle name="Moneda 2 2 4 2 3" xfId="2720" xr:uid="{F711F990-F485-4819-B2FB-DD69E50DB712}"/>
    <cellStyle name="Moneda 2 2 4 2 3 2" xfId="7096" xr:uid="{AB4D2CF0-0A8D-4008-AED6-56D37F158AA5}"/>
    <cellStyle name="Moneda 2 2 4 2 4" xfId="4391" xr:uid="{98AE5F02-3B14-4D88-8E77-552E5F7A3E92}"/>
    <cellStyle name="Moneda 2 2 4 3" xfId="2047" xr:uid="{1102B8CC-4155-4686-9714-343F4E76B525}"/>
    <cellStyle name="Moneda 2 2 4 3 2" xfId="3247" xr:uid="{89592C56-E948-4E8F-B437-7683D1B6E420}"/>
    <cellStyle name="Moneda 2 2 4 3 3" xfId="4950" xr:uid="{ABC5A2DC-AD59-4D77-9399-611A4C4146B4}"/>
    <cellStyle name="Moneda 2 2 4 4" xfId="688" xr:uid="{F80C6843-E9D6-4A8C-BEF5-7FEDE9D6B8A9}"/>
    <cellStyle name="Moneda 2 2 4 4 2" xfId="5173" xr:uid="{E16BDA36-7A06-491F-9227-A8D90814C1C0}"/>
    <cellStyle name="Moneda 2 2 4 5" xfId="2372" xr:uid="{84E1B8DE-835A-4871-BDAA-7296E6A3C760}"/>
    <cellStyle name="Moneda 2 2 4 5 2" xfId="7095" xr:uid="{1C2709BE-015C-4F78-B0D8-DF8E2D8B19C0}"/>
    <cellStyle name="Moneda 2 2 4 6" xfId="4043" xr:uid="{69FBDF58-2BB4-4EDC-898E-99DBB8A9C20A}"/>
    <cellStyle name="Moneda 2 2 5" xfId="752" xr:uid="{8D9E3593-D840-4E00-9700-261072F6A3F7}"/>
    <cellStyle name="Moneda 2 2 5 2" xfId="1230" xr:uid="{47B4463A-37DF-49BA-BA46-A70B556D7D7C}"/>
    <cellStyle name="Moneda 2 2 5 2 2" xfId="3705" xr:uid="{7636EE1D-B13D-4F57-8FED-E3E1682E827B}"/>
    <cellStyle name="Moneda 2 2 5 2 2 2" xfId="5576" xr:uid="{FB81C459-034C-4C1C-BF74-9B27565981D0}"/>
    <cellStyle name="Moneda 2 2 5 2 3" xfId="2775" xr:uid="{90F64896-0801-4599-82B3-587939EDDEF8}"/>
    <cellStyle name="Moneda 2 2 5 2 3 2" xfId="7098" xr:uid="{467C0999-CAAB-49DD-B0A1-5FCF5F9699F0}"/>
    <cellStyle name="Moneda 2 2 5 2 4" xfId="4446" xr:uid="{83E3FE9B-EE8C-41AE-AAC2-508939F033F9}"/>
    <cellStyle name="Moneda 2 2 5 3" xfId="3302" xr:uid="{D8943F11-BCC6-45C7-BE02-BB622EB83175}"/>
    <cellStyle name="Moneda 2 2 5 3 2" xfId="5228" xr:uid="{C20C0C42-24FF-4635-BB8C-F002CEC4B4F4}"/>
    <cellStyle name="Moneda 2 2 5 4" xfId="2427" xr:uid="{8948893B-1C84-453C-86E5-4A367A03DF06}"/>
    <cellStyle name="Moneda 2 2 5 4 2" xfId="7097" xr:uid="{592FDF58-9700-4BA8-A2C0-3B5A53DF368B}"/>
    <cellStyle name="Moneda 2 2 5 5" xfId="4098" xr:uid="{EE82977C-BAE0-48DB-9805-47C179087FC1}"/>
    <cellStyle name="Moneda 2 2 6" xfId="816" xr:uid="{4E4660A7-229A-4617-A4E4-08BD73B9F52B}"/>
    <cellStyle name="Moneda 2 2 6 2" xfId="1295" xr:uid="{CBBF63DE-AF9D-4AC2-9A72-F93034446E1D}"/>
    <cellStyle name="Moneda 2 2 6 2 2" xfId="3769" xr:uid="{423D46D0-1E9D-4E57-95C5-80CAC52A2F69}"/>
    <cellStyle name="Moneda 2 2 6 2 2 2" xfId="5631" xr:uid="{8B7D17C6-33DB-4B37-B34B-B7AF6F0925EE}"/>
    <cellStyle name="Moneda 2 2 6 2 3" xfId="2830" xr:uid="{089C81BD-2837-4B9F-B92F-7BA87E2075E2}"/>
    <cellStyle name="Moneda 2 2 6 2 4" xfId="4501" xr:uid="{64A6B308-D890-44CF-80BE-5399AF6F7291}"/>
    <cellStyle name="Moneda 2 2 6 3" xfId="3357" xr:uid="{B42FD3C2-FBDF-433D-A862-60A6BBC86B76}"/>
    <cellStyle name="Moneda 2 2 6 3 2" xfId="5283" xr:uid="{F5CC1244-C00D-4513-B7BF-3A8D61598BF6}"/>
    <cellStyle name="Moneda 2 2 6 4" xfId="2482" xr:uid="{81E0CD54-20C9-4323-9A58-B2228AF48394}"/>
    <cellStyle name="Moneda 2 2 6 4 2" xfId="7099" xr:uid="{456ECE8F-13F3-4E53-8504-D05363E4E043}"/>
    <cellStyle name="Moneda 2 2 6 5" xfId="4153" xr:uid="{812562AA-2C26-4710-AA8F-C653507C8DD4}"/>
    <cellStyle name="Moneda 2 2 7" xfId="1000" xr:uid="{D4B3732E-02B5-419B-AEFF-F4ACF04AC005}"/>
    <cellStyle name="Moneda 2 2 7 2" xfId="3497" xr:uid="{A1976E1D-017C-4357-A3EF-5D53EC86CB8F}"/>
    <cellStyle name="Moneda 2 2 7 2 2" xfId="5382" xr:uid="{E5FDDFA7-94A8-4919-8E84-1C8D3B4F016B}"/>
    <cellStyle name="Moneda 2 2 7 3" xfId="2581" xr:uid="{4471128C-CD5B-4FAA-BCF1-280FDA46EA8E}"/>
    <cellStyle name="Moneda 2 2 7 4" xfId="4252" xr:uid="{0613BA50-53DB-41B4-A9A5-46DF4001845C}"/>
    <cellStyle name="Moneda 2 2 8" xfId="1441" xr:uid="{85B9BD6A-CA58-4507-AF26-12AC11BB5108}"/>
    <cellStyle name="Moneda 2 2 8 2" xfId="3078" xr:uid="{938A3C90-1000-4E2B-AF80-E2FB2EC40F51}"/>
    <cellStyle name="Moneda 2 2 8 2 2" xfId="5719" xr:uid="{FB2E30A6-55FF-408C-A99B-7A830C78C22C}"/>
    <cellStyle name="Moneda 2 2 8 3" xfId="4580" xr:uid="{B3127C3C-D30C-4F9D-8F13-BA2D21592151}"/>
    <cellStyle name="Moneda 2 2 9" xfId="1748" xr:uid="{8A660394-930E-4026-A222-30660A92BA75}"/>
    <cellStyle name="Moneda 2 2 9 2" xfId="4766" xr:uid="{849E3866-9F9C-4B25-9EBF-9E250DF19943}"/>
    <cellStyle name="Moneda 2 3" xfId="231" xr:uid="{A3FE8CA7-BF10-47D3-B394-279F40256810}"/>
    <cellStyle name="Moneda 2 3 2" xfId="1037" xr:uid="{83C0F770-BAB6-4EA2-B898-53DF77F69F5D}"/>
    <cellStyle name="Moneda 2 3 2 2" xfId="3525" xr:uid="{98909B0F-F5DB-45EF-8992-6230AB1043E1}"/>
    <cellStyle name="Moneda 2 3 2 2 2" xfId="7102" xr:uid="{5ABFA5FE-2365-4AF5-8C2E-120AF67E90CC}"/>
    <cellStyle name="Moneda 2 3 2 2 3" xfId="5410" xr:uid="{1B34B998-C164-4374-A993-DBDAB3096248}"/>
    <cellStyle name="Moneda 2 3 2 3" xfId="2609" xr:uid="{996F72A8-340B-4539-A4C3-D4A0631E659A}"/>
    <cellStyle name="Moneda 2 3 2 3 2" xfId="7103" xr:uid="{DDE36EC3-F4C3-43A5-9C65-3BA99E4DBEF4}"/>
    <cellStyle name="Moneda 2 3 2 4" xfId="7101" xr:uid="{0748A05D-0681-4E10-BC4E-D5999E54B0A3}"/>
    <cellStyle name="Moneda 2 3 2 5" xfId="4280" xr:uid="{9C4FDAD6-A374-4CA0-93E2-6C880D6DBBF0}"/>
    <cellStyle name="Moneda 2 3 3" xfId="1545" xr:uid="{DC601A4B-F01C-4AE8-AC2C-DB527C8C3448}"/>
    <cellStyle name="Moneda 2 3 3 2" xfId="3150" xr:uid="{E41C4DEC-ED81-4ED0-80F1-92E8F0A69B45}"/>
    <cellStyle name="Moneda 2 3 3 2 2" xfId="5811" xr:uid="{90702EFB-8F3B-4311-AC8A-3AD99083F5CC}"/>
    <cellStyle name="Moneda 2 3 3 3" xfId="7104" xr:uid="{465AA7A4-D3D9-44EC-82FB-5B40CACE5D6A}"/>
    <cellStyle name="Moneda 2 3 3 4" xfId="4640" xr:uid="{BF49E0C8-C92B-4063-B665-62D0670EA352}"/>
    <cellStyle name="Moneda 2 3 4" xfId="1847" xr:uid="{9F6358A1-A9D5-41DC-8EB9-C4E3C4DC8DF3}"/>
    <cellStyle name="Moneda 2 3 4 2" xfId="7105" xr:uid="{9576E967-5F8A-4ACF-96A6-CF225559B206}"/>
    <cellStyle name="Moneda 2 3 4 3" xfId="4826" xr:uid="{6C5ADB15-49C3-4C23-B103-671816916B2A}"/>
    <cellStyle name="Moneda 2 3 5" xfId="559" xr:uid="{716FA933-04D2-45B1-98EF-3CC434E804DD}"/>
    <cellStyle name="Moneda 2 3 5 2" xfId="7106" xr:uid="{8F85B95D-FE6B-47E6-AEEE-C8F87320986A}"/>
    <cellStyle name="Moneda 2 3 5 3" xfId="5062" xr:uid="{CFC5B3A8-A0D0-463F-9A77-B523B2E0D797}"/>
    <cellStyle name="Moneda 2 3 6" xfId="2261" xr:uid="{D9C03AAE-CB05-46FD-A9A1-2EFC19E00935}"/>
    <cellStyle name="Moneda 2 3 6 2" xfId="7107" xr:uid="{DACCA799-4581-4A96-8683-DD11162E3BE4}"/>
    <cellStyle name="Moneda 2 3 7" xfId="7100" xr:uid="{7000E415-D1CE-41E4-B2CA-7BD58FA534D8}"/>
    <cellStyle name="Moneda 2 3 8" xfId="3932" xr:uid="{CB8E83EC-91CB-45C5-98A1-2C0741FE328B}"/>
    <cellStyle name="Moneda 2 4" xfId="331" xr:uid="{E11C6616-5C3A-46EB-ABD7-13E23F52C5D2}"/>
    <cellStyle name="Moneda 2 4 2" xfId="1101" xr:uid="{CA15B7B9-7D18-46BE-ABF9-EE4195257A4B}"/>
    <cellStyle name="Moneda 2 4 2 2" xfId="3580" xr:uid="{640FA00A-F41E-40DA-BF6D-080C99831999}"/>
    <cellStyle name="Moneda 2 4 2 2 2" xfId="5465" xr:uid="{2DFBFC2F-9279-42A6-85DD-5A06D6796EF2}"/>
    <cellStyle name="Moneda 2 4 2 3" xfId="2664" xr:uid="{753E62C1-9B41-42AE-BE52-CEEBDDA6545D}"/>
    <cellStyle name="Moneda 2 4 2 3 2" xfId="7109" xr:uid="{126D69A1-D09F-4522-AEDF-F3B7AEADD795}"/>
    <cellStyle name="Moneda 2 4 2 4" xfId="4335" xr:uid="{EE05D860-0A81-4F0E-A481-5AEC06257FB7}"/>
    <cellStyle name="Moneda 2 4 3" xfId="1644" xr:uid="{B4E51E5D-6675-4A20-9047-3536A4AC06C7}"/>
    <cellStyle name="Moneda 2 4 3 2" xfId="3191" xr:uid="{0CEAC2B7-8C14-4950-BDCB-C5EA03EC1867}"/>
    <cellStyle name="Moneda 2 4 3 2 2" xfId="5888" xr:uid="{4469199D-FE6A-413B-AA5C-68B31417C7C2}"/>
    <cellStyle name="Moneda 2 4 3 3" xfId="4701" xr:uid="{22823C3E-2BF6-47BE-8761-4518B2197C96}"/>
    <cellStyle name="Moneda 2 4 4" xfId="1946" xr:uid="{34884731-4FC3-491B-8DDA-1A98B08F9006}"/>
    <cellStyle name="Moneda 2 4 4 2" xfId="4887" xr:uid="{4B4225F4-F8D7-4579-BF24-A3F0A07AEA7D}"/>
    <cellStyle name="Moneda 2 4 5" xfId="623" xr:uid="{C3B5A70E-B7BB-4D34-B319-B17CC4EA9515}"/>
    <cellStyle name="Moneda 2 4 5 2" xfId="5117" xr:uid="{FFBFA0E6-429C-4C22-BC13-CA05F4750A20}"/>
    <cellStyle name="Moneda 2 4 6" xfId="2316" xr:uid="{F8DED835-3876-408F-B006-B8E239E96D34}"/>
    <cellStyle name="Moneda 2 4 6 2" xfId="7108" xr:uid="{1FE16D97-8ACE-47FD-8CFF-4E7EF13A488B}"/>
    <cellStyle name="Moneda 2 4 7" xfId="3987" xr:uid="{7DA274FB-179B-4ED6-83CF-8CC64E8756E9}"/>
    <cellStyle name="Moneda 2 5" xfId="431" xr:uid="{48EAF5CA-7B82-48E1-AF08-78908E16F502}"/>
    <cellStyle name="Moneda 2 5 2" xfId="1165" xr:uid="{473735FC-3DDB-47F2-9901-C06C1453130A}"/>
    <cellStyle name="Moneda 2 5 2 2" xfId="3641" xr:uid="{55E94974-99B3-4CFD-84DC-25BBF29227F6}"/>
    <cellStyle name="Moneda 2 5 2 2 2" xfId="5520" xr:uid="{BC953CF6-E4C9-40FE-B5B6-8BB89F8812D5}"/>
    <cellStyle name="Moneda 2 5 2 3" xfId="2719" xr:uid="{4D0B023C-C7FC-406A-9515-EF9A0EB19283}"/>
    <cellStyle name="Moneda 2 5 2 3 2" xfId="7111" xr:uid="{987BC38E-4A04-466E-87D9-EC687D730915}"/>
    <cellStyle name="Moneda 2 5 2 4" xfId="4390" xr:uid="{4D6DD149-DBF7-4883-9F12-DDF31AB1A4FD}"/>
    <cellStyle name="Moneda 2 5 3" xfId="2046" xr:uid="{E04A6873-7B28-404D-8BCB-9745620553EE}"/>
    <cellStyle name="Moneda 2 5 3 2" xfId="3246" xr:uid="{74C631A7-B16F-4E3E-8FE3-107FA65BF52F}"/>
    <cellStyle name="Moneda 2 5 3 2 2" xfId="7112" xr:uid="{7132D39C-7303-48ED-9515-19E2D5C1D16B}"/>
    <cellStyle name="Moneda 2 5 3 3" xfId="4949" xr:uid="{B6590AE8-AD5F-4311-9371-7AD67194C1DE}"/>
    <cellStyle name="Moneda 2 5 4" xfId="687" xr:uid="{C5B7A4D7-4F2F-4181-95B2-40F47B9AD6BA}"/>
    <cellStyle name="Moneda 2 5 4 2" xfId="7113" xr:uid="{B27C9AA4-A399-476B-B1B4-4492BEB1E4EF}"/>
    <cellStyle name="Moneda 2 5 4 3" xfId="5172" xr:uid="{341A435D-12B7-4B64-A4FF-33B4FD299256}"/>
    <cellStyle name="Moneda 2 5 5" xfId="2371" xr:uid="{67D34D10-D79F-49B2-9A02-13A35EAAE49B}"/>
    <cellStyle name="Moneda 2 5 5 2" xfId="7114" xr:uid="{E50F15B5-09A8-441C-96CE-7D823A891E4F}"/>
    <cellStyle name="Moneda 2 5 6" xfId="7115" xr:uid="{2033AFB6-F5BF-4111-90F7-6DE14DDBF807}"/>
    <cellStyle name="Moneda 2 5 7" xfId="7110" xr:uid="{6C85548B-C838-4434-A6B8-D4629D8741EA}"/>
    <cellStyle name="Moneda 2 5 8" xfId="4042" xr:uid="{43D42C63-557B-40D4-91A1-7A41C51A9B1A}"/>
    <cellStyle name="Moneda 2 6" xfId="751" xr:uid="{862DF61C-A7B6-452C-B05A-494A8F745FAD}"/>
    <cellStyle name="Moneda 2 6 2" xfId="1229" xr:uid="{681178EC-700E-4980-BFA8-F47988321984}"/>
    <cellStyle name="Moneda 2 6 2 2" xfId="3704" xr:uid="{48F21287-A471-4A61-BD3A-9F6FFAABD5D0}"/>
    <cellStyle name="Moneda 2 6 2 2 2" xfId="5575" xr:uid="{652C610C-1819-4DB5-99F4-23D0EDFE761E}"/>
    <cellStyle name="Moneda 2 6 2 3" xfId="2774" xr:uid="{4A2D8D15-68B1-4A72-87BD-4CF8C93D9B34}"/>
    <cellStyle name="Moneda 2 6 2 3 2" xfId="7117" xr:uid="{4B88F73C-D4AB-41C7-83D1-2E925D1B14D9}"/>
    <cellStyle name="Moneda 2 6 2 4" xfId="4445" xr:uid="{4DC1C281-3AFF-4149-93D2-1F3D9F793271}"/>
    <cellStyle name="Moneda 2 6 3" xfId="3301" xr:uid="{C6400F2B-8AF4-4E56-B2D0-CD27B4A9A26B}"/>
    <cellStyle name="Moneda 2 6 3 2" xfId="5227" xr:uid="{FF63CF3C-752A-4302-8696-1800213F5699}"/>
    <cellStyle name="Moneda 2 6 4" xfId="2426" xr:uid="{B0D286AD-1C5F-4E24-B0A5-40013B997A9F}"/>
    <cellStyle name="Moneda 2 6 4 2" xfId="7116" xr:uid="{04F69CD5-5E14-4374-B6B1-27FC4EF7CA2F}"/>
    <cellStyle name="Moneda 2 6 5" xfId="4097" xr:uid="{2E0225A7-011C-4345-A456-2F3AB47205A1}"/>
    <cellStyle name="Moneda 2 7" xfId="815" xr:uid="{315D404C-240F-474F-AAD5-8B55DB6756FB}"/>
    <cellStyle name="Moneda 2 7 2" xfId="1294" xr:uid="{A13166C4-3278-4DAA-AB91-F16276A7BCA3}"/>
    <cellStyle name="Moneda 2 7 2 2" xfId="3768" xr:uid="{53809BB8-5655-455B-BE46-298144387184}"/>
    <cellStyle name="Moneda 2 7 2 2 2" xfId="5630" xr:uid="{31248AFC-552A-409D-9A08-DF10D6FFC7D2}"/>
    <cellStyle name="Moneda 2 7 2 3" xfId="2829" xr:uid="{D7901FD4-3E49-4168-9D23-084ACCDAEDF6}"/>
    <cellStyle name="Moneda 2 7 2 3 2" xfId="7119" xr:uid="{78EE0D35-0EF8-4F12-AE3B-9FE4BBE83116}"/>
    <cellStyle name="Moneda 2 7 2 4" xfId="4500" xr:uid="{E09986DF-606E-43B2-8901-1A492F9E3AF2}"/>
    <cellStyle name="Moneda 2 7 3" xfId="3356" xr:uid="{75CB4160-2FFB-4CDB-90D1-37F0CBEF7F57}"/>
    <cellStyle name="Moneda 2 7 3 2" xfId="5282" xr:uid="{BA1A8B75-C527-4D8C-A5FA-AEDEEF74760C}"/>
    <cellStyle name="Moneda 2 7 4" xfId="2481" xr:uid="{D9B9EF88-3FF5-4D73-ABD6-1ACDBADC7A46}"/>
    <cellStyle name="Moneda 2 7 4 2" xfId="7118" xr:uid="{34152E8D-DE1F-45E5-BDB6-A909C54046A2}"/>
    <cellStyle name="Moneda 2 7 5" xfId="4152" xr:uid="{1F3892DE-C016-4341-A5AF-68DCBE872CF5}"/>
    <cellStyle name="Moneda 2 8" xfId="994" xr:uid="{36F3DFD3-DB83-4AB3-A358-C976EF7A3FCA}"/>
    <cellStyle name="Moneda 2 8 2" xfId="3491" xr:uid="{A00222B1-554F-4FAF-B6CC-A22655143492}"/>
    <cellStyle name="Moneda 2 8 2 2" xfId="5380" xr:uid="{4FA9C53A-4F72-46F8-A93B-CBE784DE14E3}"/>
    <cellStyle name="Moneda 2 8 3" xfId="2579" xr:uid="{BD8A93BB-172D-409C-A16D-9D4EFF693525}"/>
    <cellStyle name="Moneda 2 8 3 2" xfId="7120" xr:uid="{41BA774C-BF4B-4EBA-87CD-37DF6F022F5E}"/>
    <cellStyle name="Moneda 2 8 4" xfId="4250" xr:uid="{A13969A6-22F2-4520-A247-3CE18294F333}"/>
    <cellStyle name="Moneda 2 9" xfId="1440" xr:uid="{7D7E44F6-A045-49FF-8F3A-E8E136D0F60F}"/>
    <cellStyle name="Moneda 2 9 2" xfId="3077" xr:uid="{D8E0D258-FEE6-4F66-9E16-8F3EDCD800ED}"/>
    <cellStyle name="Moneda 2 9 2 2" xfId="5718" xr:uid="{D245DC7C-C475-444E-BD77-78D8952C2D72}"/>
    <cellStyle name="Moneda 2 9 3" xfId="4579" xr:uid="{68F0D947-F330-43B9-B260-198ED889B8E8}"/>
    <cellStyle name="Moneda 3" xfId="90" xr:uid="{F83752C5-8BD5-4F55-B1D0-79B60164975F}"/>
    <cellStyle name="Moneda 3 10" xfId="4206" xr:uid="{B1EDA581-28AE-43DB-8F23-2EDF570D2F09}"/>
    <cellStyle name="Moneda 3 2" xfId="91" xr:uid="{701A2157-7122-4485-9E97-54FEB149ABB9}"/>
    <cellStyle name="Moneda 3 2 2" xfId="234" xr:uid="{9D844996-690C-4880-B5B9-D485CCBFED9A}"/>
    <cellStyle name="Moneda 3 2 2 2" xfId="1850" xr:uid="{0E2F4CFD-8B4A-4940-B9B5-2384652B9CD2}"/>
    <cellStyle name="Moneda 3 2 2 2 2" xfId="4829" xr:uid="{C6E1845C-057C-44F7-A5BE-0906F28DD6C7}"/>
    <cellStyle name="Moneda 3 2 2 3" xfId="1548" xr:uid="{22FBFF9A-3043-4069-A848-CF5CADD14103}"/>
    <cellStyle name="Moneda 3 2 2 3 2" xfId="5814" xr:uid="{78D653D2-0F29-41BD-B3EA-ACD4E19D96BF}"/>
    <cellStyle name="Moneda 3 2 2 4" xfId="3139" xr:uid="{E35BB62A-AEA4-43D2-9BD3-22FE6898A271}"/>
    <cellStyle name="Moneda 3 2 2 4 2" xfId="7123" xr:uid="{07E3E769-7E16-4B68-AF1E-102F1CFAD533}"/>
    <cellStyle name="Moneda 3 2 2 5" xfId="4643" xr:uid="{827F59FF-CC01-4F77-A3D6-38B0AD3290EC}"/>
    <cellStyle name="Moneda 3 2 3" xfId="334" xr:uid="{9264F3A9-115F-4E98-81A8-FBD410023155}"/>
    <cellStyle name="Moneda 3 2 3 2" xfId="1949" xr:uid="{57C965AF-57F8-47F4-AD7C-63B239E211B3}"/>
    <cellStyle name="Moneda 3 2 3 2 2" xfId="4890" xr:uid="{583016E9-2810-4F6C-9416-35CD47E6369F}"/>
    <cellStyle name="Moneda 3 2 3 3" xfId="1647" xr:uid="{B28F2F9B-FAF4-49A9-82EE-DB6E3F786C41}"/>
    <cellStyle name="Moneda 3 2 3 3 2" xfId="5891" xr:uid="{B9B5BD20-AC35-4D57-90AF-5B0503FB97B3}"/>
    <cellStyle name="Moneda 3 2 3 4" xfId="3118" xr:uid="{52861298-4AAA-4B23-B1B7-1A4A957F1354}"/>
    <cellStyle name="Moneda 3 2 3 4 2" xfId="7124" xr:uid="{0C74BD3F-0E24-4DDC-B5E8-35AC71DB6CBA}"/>
    <cellStyle name="Moneda 3 2 3 5" xfId="4704" xr:uid="{994EEEDE-40DC-409A-967B-476233E776BD}"/>
    <cellStyle name="Moneda 3 2 4" xfId="434" xr:uid="{EE8F9564-4E55-40EB-A7EB-8925F4638B69}"/>
    <cellStyle name="Moneda 3 2 4 2" xfId="2049" xr:uid="{85CA1EF1-23E1-425B-A328-362626E08D64}"/>
    <cellStyle name="Moneda 3 2 4 2 2" xfId="4952" xr:uid="{BE8D5F12-7609-4800-8BFB-0896D5F4281D}"/>
    <cellStyle name="Moneda 3 2 4 3" xfId="1443" xr:uid="{7EC047CA-4834-47F9-B4B4-54CB1FD8AC36}"/>
    <cellStyle name="Moneda 3 2 4 3 2" xfId="5721" xr:uid="{33DEC445-B61D-4487-9BA7-428E66B7F4B3}"/>
    <cellStyle name="Moneda 3 2 4 4" xfId="4582" xr:uid="{22914F02-CF12-4A64-A1C3-32E12876B54A}"/>
    <cellStyle name="Moneda 3 2 5" xfId="1750" xr:uid="{A41C1EBA-6AC3-47DB-A48D-A9C2E9E88988}"/>
    <cellStyle name="Moneda 3 2 5 2" xfId="4768" xr:uid="{86F6CF0C-3C41-4409-9CDB-9550544BBD27}"/>
    <cellStyle name="Moneda 3 2 6" xfId="1348" xr:uid="{86A86A79-BB60-4EB5-B04B-5B47CDAE1A7B}"/>
    <cellStyle name="Moneda 3 2 6 2" xfId="5684" xr:uid="{5986A6CE-4553-420F-A432-6123F32AAD00}"/>
    <cellStyle name="Moneda 3 2 7" xfId="2151" xr:uid="{BFC36F9C-43D3-402B-A46A-F682CAD421B9}"/>
    <cellStyle name="Moneda 3 2 7 2" xfId="7122" xr:uid="{A86FB3F8-24A0-463B-8CDD-E0DFD3AF9EDE}"/>
    <cellStyle name="Moneda 3 2 8" xfId="2883" xr:uid="{BE87900F-F1FF-4AB0-B7B0-9D28C5103E63}"/>
    <cellStyle name="Moneda 3 2 9" xfId="4554" xr:uid="{362A6D07-96F4-4748-9FA6-3E3EA3B095A8}"/>
    <cellStyle name="Moneda 3 3" xfId="233" xr:uid="{0C6FEB88-B08B-489B-9D0E-11BF1A980A13}"/>
    <cellStyle name="Moneda 3 3 2" xfId="1849" xr:uid="{9C8EB9A2-8934-4B11-BB66-F01A7FC924E7}"/>
    <cellStyle name="Moneda 3 3 2 2" xfId="7126" xr:uid="{B181410D-A2A6-4B2F-B8CA-FEA3A2530A5C}"/>
    <cellStyle name="Moneda 3 3 2 3" xfId="4828" xr:uid="{2EF78BB9-3849-4355-8EF7-E8386FC71F13}"/>
    <cellStyle name="Moneda 3 3 3" xfId="1547" xr:uid="{2D7E151C-F001-4C46-9C97-A9CA7D875DCA}"/>
    <cellStyle name="Moneda 3 3 3 2" xfId="7127" xr:uid="{5665811A-8D9C-4D20-A1E1-8B6713C26C7E}"/>
    <cellStyle name="Moneda 3 3 3 3" xfId="5813" xr:uid="{62B2081A-A0B6-48B9-943F-86D2F04DD1D6}"/>
    <cellStyle name="Moneda 3 3 4" xfId="3138" xr:uid="{5B2DA0A5-37CD-421B-A985-0DA8AADE7990}"/>
    <cellStyle name="Moneda 3 3 4 2" xfId="7125" xr:uid="{01745BDF-C663-435E-A772-C4BFAD53663B}"/>
    <cellStyle name="Moneda 3 3 5" xfId="4642" xr:uid="{E5BA9610-5A98-43F6-ADB4-38263B553712}"/>
    <cellStyle name="Moneda 3 4" xfId="333" xr:uid="{561C583D-FA62-47D4-83A0-1240C46DDD79}"/>
    <cellStyle name="Moneda 3 4 2" xfId="1948" xr:uid="{342A7EC4-D28A-47F9-BE07-ADAFA68AEDBC}"/>
    <cellStyle name="Moneda 3 4 2 2" xfId="4889" xr:uid="{0A9C1483-8AFE-463F-B10E-0D11DE01C158}"/>
    <cellStyle name="Moneda 3 4 3" xfId="1646" xr:uid="{DAB931B4-2510-4110-9B36-2B2E4337FAC7}"/>
    <cellStyle name="Moneda 3 4 3 2" xfId="5890" xr:uid="{C15856E9-7E6C-4A1A-8D20-3B0222D75188}"/>
    <cellStyle name="Moneda 3 4 4" xfId="3079" xr:uid="{EC381885-1DF2-4B60-AE2D-0538ACFB3D08}"/>
    <cellStyle name="Moneda 3 4 4 2" xfId="7128" xr:uid="{35E5B2C3-A186-42FA-AAB0-FCE45E75F815}"/>
    <cellStyle name="Moneda 3 4 5" xfId="4703" xr:uid="{9946C834-1481-4BF0-9932-E98C560E6D1F}"/>
    <cellStyle name="Moneda 3 5" xfId="433" xr:uid="{7D57318F-CA07-431E-BA40-976DBAC38BF9}"/>
    <cellStyle name="Moneda 3 5 2" xfId="2048" xr:uid="{F76CAF9F-0632-45CA-A69B-0EB62645C62B}"/>
    <cellStyle name="Moneda 3 5 2 2" xfId="4951" xr:uid="{9DA277DA-8F40-46ED-B371-AB1A41AB30A1}"/>
    <cellStyle name="Moneda 3 5 3" xfId="1442" xr:uid="{7A691F7E-C2A0-4018-88A5-9BF80C1F0A99}"/>
    <cellStyle name="Moneda 3 5 3 2" xfId="5720" xr:uid="{12B07549-672A-457F-BC91-C199F4673EF8}"/>
    <cellStyle name="Moneda 3 5 4" xfId="7129" xr:uid="{C8E00DCD-6DF7-4AC4-80E8-A29923679D48}"/>
    <cellStyle name="Moneda 3 5 5" xfId="4581" xr:uid="{588EFE05-1D78-4D88-9AD1-B151733D6B3D}"/>
    <cellStyle name="Moneda 3 6" xfId="1749" xr:uid="{7428AE0E-5766-453B-A939-F250C0BB49C9}"/>
    <cellStyle name="Moneda 3 6 2" xfId="4767" xr:uid="{FF23D085-1CC6-41BD-BB6E-CDCA04783010}"/>
    <cellStyle name="Moneda 3 7" xfId="869" xr:uid="{2F88F1F8-9C61-4BA8-B393-0259B1EA73AD}"/>
    <cellStyle name="Moneda 3 7 2" xfId="5336" xr:uid="{F3182C82-1D4B-4E69-889A-225F0168579B}"/>
    <cellStyle name="Moneda 3 8" xfId="2150" xr:uid="{9B2C6927-54D9-4D74-A7D7-5EA3F35006A3}"/>
    <cellStyle name="Moneda 3 8 2" xfId="7121" xr:uid="{7A7AACB4-F012-40FF-8A8B-7032895ACBCA}"/>
    <cellStyle name="Moneda 3 9" xfId="2535" xr:uid="{34C44D5A-ABDA-4139-A94B-14AC5A4FBD96}"/>
    <cellStyle name="Moneda 4" xfId="92" xr:uid="{523225B6-8615-4AB1-8A6A-23421C124984}"/>
    <cellStyle name="Moneda 4 2" xfId="235" xr:uid="{DF182385-78C8-469B-A438-87D412543CF1}"/>
    <cellStyle name="Moneda 4 2 2" xfId="1851" xr:uid="{E9CC8333-A26A-4724-8042-B6AA9647E7CD}"/>
    <cellStyle name="Moneda 4 2 2 2" xfId="7132" xr:uid="{25C29D68-0AB5-48F0-AB9A-BDBAA0522E19}"/>
    <cellStyle name="Moneda 4 2 2 3" xfId="4830" xr:uid="{15A0811E-5569-46AA-84A5-5F404A998173}"/>
    <cellStyle name="Moneda 4 2 3" xfId="1549" xr:uid="{79365FBB-7FE2-4CF5-8D10-256FF9C59FEE}"/>
    <cellStyle name="Moneda 4 2 3 2" xfId="5815" xr:uid="{26D15617-C82E-485D-99B5-4229474BC476}"/>
    <cellStyle name="Moneda 4 2 4" xfId="3140" xr:uid="{E2A64015-A2E0-4060-8F8E-68016BDE0575}"/>
    <cellStyle name="Moneda 4 2 4 2" xfId="7131" xr:uid="{394EEA19-808F-40A5-B0BC-F58C4BB997C3}"/>
    <cellStyle name="Moneda 4 2 5" xfId="4644" xr:uid="{0307D657-EC28-4E53-B6BA-5512E8F85828}"/>
    <cellStyle name="Moneda 4 3" xfId="335" xr:uid="{452B26BB-9990-4798-8D86-3E058BAFA45F}"/>
    <cellStyle name="Moneda 4 3 2" xfId="1950" xr:uid="{D86E8197-706F-431B-A127-387640027634}"/>
    <cellStyle name="Moneda 4 3 2 2" xfId="4891" xr:uid="{D4439CE2-483C-45E0-ADE6-706330150F66}"/>
    <cellStyle name="Moneda 4 3 3" xfId="1648" xr:uid="{38C48FB0-27C0-4A0F-AC2E-B1CFCC96B4E1}"/>
    <cellStyle name="Moneda 4 3 3 2" xfId="5892" xr:uid="{1189B214-4D51-4B77-B667-23961356B2D3}"/>
    <cellStyle name="Moneda 4 3 4" xfId="7133" xr:uid="{907DBF6E-727F-4675-A08A-9A4DAD6D038A}"/>
    <cellStyle name="Moneda 4 3 5" xfId="4705" xr:uid="{38825CC3-425A-4191-A56D-4CC79F480713}"/>
    <cellStyle name="Moneda 4 4" xfId="435" xr:uid="{C478397D-8886-49DA-9264-4ECAB181B172}"/>
    <cellStyle name="Moneda 4 4 2" xfId="2050" xr:uid="{5EF4C9A8-F5A4-497A-8273-C8369BFE397C}"/>
    <cellStyle name="Moneda 4 4 2 2" xfId="5946" xr:uid="{9F8E87B0-6BC1-42B0-80AC-78254FC4B566}"/>
    <cellStyle name="Moneda 4 4 3" xfId="4953" xr:uid="{31E3E947-2C0E-4E8A-9633-FED58937F25C}"/>
    <cellStyle name="Moneda 4 5" xfId="1751" xr:uid="{25BDAA7D-9982-4586-9E88-CB6BD579D564}"/>
    <cellStyle name="Moneda 4 5 2" xfId="4769" xr:uid="{8E3A1BBF-1932-4032-A6F5-65631C7740F7}"/>
    <cellStyle name="Moneda 4 6" xfId="1444" xr:uid="{A7EECAD9-8384-4161-B322-A4F218CDE128}"/>
    <cellStyle name="Moneda 4 6 2" xfId="5722" xr:uid="{2160C0CE-6CBC-411A-8D76-791E17F1179B}"/>
    <cellStyle name="Moneda 4 7" xfId="2152" xr:uid="{CFF2F570-ACBD-4A92-884F-8D889A1FBE4F}"/>
    <cellStyle name="Moneda 4 7 2" xfId="7130" xr:uid="{206DFD07-D4C0-41C7-AF5B-084F77EE2AE5}"/>
    <cellStyle name="Moneda 4 8" xfId="3080" xr:uid="{B21FB5C8-9980-4FF4-8E21-CAE74C132E68}"/>
    <cellStyle name="Moneda 4 9" xfId="4583" xr:uid="{503A513B-E4ED-4534-A75B-AC03D8EF3047}"/>
    <cellStyle name="Moneda 5" xfId="2932" xr:uid="{3075220F-486E-4D07-89A9-CAE36AFB25B0}"/>
    <cellStyle name="Moneda 5 2" xfId="7135" xr:uid="{BD0703EF-91B4-4EFC-AFD2-015C6D0F1AFA}"/>
    <cellStyle name="Moneda 5 3" xfId="7134" xr:uid="{D0B2208B-59EF-48EC-AB84-A57577A2D35F}"/>
    <cellStyle name="Moneda 6" xfId="7136" xr:uid="{B7E64FAD-6E70-4E77-B2CB-F90ACEADF30C}"/>
    <cellStyle name="Moneda 6 2" xfId="7137" xr:uid="{78022D6D-B949-4DFE-BB3A-4ECD3FD8E121}"/>
    <cellStyle name="Moneda 6 3" xfId="7138" xr:uid="{CFA7920D-197D-429C-9098-40FB5EA70DF4}"/>
    <cellStyle name="Moneda 6 4" xfId="7139" xr:uid="{FBD6E0FE-B64B-4DF8-8EFC-489A666181E0}"/>
    <cellStyle name="Moneda 6 5" xfId="7140" xr:uid="{12D81409-294A-4CB7-B457-02E14485B0B6}"/>
    <cellStyle name="Moneda 7" xfId="7141" xr:uid="{A371BF06-D379-476A-9F75-816D279AE4C1}"/>
    <cellStyle name="Moneda 8" xfId="7142" xr:uid="{AF16535A-D748-42ED-AAD5-C717654B4CB7}"/>
    <cellStyle name="Monetario" xfId="93" xr:uid="{ED3E158C-065B-42CD-93A6-431CEFCC9A78}"/>
    <cellStyle name="Neutral 2" xfId="921" xr:uid="{92E462CD-1F64-4562-89EA-DC7F849F5E48}"/>
    <cellStyle name="Neutral 2 2" xfId="3441" xr:uid="{464A576A-FF89-4C4B-AE42-53A058095D40}"/>
    <cellStyle name="Neutral 2 3" xfId="3038" xr:uid="{C67155AE-3D98-4B94-9B7C-D2D529D4CCB5}"/>
    <cellStyle name="Neutral 2 4" xfId="7143" xr:uid="{6DB2BEDC-E0AE-4F63-8A0A-3C7764A3E38A}"/>
    <cellStyle name="Neutral 3" xfId="3039" xr:uid="{0E724EA1-161B-46F6-93F5-5567BD6A5A48}"/>
    <cellStyle name="Normal" xfId="0" builtinId="0"/>
    <cellStyle name="Normal 10" xfId="11" xr:uid="{2028CF09-A3AB-407F-A956-BE7C83889A25}"/>
    <cellStyle name="Normal 10 2" xfId="15" xr:uid="{213CDD6C-B574-4CC8-80C7-00A0A7A72E1B}"/>
    <cellStyle name="Normal 10 2 2" xfId="94" xr:uid="{0D0E7C36-617B-4FFF-802C-F9D2A6E095EC}"/>
    <cellStyle name="Normal 10 2 2 2" xfId="7145" xr:uid="{BA9664B7-F693-4C6D-8A7F-C45CFB6A4346}"/>
    <cellStyle name="Normal 10 2 3" xfId="95" xr:uid="{5EAB9FC6-20E7-45C0-84D5-5FC58BB86D10}"/>
    <cellStyle name="Normal 10 2 4" xfId="1385" xr:uid="{C6F3E2BD-DA8F-4F00-A21D-9ACDA5E5DE52}"/>
    <cellStyle name="Normal 10 2 4 2" xfId="5703" xr:uid="{19E37DE1-4BDF-4791-8E2B-E4BF88091348}"/>
    <cellStyle name="Normal 10 2 4 3" xfId="4573" xr:uid="{356FF33E-B953-491B-95C4-5F594E15597C}"/>
    <cellStyle name="Normal 10 2 5" xfId="1702" xr:uid="{744F6BA1-4BF1-4311-9C97-2E5F6313A75D}"/>
    <cellStyle name="Normal 10 2 5 2" xfId="4759" xr:uid="{5CEEA10F-477B-4FAD-9995-0A3FFF41CC98}"/>
    <cellStyle name="Normal 10 2 6" xfId="7144" xr:uid="{A70767A5-3275-4BC9-963B-ED2D21959316}"/>
    <cellStyle name="Normal 10 3" xfId="4" xr:uid="{BDA83D31-CF96-455A-A813-FD1806F13F9A}"/>
    <cellStyle name="Normal 10 3 2" xfId="6" xr:uid="{AE1B194B-D855-49EC-9B9C-4C62D4B4F99A}"/>
    <cellStyle name="Normal 10 3 2 2" xfId="7146" xr:uid="{2D26B659-8FDB-4260-923E-F1EA8CAF2FCE}"/>
    <cellStyle name="Normal 10 3 3" xfId="7147" xr:uid="{17699DBF-F010-4266-8AA3-E6B26B0EA3D4}"/>
    <cellStyle name="Normal 10 4" xfId="7" xr:uid="{DDCF7EC6-68F7-416B-BC62-9C6287F35F12}"/>
    <cellStyle name="Normal 10 5" xfId="3081" xr:uid="{B50846B9-BE66-42BC-B9C0-ADE24C2FDB03}"/>
    <cellStyle name="Normal 11" xfId="23" xr:uid="{E58141EE-BCC1-40EE-B738-A0A478EBF595}"/>
    <cellStyle name="Normal 11 2" xfId="96" xr:uid="{70A599DB-A55F-4275-8755-45B21212EC15}"/>
    <cellStyle name="Normal 11 2 2" xfId="1445" xr:uid="{F24D3D49-C915-40EF-8246-FAAEC3228A19}"/>
    <cellStyle name="Normal 11 2 2 2" xfId="3442" xr:uid="{C85EA2ED-3E59-429A-A6E1-1A1E064EC12B}"/>
    <cellStyle name="Normal 11 2 3" xfId="922" xr:uid="{92F0F40C-4BB7-479E-862A-E442B6F47ED2}"/>
    <cellStyle name="Normal 11 2 3 2" xfId="3119" xr:uid="{EC55DE4C-9937-4754-B3B6-2F56CC68A8FD}"/>
    <cellStyle name="Normal 11 3" xfId="1389" xr:uid="{38DCA64E-DE48-411B-A8A0-05552286C47D}"/>
    <cellStyle name="Normal 11 3 2" xfId="7148" xr:uid="{496D0634-B941-4DCE-B686-7DE2BEE52EFA}"/>
    <cellStyle name="Normal 11 4" xfId="7149" xr:uid="{B656A282-6CDC-457D-9E99-7BA5FC6E62D6}"/>
    <cellStyle name="Normal 12" xfId="25" xr:uid="{3A4072E2-43B4-4B64-8CAB-4F4856511570}"/>
    <cellStyle name="Normal 12 2" xfId="98" xr:uid="{517FD45F-1C3A-4BAA-ACC5-8B7518EC6883}"/>
    <cellStyle name="Normal 12 2 2" xfId="99" xr:uid="{19E8F8EC-684B-463E-BABE-EF8F11172BE5}"/>
    <cellStyle name="Normal 12 2 2 2" xfId="7151" xr:uid="{EC1DD73A-AE76-4E39-A028-A351497EDCBC}"/>
    <cellStyle name="Normal 12 2 2 3" xfId="7152" xr:uid="{26AC73C5-0F62-4D1B-A650-67226253B861}"/>
    <cellStyle name="Normal 12 2 2 4" xfId="7150" xr:uid="{847390AA-0025-4867-9B3A-940C13288816}"/>
    <cellStyle name="Normal 12 2 3" xfId="100" xr:uid="{4585E9C0-044F-4D67-A444-DFEBDA9EF52D}"/>
    <cellStyle name="Normal 12 2 3 2" xfId="7154" xr:uid="{4D566BD2-A936-4D44-AA3B-C90CB6214690}"/>
    <cellStyle name="Normal 12 2 3 3" xfId="7153" xr:uid="{C00E9228-5877-4B48-BDD7-B8D8D651A687}"/>
    <cellStyle name="Normal 12 2 4" xfId="7155" xr:uid="{ED7C5D8C-9712-4CCB-BCB4-6B9ED84C57FF}"/>
    <cellStyle name="Normal 12 3" xfId="97" xr:uid="{9F46265E-A30F-4A9B-8C67-155A081A00ED}"/>
    <cellStyle name="Normal 12 4" xfId="1391" xr:uid="{11E56434-F7F8-48E4-93F5-93EB25311AC2}"/>
    <cellStyle name="Normal 12 4 2" xfId="7156" xr:uid="{6D554237-1707-4F5F-8C06-4E1E3C867757}"/>
    <cellStyle name="Normal 13" xfId="27" xr:uid="{7AD67916-B0D4-44D5-8C5B-8168967A5A56}"/>
    <cellStyle name="Normal 13 10" xfId="965" xr:uid="{E7475F6E-114A-494C-A008-A3C2FCD4EFDD}"/>
    <cellStyle name="Normal 13 10 2" xfId="3462" xr:uid="{4AB26663-15DE-4458-A859-C6D783E50650}"/>
    <cellStyle name="Normal 13 10 2 2" xfId="5355" xr:uid="{D54EC0F9-2C3E-4FD2-AFB7-E4F2988F2A23}"/>
    <cellStyle name="Normal 13 10 3" xfId="2554" xr:uid="{43F08939-949D-42C3-BE89-0E8B9B8F1983}"/>
    <cellStyle name="Normal 13 10 4" xfId="4225" xr:uid="{D5136FE8-03ED-459F-B2D1-35999D41DFC5}"/>
    <cellStyle name="Normal 13 11" xfId="1393" xr:uid="{E88FE5CA-980B-490A-A675-2028DC5BFC05}"/>
    <cellStyle name="Normal 13 11 2" xfId="3082" xr:uid="{E5E9BEDF-D6A4-4EF8-9142-7112F5CB52D9}"/>
    <cellStyle name="Normal 13 12" xfId="489" xr:uid="{418D3FDE-7C47-4798-9214-2BE21BB66AA9}"/>
    <cellStyle name="Normal 13 12 2" xfId="5007" xr:uid="{72ED15F3-10F6-4742-8F41-D1523FC565FF}"/>
    <cellStyle name="Normal 13 13" xfId="2153" xr:uid="{AEA9324D-1D71-4B11-B51B-0D5CC6C55B50}"/>
    <cellStyle name="Normal 13 13 2" xfId="7157" xr:uid="{39168748-C47F-4CFE-B021-2E1BBB778466}"/>
    <cellStyle name="Normal 13 14" xfId="2206" xr:uid="{774E0B0D-FB82-41C8-9A40-269EA67B07D3}"/>
    <cellStyle name="Normal 13 15" xfId="3877" xr:uid="{473A6A90-C30A-4CDB-BCD4-A9BA9FE9BA3B}"/>
    <cellStyle name="Normal 13 2" xfId="102" xr:uid="{E3E8E729-3C84-4DD9-A251-6C1202632C44}"/>
    <cellStyle name="Normal 13 2 10" xfId="981" xr:uid="{414291C6-7D36-4A20-ACC3-0DBB42264534}"/>
    <cellStyle name="Normal 13 2 10 2" xfId="3478" xr:uid="{D1AFB6B9-7A6F-4A12-AC9C-63518D62A911}"/>
    <cellStyle name="Normal 13 2 10 2 2" xfId="5367" xr:uid="{4B1009CD-B89B-4ABC-AF46-9237AD933A93}"/>
    <cellStyle name="Normal 13 2 10 3" xfId="2566" xr:uid="{5900A919-11C2-4420-84A2-465AAF2D8609}"/>
    <cellStyle name="Normal 13 2 10 4" xfId="4237" xr:uid="{1892FA14-E1B8-4A88-AF6C-A5E85BA53B49}"/>
    <cellStyle name="Normal 13 2 11" xfId="1447" xr:uid="{C4A6BB5E-E708-4111-A3E2-72687CB3C056}"/>
    <cellStyle name="Normal 13 2 11 2" xfId="3083" xr:uid="{C2DAF55C-038D-4513-A4D8-5397B998479C}"/>
    <cellStyle name="Normal 13 2 11 2 2" xfId="5724" xr:uid="{A2356545-550E-4026-BF41-BE453C4311B3}"/>
    <cellStyle name="Normal 13 2 11 3" xfId="4585" xr:uid="{95BA9852-5071-4D77-A542-FE9126A8C31B}"/>
    <cellStyle name="Normal 13 2 12" xfId="1753" xr:uid="{36E04D92-447D-4F58-8970-14E88E809688}"/>
    <cellStyle name="Normal 13 2 12 2" xfId="4771" xr:uid="{10E9FB32-A7D5-49A7-ABC7-11BE8B8D6848}"/>
    <cellStyle name="Normal 13 2 13" xfId="503" xr:uid="{F33AA3BE-B177-4123-B1F3-175D6283330B}"/>
    <cellStyle name="Normal 13 2 13 2" xfId="5019" xr:uid="{7D57BF97-F1A0-48FB-BA5B-73FB2F146B7E}"/>
    <cellStyle name="Normal 13 2 14" xfId="2154" xr:uid="{A8E540E6-6AE7-4DD0-8A13-5481D9247F42}"/>
    <cellStyle name="Normal 13 2 14 2" xfId="7158" xr:uid="{548CA096-94E6-4AF0-96ED-587495B71DEA}"/>
    <cellStyle name="Normal 13 2 15" xfId="2218" xr:uid="{ECAA47A2-BC40-486F-A838-8A547450F9C4}"/>
    <cellStyle name="Normal 13 2 16" xfId="3889" xr:uid="{E7FADE88-F2DD-4A98-AE00-C46618E6AE22}"/>
    <cellStyle name="Normal 13 2 2" xfId="103" xr:uid="{3C338444-3240-4D71-9554-252DD2B25CBB}"/>
    <cellStyle name="Normal 13 2 2 10" xfId="524" xr:uid="{6C01DA98-22F0-421A-8912-E82D0A23291B}"/>
    <cellStyle name="Normal 13 2 2 10 2" xfId="5036" xr:uid="{849C418F-BAF8-40B5-AF78-331585B254E6}"/>
    <cellStyle name="Normal 13 2 2 11" xfId="2155" xr:uid="{74F128FC-640B-4C2E-8254-60C02CC03052}"/>
    <cellStyle name="Normal 13 2 2 11 2" xfId="7159" xr:uid="{3710404A-F210-4068-B82B-A838BA5E5FA7}"/>
    <cellStyle name="Normal 13 2 2 12" xfId="2235" xr:uid="{FEE1300E-B64A-45A9-B437-A93D4C56FD85}"/>
    <cellStyle name="Normal 13 2 2 13" xfId="3906" xr:uid="{47A48D45-85B1-4EF5-B546-E00D32D4647D}"/>
    <cellStyle name="Normal 13 2 2 2" xfId="238" xr:uid="{FB6D89FD-6CF9-453B-92CC-97B507AA8FB8}"/>
    <cellStyle name="Normal 13 2 2 2 2" xfId="1041" xr:uid="{614F8A7B-B2FB-47D1-A6AB-462B68099FC0}"/>
    <cellStyle name="Normal 13 2 2 2 2 2" xfId="3529" xr:uid="{BE06763A-BEDA-4B82-9356-6CE90812BA2F}"/>
    <cellStyle name="Normal 13 2 2 2 2 2 2" xfId="5414" xr:uid="{074EE8E3-888F-43A2-B2A0-F7D06CC20FAB}"/>
    <cellStyle name="Normal 13 2 2 2 2 3" xfId="2613" xr:uid="{40BD8BE2-43C3-4A2E-B9CC-4326DDF2D2FA}"/>
    <cellStyle name="Normal 13 2 2 2 2 3 2" xfId="7161" xr:uid="{6CA12E1E-719B-4B51-A385-3855D6F6F453}"/>
    <cellStyle name="Normal 13 2 2 2 2 4" xfId="4284" xr:uid="{006E4719-B2AE-49F4-AA9D-DBC995139AC5}"/>
    <cellStyle name="Normal 13 2 2 2 3" xfId="1552" xr:uid="{5065C72E-38E5-404D-AAB9-79E744167DF3}"/>
    <cellStyle name="Normal 13 2 2 2 3 2" xfId="3144" xr:uid="{13D2302B-6B6E-4838-B958-57050478B0EA}"/>
    <cellStyle name="Normal 13 2 2 2 3 2 2" xfId="5818" xr:uid="{3C43688E-FD61-4836-A068-87EBBC885B44}"/>
    <cellStyle name="Normal 13 2 2 2 3 3" xfId="4647" xr:uid="{6A4970A1-7D8D-45FB-8D81-9608A2AE39C0}"/>
    <cellStyle name="Normal 13 2 2 2 4" xfId="1854" xr:uid="{B495C29E-10DF-4D17-8A57-1EC0E59430A4}"/>
    <cellStyle name="Normal 13 2 2 2 4 2" xfId="4833" xr:uid="{E137DE29-C473-4709-819E-661121FD250C}"/>
    <cellStyle name="Normal 13 2 2 2 5" xfId="563" xr:uid="{97D421DB-F8D2-4307-828D-D242292A5468}"/>
    <cellStyle name="Normal 13 2 2 2 5 2" xfId="5066" xr:uid="{078C34AB-C7A8-47E5-A20A-955F1A17E5B4}"/>
    <cellStyle name="Normal 13 2 2 2 6" xfId="2265" xr:uid="{1390BF44-598F-43B3-A378-3888EA27D09B}"/>
    <cellStyle name="Normal 13 2 2 2 6 2" xfId="7160" xr:uid="{1FFE4323-9B93-4BF1-916C-7BFA16F061ED}"/>
    <cellStyle name="Normal 13 2 2 2 7" xfId="3936" xr:uid="{2C184E9D-1D65-407F-88FA-6C9ACD9452E6}"/>
    <cellStyle name="Normal 13 2 2 3" xfId="338" xr:uid="{62A76BED-D2BA-4078-973D-7C626EBA94A3}"/>
    <cellStyle name="Normal 13 2 2 3 2" xfId="1105" xr:uid="{20E11263-D44D-4864-8C4B-6BC06EDB03E4}"/>
    <cellStyle name="Normal 13 2 2 3 2 2" xfId="3584" xr:uid="{4872C7DD-E66B-4D3F-9821-C4E043604BF2}"/>
    <cellStyle name="Normal 13 2 2 3 2 2 2" xfId="5469" xr:uid="{E9F676E6-11E4-4044-9456-454DD55F1A6D}"/>
    <cellStyle name="Normal 13 2 2 3 2 3" xfId="2668" xr:uid="{241EA6D2-6A14-4691-983E-6659571B8030}"/>
    <cellStyle name="Normal 13 2 2 3 2 4" xfId="4339" xr:uid="{9597C06A-4D0A-48F2-B32E-C70D81D08250}"/>
    <cellStyle name="Normal 13 2 2 3 3" xfId="1651" xr:uid="{6AA6C4EE-7235-4268-9B08-18093359DF7E}"/>
    <cellStyle name="Normal 13 2 2 3 3 2" xfId="3195" xr:uid="{2F16629E-AF1F-4FCD-A967-BB036FB2982D}"/>
    <cellStyle name="Normal 13 2 2 3 3 2 2" xfId="5895" xr:uid="{642A482F-FB40-40A3-9C5E-50EFBC9734C3}"/>
    <cellStyle name="Normal 13 2 2 3 3 3" xfId="4708" xr:uid="{F897BA19-D4B2-48E7-88D0-8B419A51E848}"/>
    <cellStyle name="Normal 13 2 2 3 4" xfId="1953" xr:uid="{D55B0C58-95B0-4F6F-8B32-7DED5ED1D1C2}"/>
    <cellStyle name="Normal 13 2 2 3 4 2" xfId="4894" xr:uid="{75F273D6-F4DA-4D13-804A-B0EA4C10B825}"/>
    <cellStyle name="Normal 13 2 2 3 5" xfId="627" xr:uid="{9FD321EC-7429-483B-98A8-F27455C01A29}"/>
    <cellStyle name="Normal 13 2 2 3 5 2" xfId="5121" xr:uid="{169E2036-1820-4749-9A76-8B5764BF28B2}"/>
    <cellStyle name="Normal 13 2 2 3 6" xfId="2320" xr:uid="{D773FE6F-C26A-422D-86B3-68C59F6FE77A}"/>
    <cellStyle name="Normal 13 2 2 3 6 2" xfId="7162" xr:uid="{ED88C230-ABD7-4DB0-BCC0-A714FFACC1A3}"/>
    <cellStyle name="Normal 13 2 2 3 7" xfId="3991" xr:uid="{835377B5-DAE1-4DFB-A55A-6EDBCEE38FC4}"/>
    <cellStyle name="Normal 13 2 2 4" xfId="438" xr:uid="{73523155-1A48-4EF4-B391-4D1A80A7F29A}"/>
    <cellStyle name="Normal 13 2 2 4 2" xfId="1169" xr:uid="{E53EFD7A-68AE-4C21-A05E-324BCC2FCBE6}"/>
    <cellStyle name="Normal 13 2 2 4 2 2" xfId="3645" xr:uid="{5DB2610E-68D3-40F5-81A4-3BD95021C5AC}"/>
    <cellStyle name="Normal 13 2 2 4 2 2 2" xfId="5524" xr:uid="{2A7FA548-6B53-4F14-B533-BDE6E67057CE}"/>
    <cellStyle name="Normal 13 2 2 4 2 3" xfId="2723" xr:uid="{4BC41DA8-EBAA-4E61-9EE9-84399E03DC46}"/>
    <cellStyle name="Normal 13 2 2 4 2 4" xfId="4394" xr:uid="{1E49B624-BCBA-4698-A7D4-59DD963F3702}"/>
    <cellStyle name="Normal 13 2 2 4 3" xfId="2053" xr:uid="{BFA46897-E592-4125-ACCF-E17B01C686BB}"/>
    <cellStyle name="Normal 13 2 2 4 3 2" xfId="3250" xr:uid="{9AC024A0-2C2A-44CE-BCAE-07F0625E95B2}"/>
    <cellStyle name="Normal 13 2 2 4 3 3" xfId="4956" xr:uid="{841BD5D7-7120-46FC-BB8F-05ECE6760CB6}"/>
    <cellStyle name="Normal 13 2 2 4 4" xfId="691" xr:uid="{2BD58FEB-77C2-42E5-8C12-7DEA6AC41942}"/>
    <cellStyle name="Normal 13 2 2 4 4 2" xfId="5176" xr:uid="{84A9A1CB-9128-4FBB-ADD3-ABDBEFF1D9C6}"/>
    <cellStyle name="Normal 13 2 2 4 5" xfId="2375" xr:uid="{E9F94C4D-7865-41B4-8DF8-D875DDF9968E}"/>
    <cellStyle name="Normal 13 2 2 4 5 2" xfId="7163" xr:uid="{EA5E6734-5BBE-456C-87E9-2611743E6C0C}"/>
    <cellStyle name="Normal 13 2 2 4 6" xfId="4046" xr:uid="{1C6FD3F3-5817-47A1-98F9-007542C874A2}"/>
    <cellStyle name="Normal 13 2 2 5" xfId="755" xr:uid="{4A4215E2-CBD1-4EA4-A2B7-8079F35590DC}"/>
    <cellStyle name="Normal 13 2 2 5 2" xfId="1233" xr:uid="{A6FA067A-7174-48BC-8866-2CCBCB3DAB37}"/>
    <cellStyle name="Normal 13 2 2 5 2 2" xfId="3708" xr:uid="{49B7B942-3C21-4694-AB7A-220622D2A57F}"/>
    <cellStyle name="Normal 13 2 2 5 2 2 2" xfId="5579" xr:uid="{40EEF8FC-1EDA-438C-8944-D8486A56D239}"/>
    <cellStyle name="Normal 13 2 2 5 2 3" xfId="2778" xr:uid="{F534DB05-6ADB-46B0-A476-A14C1202583A}"/>
    <cellStyle name="Normal 13 2 2 5 2 4" xfId="4449" xr:uid="{AE34252C-CBBE-4519-95F2-AD15354E2732}"/>
    <cellStyle name="Normal 13 2 2 5 3" xfId="3305" xr:uid="{F0986830-9ACB-4E69-B0D1-0759461E67FE}"/>
    <cellStyle name="Normal 13 2 2 5 3 2" xfId="5231" xr:uid="{0AEE052E-F65D-4361-B5F8-4C815BDA8BF2}"/>
    <cellStyle name="Normal 13 2 2 5 4" xfId="2430" xr:uid="{293456F2-BA64-457A-BD6B-09F961D9C9AC}"/>
    <cellStyle name="Normal 13 2 2 5 4 2" xfId="7164" xr:uid="{64EEDEEF-6170-42A7-9028-0008C65F6166}"/>
    <cellStyle name="Normal 13 2 2 5 5" xfId="4101" xr:uid="{DF0F53B0-E76A-4FEB-81CC-E969811DF02E}"/>
    <cellStyle name="Normal 13 2 2 6" xfId="819" xr:uid="{E0915352-A1DA-4DCA-A57F-1891ABD03225}"/>
    <cellStyle name="Normal 13 2 2 6 2" xfId="1298" xr:uid="{31C1B63A-986D-42C8-8BDB-820EA5D89079}"/>
    <cellStyle name="Normal 13 2 2 6 2 2" xfId="3772" xr:uid="{3B65FB01-2052-43AB-846E-BDD007D645BC}"/>
    <cellStyle name="Normal 13 2 2 6 2 2 2" xfId="5634" xr:uid="{8912495E-FD65-46DF-A658-65FB9B92532D}"/>
    <cellStyle name="Normal 13 2 2 6 2 3" xfId="2833" xr:uid="{5563BF78-0EF7-4DE1-B30F-67DFADFC1E2F}"/>
    <cellStyle name="Normal 13 2 2 6 2 4" xfId="4504" xr:uid="{D843CADF-81B9-4F4D-8806-49A1FE66376A}"/>
    <cellStyle name="Normal 13 2 2 6 3" xfId="3360" xr:uid="{11ED1DF0-AF02-4369-B27B-354EBB0687C9}"/>
    <cellStyle name="Normal 13 2 2 6 3 2" xfId="5286" xr:uid="{C758AAD3-D92F-4E18-9666-BF8BE011A7B0}"/>
    <cellStyle name="Normal 13 2 2 6 4" xfId="2485" xr:uid="{29EAF911-DB11-4011-8756-3EA96CF04193}"/>
    <cellStyle name="Normal 13 2 2 6 4 2" xfId="7165" xr:uid="{395F011D-2FFC-4D2B-9DF7-656702AAC8FF}"/>
    <cellStyle name="Normal 13 2 2 6 5" xfId="4156" xr:uid="{1B8FD31D-1490-432C-BA02-7ADE38FFE476}"/>
    <cellStyle name="Normal 13 2 2 7" xfId="1002" xr:uid="{3A139C15-826D-48C1-93B7-197F5DDB0717}"/>
    <cellStyle name="Normal 13 2 2 7 2" xfId="3499" xr:uid="{D3536375-CC08-47FD-922E-0F9E5D72A4D8}"/>
    <cellStyle name="Normal 13 2 2 7 2 2" xfId="5384" xr:uid="{FD60597E-33FE-4D3E-A29D-E5BD4EA5917D}"/>
    <cellStyle name="Normal 13 2 2 7 3" xfId="2583" xr:uid="{C7A7538D-79CE-4B38-AC74-75F0FBE6790F}"/>
    <cellStyle name="Normal 13 2 2 7 4" xfId="4254" xr:uid="{E1F6D47A-C62A-4F4F-80E5-A9F72055DF1C}"/>
    <cellStyle name="Normal 13 2 2 8" xfId="1448" xr:uid="{B0DF2FDC-D2C1-423D-B7AB-9DAC4EC5C8F7}"/>
    <cellStyle name="Normal 13 2 2 8 2" xfId="3084" xr:uid="{36ED9EC9-D617-43B3-BBD2-C6F0B7E99A6D}"/>
    <cellStyle name="Normal 13 2 2 8 2 2" xfId="5725" xr:uid="{C63CC1C2-ACEE-4656-8AA1-47791D7F3503}"/>
    <cellStyle name="Normal 13 2 2 8 3" xfId="4586" xr:uid="{D8D62E88-7F1A-4E4C-9056-BAD00F1884BF}"/>
    <cellStyle name="Normal 13 2 2 9" xfId="1754" xr:uid="{BA130F94-AE7A-45DC-A3CB-53C06C4472A1}"/>
    <cellStyle name="Normal 13 2 2 9 2" xfId="4772" xr:uid="{B95760B4-961C-4A48-8762-C6C65A8E8002}"/>
    <cellStyle name="Normal 13 2 3" xfId="237" xr:uid="{FF3DFAA6-1DFF-4485-A932-319767CF00A9}"/>
    <cellStyle name="Normal 13 2 3 2" xfId="1040" xr:uid="{0CA360BF-D81A-4BFA-9CC8-B0F80B0744F1}"/>
    <cellStyle name="Normal 13 2 3 2 2" xfId="3528" xr:uid="{B64303CF-8998-4445-9CA3-AE3F521F9BD6}"/>
    <cellStyle name="Normal 13 2 3 2 2 2" xfId="5413" xr:uid="{95F3D800-1FCE-4F3E-8347-66FC311250DF}"/>
    <cellStyle name="Normal 13 2 3 2 3" xfId="2612" xr:uid="{AB8E97F5-2138-496B-BE59-01630BA2FE1F}"/>
    <cellStyle name="Normal 13 2 3 2 3 2" xfId="7167" xr:uid="{C34DB9F0-9A87-4CD5-AF9A-21DBFD037EDB}"/>
    <cellStyle name="Normal 13 2 3 2 4" xfId="4283" xr:uid="{8FE68785-E865-4917-A4AF-F7AF2279A8CD}"/>
    <cellStyle name="Normal 13 2 3 3" xfId="1551" xr:uid="{30683194-0F78-4B4C-BC88-98BD516B6053}"/>
    <cellStyle name="Normal 13 2 3 3 2" xfId="3143" xr:uid="{A9DAAFDC-86E6-44BC-AC06-16327903BA1F}"/>
    <cellStyle name="Normal 13 2 3 3 2 2" xfId="5817" xr:uid="{16A08435-7131-4355-8965-72094566DCDE}"/>
    <cellStyle name="Normal 13 2 3 3 3" xfId="4646" xr:uid="{29EF7F47-9B9F-4885-9265-637FDD87C748}"/>
    <cellStyle name="Normal 13 2 3 4" xfId="1853" xr:uid="{D5E25A95-E2A4-44A2-B29C-82530ED2FFE0}"/>
    <cellStyle name="Normal 13 2 3 4 2" xfId="4832" xr:uid="{8A429690-165F-4BBC-A52C-87FEA81CE24A}"/>
    <cellStyle name="Normal 13 2 3 5" xfId="562" xr:uid="{C8710FEF-D939-41B0-B1F5-E2E2B4F6214F}"/>
    <cellStyle name="Normal 13 2 3 5 2" xfId="5065" xr:uid="{FD04E9EC-C90C-4B57-8304-E04ABC999E72}"/>
    <cellStyle name="Normal 13 2 3 6" xfId="2264" xr:uid="{A68B1CA2-A38C-427D-B1D5-3FFB41152DEF}"/>
    <cellStyle name="Normal 13 2 3 6 2" xfId="7166" xr:uid="{9D953E71-A153-4A35-9FE5-A61707FB6751}"/>
    <cellStyle name="Normal 13 2 3 7" xfId="3935" xr:uid="{CA5CBD84-F05A-4E65-8341-20E89F74374B}"/>
    <cellStyle name="Normal 13 2 4" xfId="337" xr:uid="{9070EA94-9D95-4342-80E8-189E12F48873}"/>
    <cellStyle name="Normal 13 2 4 2" xfId="1104" xr:uid="{CA256014-5820-4A71-A399-3D9309F2B760}"/>
    <cellStyle name="Normal 13 2 4 2 2" xfId="3583" xr:uid="{C6482B5B-F497-4082-839B-EA070601A170}"/>
    <cellStyle name="Normal 13 2 4 2 2 2" xfId="5468" xr:uid="{69CCD029-CF68-442A-A887-C661EC1F2D6B}"/>
    <cellStyle name="Normal 13 2 4 2 3" xfId="2667" xr:uid="{DAC377DC-BBC2-4111-921D-FC21DAEBA126}"/>
    <cellStyle name="Normal 13 2 4 2 4" xfId="4338" xr:uid="{74E3DDC2-590F-400C-82CB-48FF8539E052}"/>
    <cellStyle name="Normal 13 2 4 3" xfId="1650" xr:uid="{C1AC9BB5-D633-4800-84BE-6D5C0C91E90A}"/>
    <cellStyle name="Normal 13 2 4 3 2" xfId="3194" xr:uid="{AD90075C-FE55-4D40-9565-1137FC720CA2}"/>
    <cellStyle name="Normal 13 2 4 3 2 2" xfId="5894" xr:uid="{6F342640-0806-44D2-9AED-3EA9B018B2DA}"/>
    <cellStyle name="Normal 13 2 4 3 3" xfId="4707" xr:uid="{8C62DE77-74C9-4BBD-9AAB-3388DB743D76}"/>
    <cellStyle name="Normal 13 2 4 4" xfId="1952" xr:uid="{12D0E77F-F6CA-4813-BB0E-128FF9D090EC}"/>
    <cellStyle name="Normal 13 2 4 4 2" xfId="4893" xr:uid="{FC8CD4AA-60C3-424C-950F-774875937EF6}"/>
    <cellStyle name="Normal 13 2 4 5" xfId="626" xr:uid="{C5D99B2B-0407-483B-AB13-DA836DD8BDC3}"/>
    <cellStyle name="Normal 13 2 4 5 2" xfId="5120" xr:uid="{38C94763-858E-42CA-9AD6-56C7FCEC5422}"/>
    <cellStyle name="Normal 13 2 4 6" xfId="2319" xr:uid="{713AD288-6E1F-4079-B72A-3DB5C6E7C34A}"/>
    <cellStyle name="Normal 13 2 4 6 2" xfId="7168" xr:uid="{5F90C26D-EAD2-4C53-80C5-C005E75431B2}"/>
    <cellStyle name="Normal 13 2 4 7" xfId="3990" xr:uid="{9F61B10A-0732-4509-BDAF-F616340B6C14}"/>
    <cellStyle name="Normal 13 2 5" xfId="437" xr:uid="{57C2CD08-3F18-455E-B278-3DBE8900E578}"/>
    <cellStyle name="Normal 13 2 5 2" xfId="1168" xr:uid="{E57ED335-A3E1-4CD2-9FBD-390333845F0C}"/>
    <cellStyle name="Normal 13 2 5 2 2" xfId="3644" xr:uid="{2533DA2D-5680-4622-A9F8-CCAFECBDCEA3}"/>
    <cellStyle name="Normal 13 2 5 2 2 2" xfId="5523" xr:uid="{EAB51D53-0290-4658-9ACB-2A2C31384E2D}"/>
    <cellStyle name="Normal 13 2 5 2 3" xfId="2722" xr:uid="{425ED04E-573A-45F9-8544-9B4EC55DF6F1}"/>
    <cellStyle name="Normal 13 2 5 2 4" xfId="4393" xr:uid="{E28B1A7F-5ABD-4130-83E0-F633C60C3F5B}"/>
    <cellStyle name="Normal 13 2 5 3" xfId="2052" xr:uid="{CBB9B235-56B5-4DE6-A4C8-93803126B090}"/>
    <cellStyle name="Normal 13 2 5 3 2" xfId="3249" xr:uid="{AA4DEA89-3EF0-4DC1-8E1D-8D6804C120E0}"/>
    <cellStyle name="Normal 13 2 5 3 3" xfId="4955" xr:uid="{7F8460C8-4530-49F4-82F9-6E817BB2F1E5}"/>
    <cellStyle name="Normal 13 2 5 4" xfId="690" xr:uid="{72C2930F-566D-42C6-9FD9-3CA47417DE6E}"/>
    <cellStyle name="Normal 13 2 5 4 2" xfId="5175" xr:uid="{7F29DDBA-3523-4305-B77E-0B6C6A951F0F}"/>
    <cellStyle name="Normal 13 2 5 5" xfId="2374" xr:uid="{DCE8EE3D-D3ED-4D0F-9F41-5498F4A417F8}"/>
    <cellStyle name="Normal 13 2 5 5 2" xfId="7169" xr:uid="{A1696B4D-6D0A-4DC8-A725-D4C20F7BDB99}"/>
    <cellStyle name="Normal 13 2 5 6" xfId="4045" xr:uid="{3487D8C7-32F0-4EAC-A5F6-0B79A60F6EBA}"/>
    <cellStyle name="Normal 13 2 6" xfId="754" xr:uid="{7721FEDA-BD10-4A65-AA4E-7F58F30F2524}"/>
    <cellStyle name="Normal 13 2 6 2" xfId="1232" xr:uid="{5FBD88A7-0848-4F52-826D-835F814AF946}"/>
    <cellStyle name="Normal 13 2 6 2 2" xfId="3707" xr:uid="{CB81A773-28AF-4929-98A1-98DA6BD5ABF5}"/>
    <cellStyle name="Normal 13 2 6 2 2 2" xfId="5578" xr:uid="{12545E92-1DD0-4137-A25D-CD09C2995D77}"/>
    <cellStyle name="Normal 13 2 6 2 3" xfId="2777" xr:uid="{3B85C267-9484-404A-8E58-B52C4A41EC40}"/>
    <cellStyle name="Normal 13 2 6 2 4" xfId="4448" xr:uid="{D793855D-C70C-4648-BF3A-330AAAE018DE}"/>
    <cellStyle name="Normal 13 2 6 3" xfId="3304" xr:uid="{4B9AC685-2A17-485C-9A3C-CF5CE070EA42}"/>
    <cellStyle name="Normal 13 2 6 3 2" xfId="5230" xr:uid="{9F47D151-C84E-4C47-A406-D2054BCE80FE}"/>
    <cellStyle name="Normal 13 2 6 4" xfId="2429" xr:uid="{D48B9E22-FE63-41FE-A2BC-4EFF65C58276}"/>
    <cellStyle name="Normal 13 2 6 4 2" xfId="7170" xr:uid="{7E1CE7E9-EFF6-4346-9808-9A6C90331FD9}"/>
    <cellStyle name="Normal 13 2 6 5" xfId="4100" xr:uid="{1519A439-C429-4B0A-8DA0-18709FCE57E0}"/>
    <cellStyle name="Normal 13 2 7" xfId="818" xr:uid="{0D10AFE6-2B2B-4895-B9E9-0B5B713C75C2}"/>
    <cellStyle name="Normal 13 2 7 2" xfId="1297" xr:uid="{B45E4A72-C9A6-4216-B061-38A38F0B56EC}"/>
    <cellStyle name="Normal 13 2 7 2 2" xfId="3771" xr:uid="{191ECE7C-5BEC-48D1-A4BE-3DA3F7CD4201}"/>
    <cellStyle name="Normal 13 2 7 2 2 2" xfId="5633" xr:uid="{F9C07500-D15F-4EDD-8F5D-89303F397C02}"/>
    <cellStyle name="Normal 13 2 7 2 3" xfId="2832" xr:uid="{AA6459A6-77D8-4AF5-95BC-F95FD655B647}"/>
    <cellStyle name="Normal 13 2 7 2 4" xfId="4503" xr:uid="{2E648AD3-4452-4750-ABA7-B80383D2E239}"/>
    <cellStyle name="Normal 13 2 7 3" xfId="3359" xr:uid="{B58361A5-C757-44B4-B700-4C311EFDF223}"/>
    <cellStyle name="Normal 13 2 7 3 2" xfId="5285" xr:uid="{DA8B704A-6F0D-4642-81F2-B2D786743634}"/>
    <cellStyle name="Normal 13 2 7 4" xfId="2484" xr:uid="{3AE38202-A51F-450E-A02F-CC9A4B4F51A8}"/>
    <cellStyle name="Normal 13 2 7 4 2" xfId="7171" xr:uid="{2C670813-52AC-48CF-B8F6-205E739EF935}"/>
    <cellStyle name="Normal 13 2 7 5" xfId="4155" xr:uid="{88B95ACC-B6FE-41C6-A6D4-4DF9C6B42310}"/>
    <cellStyle name="Normal 13 2 8" xfId="949" xr:uid="{8A1CFD03-FE10-4577-B9B5-CCB784420724}"/>
    <cellStyle name="Normal 13 2 8 2" xfId="1370" xr:uid="{5A30096B-3594-4D46-8390-8BD581C2BA87}"/>
    <cellStyle name="Normal 13 2 8 2 2" xfId="3837" xr:uid="{834A7007-0727-4D1F-A407-B41708EEC216}"/>
    <cellStyle name="Normal 13 2 8 2 2 2" xfId="5693" xr:uid="{8611ABF0-A932-4CBE-8EC5-5D2ADF9E6638}"/>
    <cellStyle name="Normal 13 2 8 2 3" xfId="2892" xr:uid="{3140751F-7FCD-4B32-816C-5511FB7FD445}"/>
    <cellStyle name="Normal 13 2 8 2 4" xfId="4563" xr:uid="{CAF5E0BE-7A44-4B53-8FDC-A87F1EDA4C84}"/>
    <cellStyle name="Normal 13 2 8 3" xfId="3450" xr:uid="{83664398-D0E1-4C56-BFD2-578A8CC02D0D}"/>
    <cellStyle name="Normal 13 2 8 3 2" xfId="5345" xr:uid="{24D2745F-08B5-4311-A357-9F6686180615}"/>
    <cellStyle name="Normal 13 2 8 4" xfId="2544" xr:uid="{38815178-D046-414B-8D91-85334A23AB63}"/>
    <cellStyle name="Normal 13 2 8 4 2" xfId="7172" xr:uid="{807C25E8-DF44-45F0-9704-4541DD9721BC}"/>
    <cellStyle name="Normal 13 2 8 5" xfId="4215" xr:uid="{FDA944B4-B0D1-4B40-AEEC-3B26A41C306D}"/>
    <cellStyle name="Normal 13 2 9" xfId="961" xr:uid="{35BA9389-4F04-4C6C-B7B6-9FE05C6AD988}"/>
    <cellStyle name="Normal 13 2 9 2" xfId="1380" xr:uid="{D9F5D2FA-3391-411D-89B4-F0374333CF52}"/>
    <cellStyle name="Normal 13 2 9 2 2" xfId="3845" xr:uid="{1E2CF078-F46F-4618-ABA6-5A237CDC4DD8}"/>
    <cellStyle name="Normal 13 2 9 2 2 2" xfId="5700" xr:uid="{66AB6B64-FD4A-4372-92B8-60243B49F109}"/>
    <cellStyle name="Normal 13 2 9 2 3" xfId="2899" xr:uid="{40AB4579-DB91-46D6-9888-752ECCBBDDB9}"/>
    <cellStyle name="Normal 13 2 9 2 4" xfId="4570" xr:uid="{B7FD739F-CE6E-4CDB-8E47-0DBB12D03260}"/>
    <cellStyle name="Normal 13 2 9 3" xfId="3459" xr:uid="{5BE90F8E-EAD4-4933-B181-B2E22BAB36DC}"/>
    <cellStyle name="Normal 13 2 9 3 2" xfId="5352" xr:uid="{6A8A845F-2B13-470C-8576-724D939FB125}"/>
    <cellStyle name="Normal 13 2 9 4" xfId="2551" xr:uid="{AC24ADE1-A4DB-465E-885E-B7A1EBDF24B5}"/>
    <cellStyle name="Normal 13 2 9 5" xfId="4222" xr:uid="{77C627EE-9118-492D-9CC6-EC3C77D05AD2}"/>
    <cellStyle name="Normal 13 3" xfId="104" xr:uid="{59B2971E-9730-4750-A810-038D58B938D4}"/>
    <cellStyle name="Normal 13 3 10" xfId="523" xr:uid="{536296EE-1EFF-49D9-BAFF-22566CBCFEAE}"/>
    <cellStyle name="Normal 13 3 10 2" xfId="5035" xr:uid="{CB6D379D-4E8E-4D11-A8D8-8F8929303402}"/>
    <cellStyle name="Normal 13 3 11" xfId="2156" xr:uid="{B80FD300-E261-4929-ABED-B7B24B44C120}"/>
    <cellStyle name="Normal 13 3 11 2" xfId="7173" xr:uid="{AB9E418F-E178-41A5-90DF-756FF7740C3E}"/>
    <cellStyle name="Normal 13 3 12" xfId="2234" xr:uid="{74B2C203-5C49-4520-9228-3FAD2841FFE9}"/>
    <cellStyle name="Normal 13 3 13" xfId="3905" xr:uid="{84567B30-B8D4-41B8-A661-C5BF3D120579}"/>
    <cellStyle name="Normal 13 3 2" xfId="239" xr:uid="{2CF78F13-2060-4514-B407-5F9BE3247242}"/>
    <cellStyle name="Normal 13 3 2 2" xfId="1042" xr:uid="{0491F39C-3CAD-4CDD-9477-6FCAC0704A69}"/>
    <cellStyle name="Normal 13 3 2 2 2" xfId="3530" xr:uid="{9D0265D5-16D0-45EF-A03C-29127574B059}"/>
    <cellStyle name="Normal 13 3 2 2 2 2" xfId="5415" xr:uid="{7033E81A-DBE7-436D-B20E-F831F8EDC34C}"/>
    <cellStyle name="Normal 13 3 2 2 3" xfId="2614" xr:uid="{0D767F2A-D615-41B8-8CCE-5625EB996C66}"/>
    <cellStyle name="Normal 13 3 2 2 3 2" xfId="7175" xr:uid="{BFB2896F-CA95-4852-8F08-C6F352DAF2EC}"/>
    <cellStyle name="Normal 13 3 2 2 4" xfId="4285" xr:uid="{F37A5C8A-B874-44EE-A6FB-11D438A9AFB9}"/>
    <cellStyle name="Normal 13 3 2 3" xfId="1553" xr:uid="{B598FFB5-D641-4228-AD69-EB8FAA1A55D7}"/>
    <cellStyle name="Normal 13 3 2 3 2" xfId="3151" xr:uid="{5AA5A48A-5CB6-4EF7-B346-4DC2B78B32CF}"/>
    <cellStyle name="Normal 13 3 2 3 2 2" xfId="5819" xr:uid="{B2147BCD-BC47-4AB0-B91F-CDE69EC3C48E}"/>
    <cellStyle name="Normal 13 3 2 3 3" xfId="4648" xr:uid="{F2BD0C90-A641-45CF-B58A-51624526BE22}"/>
    <cellStyle name="Normal 13 3 2 4" xfId="1855" xr:uid="{33E6A0C2-3FE9-4BCA-927E-EE29753260EC}"/>
    <cellStyle name="Normal 13 3 2 4 2" xfId="4834" xr:uid="{ECC3AE11-9787-4A25-979B-EA92BD2F8E4D}"/>
    <cellStyle name="Normal 13 3 2 5" xfId="564" xr:uid="{85491F6D-3A04-4368-AD6B-35494ED7C13B}"/>
    <cellStyle name="Normal 13 3 2 5 2" xfId="5067" xr:uid="{25B1D3E6-36DA-4EBF-88F2-DA50845C23F8}"/>
    <cellStyle name="Normal 13 3 2 6" xfId="2266" xr:uid="{D99CB6A5-C776-4E0F-937C-DEEF8831712F}"/>
    <cellStyle name="Normal 13 3 2 6 2" xfId="7174" xr:uid="{7CDE023B-A01C-4870-BE6A-CE59095C4B4B}"/>
    <cellStyle name="Normal 13 3 2 7" xfId="3937" xr:uid="{9C1FA5FC-198B-4B62-9789-6A6AB01E5D90}"/>
    <cellStyle name="Normal 13 3 3" xfId="339" xr:uid="{05673DB6-9718-4C4A-9F81-E7C2F8ED50F1}"/>
    <cellStyle name="Normal 13 3 3 2" xfId="1106" xr:uid="{8D388ABC-1088-4F0A-B029-F6C7132133B4}"/>
    <cellStyle name="Normal 13 3 3 2 2" xfId="3585" xr:uid="{A6EDBBBB-1E12-43F5-9E4F-E51EA0F5E2F9}"/>
    <cellStyle name="Normal 13 3 3 2 2 2" xfId="5470" xr:uid="{D4484896-8993-43E1-820F-97B480D03AC5}"/>
    <cellStyle name="Normal 13 3 3 2 3" xfId="2669" xr:uid="{267C50D5-FFBE-43FC-B583-A1F94F53E18A}"/>
    <cellStyle name="Normal 13 3 3 2 4" xfId="4340" xr:uid="{AF8CF10A-EC6A-49A1-9E71-F5DC1687734D}"/>
    <cellStyle name="Normal 13 3 3 3" xfId="1652" xr:uid="{47788819-410B-44B6-9E2A-69CD6E98CFF8}"/>
    <cellStyle name="Normal 13 3 3 3 2" xfId="3196" xr:uid="{0472C6E5-7750-45D7-A837-2F4536F37952}"/>
    <cellStyle name="Normal 13 3 3 3 2 2" xfId="5896" xr:uid="{CD11EDCA-CF1B-4C2E-8703-D24C197AC4C5}"/>
    <cellStyle name="Normal 13 3 3 3 3" xfId="4709" xr:uid="{B1420E70-7B57-4BF3-A52C-4D0584845B9C}"/>
    <cellStyle name="Normal 13 3 3 4" xfId="1954" xr:uid="{2808A0E7-7BC9-4AD8-B2C5-2E10303F90EE}"/>
    <cellStyle name="Normal 13 3 3 4 2" xfId="4895" xr:uid="{62084D2C-5F0D-468D-BBC6-CCF5E0C995E3}"/>
    <cellStyle name="Normal 13 3 3 5" xfId="628" xr:uid="{2C554EAA-8DB7-43A6-AD09-5A78AA4083A5}"/>
    <cellStyle name="Normal 13 3 3 5 2" xfId="5122" xr:uid="{68A89A6C-3104-4437-AC9F-888A13F0E983}"/>
    <cellStyle name="Normal 13 3 3 6" xfId="2321" xr:uid="{76529E06-4A22-47EE-88B8-99ED2E6207A1}"/>
    <cellStyle name="Normal 13 3 3 6 2" xfId="7176" xr:uid="{936E32A5-2533-48DF-8FD8-6A21B3896561}"/>
    <cellStyle name="Normal 13 3 3 7" xfId="3992" xr:uid="{E8B60D1C-978D-4B00-B191-D941FC1007F4}"/>
    <cellStyle name="Normal 13 3 4" xfId="439" xr:uid="{DE43C8B8-297C-44A3-A71D-331B44E0EFDE}"/>
    <cellStyle name="Normal 13 3 4 2" xfId="1170" xr:uid="{56611483-3B65-4291-9381-2E39D160E101}"/>
    <cellStyle name="Normal 13 3 4 2 2" xfId="3646" xr:uid="{E541BB0A-CC85-4B80-B7F5-DA28E0145E1E}"/>
    <cellStyle name="Normal 13 3 4 2 2 2" xfId="5525" xr:uid="{5E39CCE2-B027-4CC2-9D32-4D7D36530654}"/>
    <cellStyle name="Normal 13 3 4 2 3" xfId="2724" xr:uid="{574CC93D-F64F-41DF-8772-D322318D93F7}"/>
    <cellStyle name="Normal 13 3 4 2 4" xfId="4395" xr:uid="{9CF0DEA8-E744-42D9-BAC1-C9E4FE746D0F}"/>
    <cellStyle name="Normal 13 3 4 3" xfId="2054" xr:uid="{4AB03D0B-408A-4DBF-98C9-46CEA0B4FC8D}"/>
    <cellStyle name="Normal 13 3 4 3 2" xfId="3251" xr:uid="{6C43688F-F9FC-47EA-B46C-D0173895B925}"/>
    <cellStyle name="Normal 13 3 4 3 3" xfId="4957" xr:uid="{23E63189-502B-44B9-9E7E-5926C152D304}"/>
    <cellStyle name="Normal 13 3 4 4" xfId="692" xr:uid="{7C5AF7A1-888B-4B42-9C33-C87E7CCC49BF}"/>
    <cellStyle name="Normal 13 3 4 4 2" xfId="5177" xr:uid="{C886DCC4-9810-4993-AE6C-7BD2F572FD97}"/>
    <cellStyle name="Normal 13 3 4 5" xfId="2376" xr:uid="{3154A72F-6F10-40AC-8E2C-08FF6E56DD07}"/>
    <cellStyle name="Normal 13 3 4 5 2" xfId="7177" xr:uid="{B95DFBC4-0D2D-43A8-9378-CE690AA140A0}"/>
    <cellStyle name="Normal 13 3 4 6" xfId="4047" xr:uid="{1093315C-E5AF-46C0-9E6E-0B207F348600}"/>
    <cellStyle name="Normal 13 3 5" xfId="756" xr:uid="{4CD36FE6-6E28-43E0-AA31-6CC472612332}"/>
    <cellStyle name="Normal 13 3 5 2" xfId="1234" xr:uid="{6EA848EB-6DB4-4252-8B46-34FADFBF1FC7}"/>
    <cellStyle name="Normal 13 3 5 2 2" xfId="3709" xr:uid="{96B4224E-04D0-4A4A-AB35-C4FA7C34E1C7}"/>
    <cellStyle name="Normal 13 3 5 2 2 2" xfId="5580" xr:uid="{569ACE73-53CF-486A-A089-2198B675D197}"/>
    <cellStyle name="Normal 13 3 5 2 3" xfId="2779" xr:uid="{5AB312DD-EB2B-450B-A6AA-3BA8FBA91592}"/>
    <cellStyle name="Normal 13 3 5 2 4" xfId="4450" xr:uid="{258510BD-F46C-43A9-8CBB-60BE6B9643D3}"/>
    <cellStyle name="Normal 13 3 5 3" xfId="3306" xr:uid="{E479DE24-78F3-4A8F-AC69-416B261983CD}"/>
    <cellStyle name="Normal 13 3 5 3 2" xfId="5232" xr:uid="{3669753C-8825-442A-9974-F453AAC2BF6D}"/>
    <cellStyle name="Normal 13 3 5 4" xfId="2431" xr:uid="{63D1DBCE-B522-466C-937D-ABB4FB26FBB3}"/>
    <cellStyle name="Normal 13 3 5 4 2" xfId="7178" xr:uid="{444DA83F-31D6-4B6E-8039-59A891062BDE}"/>
    <cellStyle name="Normal 13 3 5 5" xfId="4102" xr:uid="{CE9622F0-0D82-4604-9576-C80CC48781B8}"/>
    <cellStyle name="Normal 13 3 6" xfId="820" xr:uid="{1B60FE52-66E8-4CFE-BDA1-BB75CCD3DC85}"/>
    <cellStyle name="Normal 13 3 6 2" xfId="1299" xr:uid="{729A57BC-86BE-4528-89F3-BDE0C77A8C9D}"/>
    <cellStyle name="Normal 13 3 6 2 2" xfId="3773" xr:uid="{C867F422-3AF2-44EB-91E8-265CF899DCAA}"/>
    <cellStyle name="Normal 13 3 6 2 2 2" xfId="5635" xr:uid="{10CCDD3F-4887-4A6D-AA00-C757BA5545D3}"/>
    <cellStyle name="Normal 13 3 6 2 3" xfId="2834" xr:uid="{65FEE27D-D0C7-40D6-9630-76F083C46316}"/>
    <cellStyle name="Normal 13 3 6 2 4" xfId="4505" xr:uid="{40E297FD-B887-48CF-ACC9-38AB3DDF4C4B}"/>
    <cellStyle name="Normal 13 3 6 3" xfId="3361" xr:uid="{6EAABC27-871F-4C4C-B257-A8837B13B093}"/>
    <cellStyle name="Normal 13 3 6 3 2" xfId="5287" xr:uid="{5D07518B-C93E-4B08-B4C1-76C7A9D5662B}"/>
    <cellStyle name="Normal 13 3 6 4" xfId="2486" xr:uid="{AEA4C663-A287-44DE-ADBE-5873F6D40687}"/>
    <cellStyle name="Normal 13 3 6 4 2" xfId="7179" xr:uid="{E12DB764-3E33-464D-BCD1-63108F4FE925}"/>
    <cellStyle name="Normal 13 3 6 5" xfId="4157" xr:uid="{EFF79F67-C82D-4E59-9539-D2495B054AE6}"/>
    <cellStyle name="Normal 13 3 7" xfId="1001" xr:uid="{E5AAA177-C5F3-4C83-B144-BC9E67FC1634}"/>
    <cellStyle name="Normal 13 3 7 2" xfId="3498" xr:uid="{469AA904-79F8-4A4A-B66E-E6E703EE9BA6}"/>
    <cellStyle name="Normal 13 3 7 2 2" xfId="5383" xr:uid="{F8AE24CB-A220-4A03-ADC4-4B0BCFFEE2BC}"/>
    <cellStyle name="Normal 13 3 7 3" xfId="2582" xr:uid="{144DCB38-F0C5-4B08-9F3E-FFF4F3B59A7F}"/>
    <cellStyle name="Normal 13 3 7 4" xfId="4253" xr:uid="{191D0D3E-F7E1-4F3D-A626-E0BB77DA7415}"/>
    <cellStyle name="Normal 13 3 8" xfId="1449" xr:uid="{D10A9479-F80E-4A48-A493-BE4FB90D9099}"/>
    <cellStyle name="Normal 13 3 8 2" xfId="3085" xr:uid="{50C1ED4E-632B-4FF6-B411-AE8B10E18C99}"/>
    <cellStyle name="Normal 13 3 8 2 2" xfId="5726" xr:uid="{93FBE5F8-D454-4934-8D54-61745DFF9511}"/>
    <cellStyle name="Normal 13 3 8 3" xfId="4587" xr:uid="{5EFE2863-D4A2-47B8-B7A7-7002546178CE}"/>
    <cellStyle name="Normal 13 3 9" xfId="1755" xr:uid="{DCA31B5D-58C9-4102-800A-812CC32CF2EF}"/>
    <cellStyle name="Normal 13 3 9 2" xfId="4773" xr:uid="{F8701C73-71AF-41C4-AB81-A03871988D0F}"/>
    <cellStyle name="Normal 13 4" xfId="101" xr:uid="{6FD2C41D-4E71-4EA2-A751-BB83906CDAE1}"/>
    <cellStyle name="Normal 13 4 2" xfId="1039" xr:uid="{22D1F877-C5A4-4ADA-BB07-28B327829C0E}"/>
    <cellStyle name="Normal 13 4 2 2" xfId="3527" xr:uid="{75144A22-8A09-42B8-B845-49105AD198F1}"/>
    <cellStyle name="Normal 13 4 2 2 2" xfId="5412" xr:uid="{ECB8BBD8-53D7-4A09-A076-2BB88D923929}"/>
    <cellStyle name="Normal 13 4 2 3" xfId="2611" xr:uid="{57C0977E-CCCC-46BE-92DC-E414CFCE2D72}"/>
    <cellStyle name="Normal 13 4 2 3 2" xfId="7181" xr:uid="{D89E717A-1AC6-47DA-B8DB-0C650433E316}"/>
    <cellStyle name="Normal 13 4 2 4" xfId="4282" xr:uid="{9357C957-EBBD-4758-89E3-436AAF126448}"/>
    <cellStyle name="Normal 13 4 3" xfId="1446" xr:uid="{FB7E4FBA-5799-4FD7-9445-17FFD6F969BD}"/>
    <cellStyle name="Normal 13 4 3 2" xfId="3158" xr:uid="{207F8190-66CE-45B1-9216-C0FE8C1EAB94}"/>
    <cellStyle name="Normal 13 4 3 2 2" xfId="5723" xr:uid="{7E2728C9-ACD1-42E8-B9C7-9074FB5D3AF6}"/>
    <cellStyle name="Normal 13 4 3 3" xfId="4584" xr:uid="{9CF348D4-D868-4521-B3FD-BD66AF7E9C7F}"/>
    <cellStyle name="Normal 13 4 4" xfId="1752" xr:uid="{590DDFF1-2B03-4195-A902-5AE6758EE17B}"/>
    <cellStyle name="Normal 13 4 4 2" xfId="4770" xr:uid="{8958D884-B00A-4B2F-9F52-5139E6A5A57C}"/>
    <cellStyle name="Normal 13 4 5" xfId="561" xr:uid="{D077DC9C-70C8-4961-B199-C3E1A5417977}"/>
    <cellStyle name="Normal 13 4 5 2" xfId="5064" xr:uid="{8DF0C4B9-493B-4776-AFDF-A36B15584795}"/>
    <cellStyle name="Normal 13 4 6" xfId="2263" xr:uid="{CD9E75D3-B4F3-4BD8-AA8B-B0454B1B0A6C}"/>
    <cellStyle name="Normal 13 4 6 2" xfId="7180" xr:uid="{92F88715-4E50-45C5-B6E3-F3F200C8AC73}"/>
    <cellStyle name="Normal 13 4 7" xfId="3934" xr:uid="{B8427BE5-3141-42F8-9CA0-6B2468C4C50E}"/>
    <cellStyle name="Normal 13 5" xfId="236" xr:uid="{07273BF5-7825-4551-A589-FFD98EDDBEDC}"/>
    <cellStyle name="Normal 13 5 2" xfId="1103" xr:uid="{44728A99-BB3B-49DD-80EE-F81D1D56E9C4}"/>
    <cellStyle name="Normal 13 5 2 2" xfId="3582" xr:uid="{5D19B999-0D8E-4339-B6CB-9A67DC713F82}"/>
    <cellStyle name="Normal 13 5 2 2 2" xfId="5467" xr:uid="{859431E2-F57A-4519-A79C-8C0EB7D616DC}"/>
    <cellStyle name="Normal 13 5 2 3" xfId="2666" xr:uid="{2C5CEF27-C386-4706-AC4A-59136B42CC20}"/>
    <cellStyle name="Normal 13 5 2 3 2" xfId="7183" xr:uid="{6C947E9B-AE3B-4BDF-972E-D1D56E53D526}"/>
    <cellStyle name="Normal 13 5 2 4" xfId="4337" xr:uid="{6F114566-6BA0-4167-968E-2DA6DBFF70D1}"/>
    <cellStyle name="Normal 13 5 3" xfId="1550" xr:uid="{11A16032-9D52-4CB5-87EE-B8E24DDEA6DA}"/>
    <cellStyle name="Normal 13 5 3 2" xfId="3193" xr:uid="{1E17293D-DDE3-41C1-86B0-142598A7BA16}"/>
    <cellStyle name="Normal 13 5 3 2 2" xfId="5816" xr:uid="{1015F504-EFE1-4B5B-ACEF-E528A87041FF}"/>
    <cellStyle name="Normal 13 5 3 3" xfId="4645" xr:uid="{E240779B-9984-49A7-938D-A8CE6E47B7A4}"/>
    <cellStyle name="Normal 13 5 4" xfId="1852" xr:uid="{B5E84F56-DD25-4A4D-B7D4-236D30E6F2C6}"/>
    <cellStyle name="Normal 13 5 4 2" xfId="4831" xr:uid="{F1453A68-9767-47E7-BA39-C9FF71CF9D3A}"/>
    <cellStyle name="Normal 13 5 5" xfId="625" xr:uid="{A4B48F27-C333-4B55-97F4-E3B9F1497AC7}"/>
    <cellStyle name="Normal 13 5 5 2" xfId="5119" xr:uid="{4D84C931-75E9-4336-8CCA-143E0C739FC0}"/>
    <cellStyle name="Normal 13 5 6" xfId="2318" xr:uid="{AABE3B74-F3BB-4AFC-ADD7-037FF9186E4D}"/>
    <cellStyle name="Normal 13 5 6 2" xfId="7182" xr:uid="{92540A7E-BC54-43A6-B25D-C58EFC4DF21F}"/>
    <cellStyle name="Normal 13 5 7" xfId="3989" xr:uid="{7D22698C-3B3D-4F5B-BB7A-A6DFC2216F50}"/>
    <cellStyle name="Normal 13 6" xfId="336" xr:uid="{E18EE360-73EB-45FD-9C35-15D15624F0D1}"/>
    <cellStyle name="Normal 13 6 2" xfId="1167" xr:uid="{CA722F5C-5CC3-4C09-A6F4-5436AC5A89EA}"/>
    <cellStyle name="Normal 13 6 2 2" xfId="3643" xr:uid="{665ACD9E-A948-466D-8A2A-7E67EC54375C}"/>
    <cellStyle name="Normal 13 6 2 2 2" xfId="5522" xr:uid="{BBB79375-BCEB-444E-83C8-33DA4982D73E}"/>
    <cellStyle name="Normal 13 6 2 3" xfId="2721" xr:uid="{369AD7A1-DD1C-4725-B8DA-D0BD1F23807F}"/>
    <cellStyle name="Normal 13 6 2 4" xfId="4392" xr:uid="{D4628C54-1E38-4778-94A4-245865024B74}"/>
    <cellStyle name="Normal 13 6 3" xfId="1649" xr:uid="{3DD6B934-AEBF-4F97-B87B-1A6B9FCC5C5E}"/>
    <cellStyle name="Normal 13 6 3 2" xfId="3248" xr:uid="{8C09D7FB-657B-4F3F-A4BC-7FE16707A4EA}"/>
    <cellStyle name="Normal 13 6 3 2 2" xfId="5893" xr:uid="{37C5BB55-04E3-46EF-BD68-1C76956DE4D0}"/>
    <cellStyle name="Normal 13 6 3 3" xfId="4706" xr:uid="{E3F4A686-C306-4D02-B18A-A2165FE270EA}"/>
    <cellStyle name="Normal 13 6 4" xfId="1951" xr:uid="{B997C972-B88F-41F9-9EF4-B688F8800737}"/>
    <cellStyle name="Normal 13 6 4 2" xfId="4892" xr:uid="{B3669F6D-25CD-4DA2-9374-01E0C410E7E6}"/>
    <cellStyle name="Normal 13 6 5" xfId="689" xr:uid="{D49B84CB-A037-44B2-B358-B13C1482F9A3}"/>
    <cellStyle name="Normal 13 6 5 2" xfId="5174" xr:uid="{04FDA87E-D14C-4B50-8EB1-EABBD1108EBF}"/>
    <cellStyle name="Normal 13 6 6" xfId="2373" xr:uid="{00122E51-B4A1-4C32-BF81-38748D706634}"/>
    <cellStyle name="Normal 13 6 6 2" xfId="7184" xr:uid="{10BEE93F-36DF-4EC4-9076-A8E84452DC4D}"/>
    <cellStyle name="Normal 13 6 7" xfId="4044" xr:uid="{3681B6CF-FE3C-48FB-86EE-1AB750BE2849}"/>
    <cellStyle name="Normal 13 7" xfId="436" xr:uid="{0AC3D117-CE70-4A5E-AEB2-6897B9C32B2C}"/>
    <cellStyle name="Normal 13 7 2" xfId="1231" xr:uid="{AA823CC8-027D-4A3B-AE49-80086C6F7E49}"/>
    <cellStyle name="Normal 13 7 2 2" xfId="3706" xr:uid="{6339202E-AE97-496C-9F26-FC1AE0E56C6D}"/>
    <cellStyle name="Normal 13 7 2 2 2" xfId="5577" xr:uid="{D6B94B86-F5A6-4569-923D-C5413F3D5047}"/>
    <cellStyle name="Normal 13 7 2 3" xfId="2776" xr:uid="{9180D29A-BE5C-49C0-A651-A529271A6AAF}"/>
    <cellStyle name="Normal 13 7 2 4" xfId="4447" xr:uid="{EF31C9B5-C339-4C83-9C76-4D630310D30B}"/>
    <cellStyle name="Normal 13 7 3" xfId="2051" xr:uid="{8618D940-3E63-4172-9678-D3968B3A2BF6}"/>
    <cellStyle name="Normal 13 7 3 2" xfId="3303" xr:uid="{2CBA4791-2B61-410C-A36E-50F6E5F3EBAF}"/>
    <cellStyle name="Normal 13 7 3 3" xfId="4954" xr:uid="{887D3745-69B4-4271-B8CA-692756D20E7B}"/>
    <cellStyle name="Normal 13 7 4" xfId="753" xr:uid="{72E1030D-6AE7-4342-8522-59EA30EDEB73}"/>
    <cellStyle name="Normal 13 7 4 2" xfId="5229" xr:uid="{7A376550-1169-4A0E-BB9E-8F8538BC4DB0}"/>
    <cellStyle name="Normal 13 7 5" xfId="2428" xr:uid="{A7FADBCF-3C55-4C1E-BB24-7B5CBA6CF521}"/>
    <cellStyle name="Normal 13 7 5 2" xfId="7185" xr:uid="{2299B46A-D9DD-40DB-9AC8-B7C21F74A972}"/>
    <cellStyle name="Normal 13 7 6" xfId="4099" xr:uid="{FD2B189D-F712-4267-BFEF-C6524CD6FFA9}"/>
    <cellStyle name="Normal 13 8" xfId="817" xr:uid="{13D1EA9F-FB95-4367-A47A-36B26BA8FF07}"/>
    <cellStyle name="Normal 13 8 2" xfId="1296" xr:uid="{AF5A96DD-E9E2-4B9E-8D35-C8C558A5124F}"/>
    <cellStyle name="Normal 13 8 2 2" xfId="3770" xr:uid="{F01DF715-ED4C-45D3-BF66-EE0EAE9B098E}"/>
    <cellStyle name="Normal 13 8 2 2 2" xfId="5632" xr:uid="{559EDCCB-0F0F-4E64-AA9F-1B168B5F173F}"/>
    <cellStyle name="Normal 13 8 2 3" xfId="2831" xr:uid="{BEFDCD1B-7D10-42A9-8E80-F3164C46882A}"/>
    <cellStyle name="Normal 13 8 2 4" xfId="4502" xr:uid="{45F9C6E9-574A-468E-8D56-CAB151EB2ED2}"/>
    <cellStyle name="Normal 13 8 3" xfId="3358" xr:uid="{0A34EDC2-6AC6-4CBB-88AC-4B0AAE6A72F0}"/>
    <cellStyle name="Normal 13 8 3 2" xfId="5284" xr:uid="{F3563B53-5854-41AB-988B-0F5C868FF3D7}"/>
    <cellStyle name="Normal 13 8 4" xfId="2483" xr:uid="{4151A90E-DEC4-4B8E-A79D-AE3A5695DEC8}"/>
    <cellStyle name="Normal 13 8 4 2" xfId="7186" xr:uid="{2D2E7D51-204D-4501-9469-FD832464613C}"/>
    <cellStyle name="Normal 13 8 5" xfId="4154" xr:uid="{EA61ECEF-D739-4B65-846F-DB5C75D45207}"/>
    <cellStyle name="Normal 13 9" xfId="923" xr:uid="{FD6B835A-32B8-4B3B-BFBB-1FACA9256284}"/>
    <cellStyle name="Normal 14" xfId="28" xr:uid="{3AABDB9A-1E85-4003-8648-DEDA1BBA96B1}"/>
    <cellStyle name="Normal 14 2" xfId="106" xr:uid="{60D370C0-5003-410A-9CFE-7DFB0D66FB60}"/>
    <cellStyle name="Normal 14 2 2" xfId="7187" xr:uid="{09C8346C-4FCA-49DB-88F7-1EBBAD212EF0}"/>
    <cellStyle name="Normal 14 2 2 2" xfId="7188" xr:uid="{B8C83AA8-D303-4592-86D3-BD181F0492B5}"/>
    <cellStyle name="Normal 14 2 3" xfId="7189" xr:uid="{301C4C65-CB80-4872-81D3-96DB5BC4A223}"/>
    <cellStyle name="Normal 14 2 4" xfId="7190" xr:uid="{13F724CC-EAE5-4EFD-95B3-3643D5D1FF43}"/>
    <cellStyle name="Normal 14 3" xfId="105" xr:uid="{209054A0-DBCB-4B89-AF5A-ECAB5830D9D1}"/>
    <cellStyle name="Normal 14 3 2" xfId="1450" xr:uid="{4C0EFD75-C60D-43C8-966E-F3CF02FAA4E4}"/>
    <cellStyle name="Normal 14 3 2 2" xfId="7192" xr:uid="{F9699BE0-C530-4385-88F7-9AAAE9537BD1}"/>
    <cellStyle name="Normal 14 3 3" xfId="288" xr:uid="{841D4E9F-3663-42A7-9784-3F755B839376}"/>
    <cellStyle name="Normal 14 3 4" xfId="7191" xr:uid="{CC0477DE-8CF7-4EAD-9B0A-E913D8DB69D6}"/>
    <cellStyle name="Normal 14 4" xfId="1394" xr:uid="{B3E3B145-36BE-465F-9515-BC37DCAA0AA5}"/>
    <cellStyle name="Normal 14 4 2" xfId="7193" xr:uid="{C20CAE65-2B6A-4C44-84BA-A63B41C5DD73}"/>
    <cellStyle name="Normal 14 5" xfId="7194" xr:uid="{5902B588-667A-4298-B101-D316C2688F81}"/>
    <cellStyle name="Normal 14 6" xfId="7195" xr:uid="{0A32179A-0DE7-462D-BDE8-A7B2F4D7E4A6}"/>
    <cellStyle name="Normal 15" xfId="24" xr:uid="{F69049BE-71BC-47EA-9E24-0C7C0498F3B7}"/>
    <cellStyle name="Normal 15 2" xfId="108" xr:uid="{F714E301-7389-4CD5-A283-97A37C89E022}"/>
    <cellStyle name="Normal 15 2 2" xfId="7197" xr:uid="{56C362AB-84CA-4784-B210-A4368EB83087}"/>
    <cellStyle name="Normal 15 2 3" xfId="7198" xr:uid="{750DFB23-E850-4C40-82F8-CBF3123B7D4D}"/>
    <cellStyle name="Normal 15 2 4" xfId="7199" xr:uid="{500F2DC2-7645-4DAA-B912-DD49023EF4FF}"/>
    <cellStyle name="Normal 15 2 5" xfId="7196" xr:uid="{68A57540-E5A8-4925-8750-483A517006BE}"/>
    <cellStyle name="Normal 15 3" xfId="109" xr:uid="{CBFFA6A3-1363-4657-AA05-A492E3CF7203}"/>
    <cellStyle name="Normal 15 3 2" xfId="7201" xr:uid="{1A830591-E538-47B0-BCCB-F46306B9BD70}"/>
    <cellStyle name="Normal 15 3 3" xfId="7200" xr:uid="{FCF11732-0F55-424E-B08F-C6927A951C83}"/>
    <cellStyle name="Normal 15 4" xfId="107" xr:uid="{C9EA4DD6-F17A-4EE1-BED7-5413ABC4CEA7}"/>
    <cellStyle name="Normal 15 4 2" xfId="1451" xr:uid="{11A2B2B4-22DB-4BC9-ADF8-E3785DAAB9AF}"/>
    <cellStyle name="Normal 15 4 3" xfId="952" xr:uid="{084EC5D0-85A8-4409-B17E-E594416AFC27}"/>
    <cellStyle name="Normal 15 5" xfId="1390" xr:uid="{C1594880-2C1F-4D47-9663-30AFA6ACCB07}"/>
    <cellStyle name="Normal 15 5 2" xfId="7202" xr:uid="{5CD91ED4-2605-45CA-BD52-69DAE60222CC}"/>
    <cellStyle name="Normal 16" xfId="29" xr:uid="{45CBBF5A-A642-49AF-AE20-654AE90B7AE4}"/>
    <cellStyle name="Normal 16 10" xfId="978" xr:uid="{F1444014-B677-4178-85A7-43CA280ABC61}"/>
    <cellStyle name="Normal 16 10 2" xfId="3475" xr:uid="{D1B363AE-F9B0-43A5-9BD0-4AD5B96B1BD9}"/>
    <cellStyle name="Normal 16 10 2 2" xfId="5366" xr:uid="{CEE3D74B-883C-497D-907D-7C1B10A7D210}"/>
    <cellStyle name="Normal 16 10 3" xfId="2565" xr:uid="{B52AE1CC-BA94-46CD-A3B6-8BDD08E53D17}"/>
    <cellStyle name="Normal 16 10 4" xfId="4236" xr:uid="{4B406266-3784-4CF2-9285-63CE56331D63}"/>
    <cellStyle name="Normal 16 11" xfId="1395" xr:uid="{398A3BA3-59DD-48CB-A5C2-3C3EA51694EF}"/>
    <cellStyle name="Normal 16 11 2" xfId="3086" xr:uid="{986206EC-D760-4939-8B98-F5E5A365F3B8}"/>
    <cellStyle name="Normal 16 12" xfId="500" xr:uid="{DE0137FD-4A68-48BD-84F2-210E44CDB23E}"/>
    <cellStyle name="Normal 16 12 2" xfId="5018" xr:uid="{62A66484-BCBC-4775-9828-FEE6F9406537}"/>
    <cellStyle name="Normal 16 13" xfId="2157" xr:uid="{F1A7EA95-E2FD-41B6-AEFD-0021EE8D5D19}"/>
    <cellStyle name="Normal 16 14" xfId="2217" xr:uid="{330589FA-708A-4739-B7EA-C5BF67D3ED90}"/>
    <cellStyle name="Normal 16 15" xfId="3888" xr:uid="{2D5F23E6-3EC0-48D0-879E-CF4F330EFB85}"/>
    <cellStyle name="Normal 16 2" xfId="111" xr:uid="{3217EE9B-FE0F-42BD-A733-012875EBAB7B}"/>
    <cellStyle name="Normal 16 2 10" xfId="1757" xr:uid="{10D3BD01-F15D-4146-B6D7-A6B8A40A78E5}"/>
    <cellStyle name="Normal 16 2 10 2" xfId="4775" xr:uid="{AFD1CE9A-1835-4CCC-B33D-F36B6842C25F}"/>
    <cellStyle name="Normal 16 2 11" xfId="514" xr:uid="{B2574C49-84AB-4F02-BA2F-1BD964736219}"/>
    <cellStyle name="Normal 16 2 11 2" xfId="5030" xr:uid="{14EF1BFA-6D35-4300-996A-2A2722111C89}"/>
    <cellStyle name="Normal 16 2 12" xfId="2158" xr:uid="{1B76BDEC-FFCC-4DD3-BFB2-EEFE6D509A2F}"/>
    <cellStyle name="Normal 16 2 12 2" xfId="7203" xr:uid="{0C310AF4-737E-4A8D-91E8-D39DF5193316}"/>
    <cellStyle name="Normal 16 2 13" xfId="2229" xr:uid="{FD26A466-4884-4375-B8C7-16B64D126A3E}"/>
    <cellStyle name="Normal 16 2 14" xfId="3900" xr:uid="{515C4659-BF9D-4D7D-A35A-D2C05EC4EF89}"/>
    <cellStyle name="Normal 16 2 2" xfId="112" xr:uid="{797D6F3C-7445-4612-85BD-F17092ACF1DA}"/>
    <cellStyle name="Normal 16 2 2 10" xfId="526" xr:uid="{862EDF26-BD73-49D3-B144-373CD70EC7FE}"/>
    <cellStyle name="Normal 16 2 2 10 2" xfId="5038" xr:uid="{F5E7E490-1BBC-4E33-A218-02B486C1F22E}"/>
    <cellStyle name="Normal 16 2 2 11" xfId="2159" xr:uid="{F5EDA962-C64B-4D82-9B27-B9098EEC5ED0}"/>
    <cellStyle name="Normal 16 2 2 11 2" xfId="7204" xr:uid="{1372FCB3-97FC-4618-894A-CA4548FC2EC3}"/>
    <cellStyle name="Normal 16 2 2 12" xfId="2237" xr:uid="{0D717B0F-F72F-4CAA-AF58-5EEB0EB4B5E8}"/>
    <cellStyle name="Normal 16 2 2 13" xfId="3908" xr:uid="{F24C2C51-CAAD-45D7-BB50-4A92DE067D6C}"/>
    <cellStyle name="Normal 16 2 2 2" xfId="242" xr:uid="{2108A815-46D3-4010-93FB-B350A4D32FE5}"/>
    <cellStyle name="Normal 16 2 2 2 2" xfId="1045" xr:uid="{1FAEEE56-9E8C-45D9-9091-F317EF6499E8}"/>
    <cellStyle name="Normal 16 2 2 2 2 2" xfId="3533" xr:uid="{84C5A402-5947-442C-901D-34361EA856EE}"/>
    <cellStyle name="Normal 16 2 2 2 2 2 2" xfId="5418" xr:uid="{CB54C299-B603-4404-9149-07509374E88E}"/>
    <cellStyle name="Normal 16 2 2 2 2 3" xfId="2617" xr:uid="{B0E58B29-03A3-4618-AE79-7681CF4A433D}"/>
    <cellStyle name="Normal 16 2 2 2 2 4" xfId="4288" xr:uid="{CFC3B712-6ACE-4D13-BC87-24E93955E0B0}"/>
    <cellStyle name="Normal 16 2 2 2 3" xfId="1556" xr:uid="{204C3ADE-103F-4C92-8967-AB11541755C9}"/>
    <cellStyle name="Normal 16 2 2 2 3 2" xfId="3156" xr:uid="{AAE5BBF7-25AA-45B8-80A1-25D5C9A5F629}"/>
    <cellStyle name="Normal 16 2 2 2 3 2 2" xfId="5822" xr:uid="{EFA5C849-6E35-4D59-8EC2-B0C673B600D7}"/>
    <cellStyle name="Normal 16 2 2 2 3 3" xfId="4651" xr:uid="{C2ECFC92-3A08-4C61-9BEF-7B508CF20EAE}"/>
    <cellStyle name="Normal 16 2 2 2 4" xfId="1858" xr:uid="{3BF970F3-377C-4A15-BE2F-6A92E7F94980}"/>
    <cellStyle name="Normal 16 2 2 2 4 2" xfId="4837" xr:uid="{0F6D3B3A-FE64-4EAA-8FC7-D718AE6B6FEC}"/>
    <cellStyle name="Normal 16 2 2 2 5" xfId="567" xr:uid="{FE103595-7B09-43EA-9E57-95318894B87C}"/>
    <cellStyle name="Normal 16 2 2 2 5 2" xfId="5070" xr:uid="{0F522E1D-FB13-4CC1-BDFE-B892A4FE1C2F}"/>
    <cellStyle name="Normal 16 2 2 2 6" xfId="2269" xr:uid="{F082816E-C7C2-4328-AB79-A68A49186C02}"/>
    <cellStyle name="Normal 16 2 2 2 6 2" xfId="7205" xr:uid="{0A73D433-4FBB-41BF-935E-49EBBA58C43E}"/>
    <cellStyle name="Normal 16 2 2 2 7" xfId="3940" xr:uid="{34CFFDDA-A16A-4ACC-88C7-A3E00D26BEE1}"/>
    <cellStyle name="Normal 16 2 2 3" xfId="342" xr:uid="{1BF2C8B0-07CB-4D19-92E1-D90702AE7306}"/>
    <cellStyle name="Normal 16 2 2 3 2" xfId="1109" xr:uid="{204C4636-7273-431E-9ED4-77F3A9A833DB}"/>
    <cellStyle name="Normal 16 2 2 3 2 2" xfId="3588" xr:uid="{E33272F4-5115-471A-8C51-174E336BE7C8}"/>
    <cellStyle name="Normal 16 2 2 3 2 2 2" xfId="5473" xr:uid="{A1F51CE5-7BE3-4C5F-8BB4-D953084B1B17}"/>
    <cellStyle name="Normal 16 2 2 3 2 3" xfId="2672" xr:uid="{16F4E48F-1DF1-42A8-A870-D606EE9F4B51}"/>
    <cellStyle name="Normal 16 2 2 3 2 4" xfId="4343" xr:uid="{043ECAD3-3504-4715-BA87-6B1DC582AA21}"/>
    <cellStyle name="Normal 16 2 2 3 3" xfId="1655" xr:uid="{D407CB37-C76F-489D-92FB-F27497952CB6}"/>
    <cellStyle name="Normal 16 2 2 3 3 2" xfId="3199" xr:uid="{93C15760-77FA-41C8-8135-08CF8A936E33}"/>
    <cellStyle name="Normal 16 2 2 3 3 2 2" xfId="5899" xr:uid="{48514EAE-F970-45F9-BA51-9EFF5263A014}"/>
    <cellStyle name="Normal 16 2 2 3 3 3" xfId="4712" xr:uid="{F671C380-82EF-4851-9FC1-BAD308232A18}"/>
    <cellStyle name="Normal 16 2 2 3 4" xfId="1957" xr:uid="{2C48E571-6461-499F-B70A-F2023E7D8F4B}"/>
    <cellStyle name="Normal 16 2 2 3 4 2" xfId="4898" xr:uid="{E4E509D4-D36C-4AD1-8421-B9CF1E85D94E}"/>
    <cellStyle name="Normal 16 2 2 3 5" xfId="631" xr:uid="{A7B4A2C7-15F0-403E-BEDE-C02D59AF7258}"/>
    <cellStyle name="Normal 16 2 2 3 5 2" xfId="5125" xr:uid="{95923936-B8CB-4568-99E4-C11EB4B12EEE}"/>
    <cellStyle name="Normal 16 2 2 3 6" xfId="2324" xr:uid="{F84CFE82-C9C1-4C79-B3D3-6E5CD086FE61}"/>
    <cellStyle name="Normal 16 2 2 3 6 2" xfId="7206" xr:uid="{9853466C-61E7-4436-B384-B60B4F12F5F2}"/>
    <cellStyle name="Normal 16 2 2 3 7" xfId="3995" xr:uid="{5C5EAFA9-BBB6-48C0-B842-C70EDC1AF4AB}"/>
    <cellStyle name="Normal 16 2 2 4" xfId="442" xr:uid="{2E25FD50-2552-4805-951D-3799AC0836DC}"/>
    <cellStyle name="Normal 16 2 2 4 2" xfId="1173" xr:uid="{EC5F8104-9B77-4B53-B735-0C5EE359D575}"/>
    <cellStyle name="Normal 16 2 2 4 2 2" xfId="3649" xr:uid="{9B2587E9-58BF-42E7-A573-A395A7302A45}"/>
    <cellStyle name="Normal 16 2 2 4 2 2 2" xfId="5528" xr:uid="{786B45BC-1006-443C-80DA-086DDE1DFEC7}"/>
    <cellStyle name="Normal 16 2 2 4 2 3" xfId="2727" xr:uid="{436985EB-443F-4122-95F8-DDC4A87FC64F}"/>
    <cellStyle name="Normal 16 2 2 4 2 4" xfId="4398" xr:uid="{CF029824-E10F-429F-9151-6140778ECBC7}"/>
    <cellStyle name="Normal 16 2 2 4 3" xfId="2057" xr:uid="{06001B51-AA8D-427D-AE90-DBBB939FEAB6}"/>
    <cellStyle name="Normal 16 2 2 4 3 2" xfId="3254" xr:uid="{B1DF67F1-4A78-4D43-962D-692F9D695DC9}"/>
    <cellStyle name="Normal 16 2 2 4 3 3" xfId="4960" xr:uid="{4E396042-78AC-416E-9EEA-AC44B5C287B5}"/>
    <cellStyle name="Normal 16 2 2 4 4" xfId="695" xr:uid="{115BE3B7-03DC-4050-97D2-98374D92EC95}"/>
    <cellStyle name="Normal 16 2 2 4 4 2" xfId="5180" xr:uid="{A804FDBA-0F2D-4619-A399-CB1574AB5E22}"/>
    <cellStyle name="Normal 16 2 2 4 5" xfId="2379" xr:uid="{24D63EBD-E060-43E1-926D-7E81004110A2}"/>
    <cellStyle name="Normal 16 2 2 4 5 2" xfId="7207" xr:uid="{E2114C20-8712-4BCC-9D4D-93426DB66D2F}"/>
    <cellStyle name="Normal 16 2 2 4 6" xfId="4050" xr:uid="{E767A6B3-7C91-4928-9175-79CD9009B23F}"/>
    <cellStyle name="Normal 16 2 2 5" xfId="759" xr:uid="{16F86E84-B792-46B0-8666-566542EA0FFD}"/>
    <cellStyle name="Normal 16 2 2 5 2" xfId="1237" xr:uid="{B6A60C60-0F79-481A-95E3-B5F0ED711FDC}"/>
    <cellStyle name="Normal 16 2 2 5 2 2" xfId="3712" xr:uid="{D88DFBC9-BA9B-46AB-A167-F00C46A24BE8}"/>
    <cellStyle name="Normal 16 2 2 5 2 2 2" xfId="5583" xr:uid="{1D00A815-3E59-4863-B301-BBD8FABE4E05}"/>
    <cellStyle name="Normal 16 2 2 5 2 3" xfId="2782" xr:uid="{71E9ED47-F238-432D-8B1E-DE3525575B50}"/>
    <cellStyle name="Normal 16 2 2 5 2 4" xfId="4453" xr:uid="{A2D89E11-5B34-4DD5-BFDB-D3E5C4D43F97}"/>
    <cellStyle name="Normal 16 2 2 5 3" xfId="3309" xr:uid="{540B0013-7A7C-4FDB-9751-CA173BBB40EF}"/>
    <cellStyle name="Normal 16 2 2 5 3 2" xfId="5235" xr:uid="{3CCD7CA1-5239-4F58-A0FD-C89B6A1CB681}"/>
    <cellStyle name="Normal 16 2 2 5 4" xfId="2434" xr:uid="{0E4242B5-9FB6-4AAC-8398-917D5336F24D}"/>
    <cellStyle name="Normal 16 2 2 5 4 2" xfId="7208" xr:uid="{3FABDF5C-A05C-4C05-876E-A708C79CF24B}"/>
    <cellStyle name="Normal 16 2 2 5 5" xfId="4105" xr:uid="{0610C42C-5737-4796-BBCD-A3FD89E14332}"/>
    <cellStyle name="Normal 16 2 2 6" xfId="823" xr:uid="{8BBB6E73-4FF9-4DB3-919F-08796F700B11}"/>
    <cellStyle name="Normal 16 2 2 6 2" xfId="1302" xr:uid="{836C9D42-04F4-4E7A-A57C-00F31A01816A}"/>
    <cellStyle name="Normal 16 2 2 6 2 2" xfId="3776" xr:uid="{2CB09365-D446-471C-8233-48296B454598}"/>
    <cellStyle name="Normal 16 2 2 6 2 2 2" xfId="5638" xr:uid="{99FB96B8-7890-4B31-A935-0BEF105844D3}"/>
    <cellStyle name="Normal 16 2 2 6 2 3" xfId="2837" xr:uid="{AC62F3AA-DC0E-4BDC-A8E3-51C6C7546EC4}"/>
    <cellStyle name="Normal 16 2 2 6 2 4" xfId="4508" xr:uid="{E0EB0EA8-7390-462B-B84B-0479B0D77B61}"/>
    <cellStyle name="Normal 16 2 2 6 3" xfId="3364" xr:uid="{DC970292-6E18-4458-BBBA-2C4B661BEB84}"/>
    <cellStyle name="Normal 16 2 2 6 3 2" xfId="5290" xr:uid="{DDBD87C4-F032-41C0-8F01-08511D24F1D5}"/>
    <cellStyle name="Normal 16 2 2 6 4" xfId="2489" xr:uid="{B14902F4-352D-44D3-B741-35D82971BCDC}"/>
    <cellStyle name="Normal 16 2 2 6 4 2" xfId="7209" xr:uid="{02FC7EC1-AF0A-45A8-9095-A6BC992F6C0C}"/>
    <cellStyle name="Normal 16 2 2 6 5" xfId="4160" xr:uid="{206FF74D-B73F-4A61-8E8E-C9F26656A3CB}"/>
    <cellStyle name="Normal 16 2 2 7" xfId="1004" xr:uid="{236926C2-101D-4062-86E6-135CCC1B2D24}"/>
    <cellStyle name="Normal 16 2 2 7 2" xfId="3501" xr:uid="{8431F0B3-195E-44BC-AB05-E0C6292F064D}"/>
    <cellStyle name="Normal 16 2 2 7 2 2" xfId="5386" xr:uid="{3F9E6430-A0A8-4E60-9FD7-9761325163BB}"/>
    <cellStyle name="Normal 16 2 2 7 3" xfId="2585" xr:uid="{05B975E7-C672-43F6-8E91-E6057F8E9A06}"/>
    <cellStyle name="Normal 16 2 2 7 4" xfId="4256" xr:uid="{507DBDE0-8375-46D8-AC99-9FEBFF34DF53}"/>
    <cellStyle name="Normal 16 2 2 8" xfId="1454" xr:uid="{655002EB-F846-483B-A5FE-202269120896}"/>
    <cellStyle name="Normal 16 2 2 8 2" xfId="3088" xr:uid="{1DF200D8-2C29-4C5F-85AC-6351989FFF37}"/>
    <cellStyle name="Normal 16 2 2 8 2 2" xfId="5729" xr:uid="{D51700E5-41CE-469D-908D-746B80B61031}"/>
    <cellStyle name="Normal 16 2 2 8 3" xfId="4590" xr:uid="{1354CE5A-CBB6-4D23-8835-3BCABC06AC59}"/>
    <cellStyle name="Normal 16 2 2 9" xfId="1758" xr:uid="{377244B2-A5EF-457C-A3CB-16439E18AC01}"/>
    <cellStyle name="Normal 16 2 2 9 2" xfId="4776" xr:uid="{1D7889E8-9418-49B9-AF34-5AA651EA404E}"/>
    <cellStyle name="Normal 16 2 3" xfId="241" xr:uid="{3977661D-FEE6-4F68-8CF4-BA20D891DD2F}"/>
    <cellStyle name="Normal 16 2 3 2" xfId="1044" xr:uid="{721DCE8E-3839-4262-8DFC-08B1C0100865}"/>
    <cellStyle name="Normal 16 2 3 2 2" xfId="3532" xr:uid="{D4EC3076-E75D-4755-AA92-1FB7DC36753F}"/>
    <cellStyle name="Normal 16 2 3 2 2 2" xfId="5417" xr:uid="{CD02230D-C93F-4503-B60C-B752B838FDFF}"/>
    <cellStyle name="Normal 16 2 3 2 3" xfId="2616" xr:uid="{6DBAF326-8434-4359-8237-C7C767A99FE5}"/>
    <cellStyle name="Normal 16 2 3 2 4" xfId="4287" xr:uid="{EE887B4D-DDD5-4FDD-A2C4-00A0EC0EBDB8}"/>
    <cellStyle name="Normal 16 2 3 3" xfId="1555" xr:uid="{0DEB1B7C-3355-44CC-9624-55F7DA6B13AD}"/>
    <cellStyle name="Normal 16 2 3 3 2" xfId="3157" xr:uid="{6425DE20-C450-419A-9378-B189BE0DFBF2}"/>
    <cellStyle name="Normal 16 2 3 3 2 2" xfId="5821" xr:uid="{8BFDA0D5-7010-44E9-B8DD-9EFDA7620D06}"/>
    <cellStyle name="Normal 16 2 3 3 3" xfId="4650" xr:uid="{507C0C21-D6EB-46A2-B120-71ADFAAB1EF6}"/>
    <cellStyle name="Normal 16 2 3 4" xfId="1857" xr:uid="{07598EE8-A16C-4316-99A7-38FE384E2C72}"/>
    <cellStyle name="Normal 16 2 3 4 2" xfId="4836" xr:uid="{24DDF8C5-597F-4964-B867-A0F4619F22ED}"/>
    <cellStyle name="Normal 16 2 3 5" xfId="566" xr:uid="{61CF47F2-0C80-43E5-BFFF-62FE5DD52C2A}"/>
    <cellStyle name="Normal 16 2 3 5 2" xfId="5069" xr:uid="{EF7DC520-0451-45C1-87F7-789BF6A24BA9}"/>
    <cellStyle name="Normal 16 2 3 6" xfId="2268" xr:uid="{86294A22-D931-4959-BDE6-C82ACB71EB6B}"/>
    <cellStyle name="Normal 16 2 3 6 2" xfId="7210" xr:uid="{C20BC9CA-AAB4-459A-88E4-E69500D36492}"/>
    <cellStyle name="Normal 16 2 3 7" xfId="3939" xr:uid="{BA535220-78EA-46F0-88AD-F16F8C1F5B59}"/>
    <cellStyle name="Normal 16 2 4" xfId="341" xr:uid="{A32AA6E5-5A5B-41C0-90D5-EA94964049E4}"/>
    <cellStyle name="Normal 16 2 4 2" xfId="1108" xr:uid="{96B9924B-0019-4D46-A825-533879F260B3}"/>
    <cellStyle name="Normal 16 2 4 2 2" xfId="3587" xr:uid="{2EFD9A9B-A627-4ED0-AEB9-704201991983}"/>
    <cellStyle name="Normal 16 2 4 2 2 2" xfId="5472" xr:uid="{3DC8E5B0-64C4-485F-B27C-AD515949DEE1}"/>
    <cellStyle name="Normal 16 2 4 2 3" xfId="2671" xr:uid="{94FE7622-03E3-4B25-9A49-9789A1AA3662}"/>
    <cellStyle name="Normal 16 2 4 2 4" xfId="4342" xr:uid="{331CF224-190F-4C6D-B3C8-87BCD73D7AD8}"/>
    <cellStyle name="Normal 16 2 4 3" xfId="1654" xr:uid="{D143D7D2-BB20-4894-BC93-7A77EB17C0FC}"/>
    <cellStyle name="Normal 16 2 4 3 2" xfId="3198" xr:uid="{B97C48CC-1D07-4D66-8CCC-5D672EBB6BB0}"/>
    <cellStyle name="Normal 16 2 4 3 2 2" xfId="5898" xr:uid="{EDDD589D-A726-4AE1-B93E-FD175189451E}"/>
    <cellStyle name="Normal 16 2 4 3 3" xfId="4711" xr:uid="{95EE4E2A-EB23-4FE4-BC39-A0497C985C71}"/>
    <cellStyle name="Normal 16 2 4 4" xfId="1956" xr:uid="{92AB4E98-6482-42D2-B969-4B3A8ACC881D}"/>
    <cellStyle name="Normal 16 2 4 4 2" xfId="4897" xr:uid="{11DC8F80-F98D-453F-9385-0D108D4A42AE}"/>
    <cellStyle name="Normal 16 2 4 5" xfId="630" xr:uid="{49976E33-4BD3-4CB2-A958-98F440D6E1F7}"/>
    <cellStyle name="Normal 16 2 4 5 2" xfId="5124" xr:uid="{F9DF2C09-0D63-4820-8A34-AE7CEBE40FDE}"/>
    <cellStyle name="Normal 16 2 4 6" xfId="2323" xr:uid="{C9A39296-F23E-4E98-901A-F27F56792DBF}"/>
    <cellStyle name="Normal 16 2 4 6 2" xfId="7211" xr:uid="{FF6DC0E1-5F65-44C4-AC33-AB128EFDA4DE}"/>
    <cellStyle name="Normal 16 2 4 7" xfId="3994" xr:uid="{9E5934CE-9009-4586-ADA6-199CF2D6893E}"/>
    <cellStyle name="Normal 16 2 5" xfId="441" xr:uid="{041AC66C-E89E-418D-A2C5-D2C49841E88E}"/>
    <cellStyle name="Normal 16 2 5 2" xfId="1172" xr:uid="{7293A8CA-27C6-453C-9272-BCAD32107E57}"/>
    <cellStyle name="Normal 16 2 5 2 2" xfId="3648" xr:uid="{BDA7079E-435B-4661-B0EE-8EE0D87A7532}"/>
    <cellStyle name="Normal 16 2 5 2 2 2" xfId="5527" xr:uid="{EEA223AF-8987-4DCF-B44E-E5C8637942A0}"/>
    <cellStyle name="Normal 16 2 5 2 3" xfId="2726" xr:uid="{E195AB9E-42F6-4754-837E-42FEAA1BE986}"/>
    <cellStyle name="Normal 16 2 5 2 4" xfId="4397" xr:uid="{4CD87F31-025F-41DF-B60A-253780DFDB46}"/>
    <cellStyle name="Normal 16 2 5 3" xfId="2056" xr:uid="{36F9664B-0F36-492C-A0DF-2CF01AFB8F9D}"/>
    <cellStyle name="Normal 16 2 5 3 2" xfId="3253" xr:uid="{2DE87BF0-F023-4C6E-B60E-6DE7A393BB29}"/>
    <cellStyle name="Normal 16 2 5 3 3" xfId="4959" xr:uid="{83EB5138-D2B5-4C48-BB62-EA0B2403DADF}"/>
    <cellStyle name="Normal 16 2 5 4" xfId="694" xr:uid="{ED791FAF-57A0-438E-8245-594D5DF89996}"/>
    <cellStyle name="Normal 16 2 5 4 2" xfId="5179" xr:uid="{3732E4C6-1EB6-455F-B1FB-3D2157795963}"/>
    <cellStyle name="Normal 16 2 5 5" xfId="2378" xr:uid="{6355F2A6-811B-4642-BAB8-96A4042A377C}"/>
    <cellStyle name="Normal 16 2 5 5 2" xfId="7212" xr:uid="{BE61C559-0BF9-4F01-AADD-4DCD935B0D6F}"/>
    <cellStyle name="Normal 16 2 5 6" xfId="4049" xr:uid="{ABECF041-9A46-491F-ABE9-C4E6298879B4}"/>
    <cellStyle name="Normal 16 2 6" xfId="758" xr:uid="{B19A73F4-BB9C-48C4-90B7-6EF6D0C8D179}"/>
    <cellStyle name="Normal 16 2 6 2" xfId="1236" xr:uid="{C413B416-F51B-4646-B22F-93388D7B2F7D}"/>
    <cellStyle name="Normal 16 2 6 2 2" xfId="3711" xr:uid="{0523B0ED-90B2-468E-BCA2-961EB0A79746}"/>
    <cellStyle name="Normal 16 2 6 2 2 2" xfId="5582" xr:uid="{345F35D9-ECE2-4DEB-93B7-59591607FB71}"/>
    <cellStyle name="Normal 16 2 6 2 3" xfId="2781" xr:uid="{5E6FC9FD-5241-4B52-9224-9D3FB0433DD0}"/>
    <cellStyle name="Normal 16 2 6 2 4" xfId="4452" xr:uid="{ADB7256E-1486-45C3-9880-CBB38F07A2F2}"/>
    <cellStyle name="Normal 16 2 6 3" xfId="3308" xr:uid="{936E5C7F-BA18-4D9F-982F-1FB5EE1195D3}"/>
    <cellStyle name="Normal 16 2 6 3 2" xfId="5234" xr:uid="{4EDB6AD9-52B9-495F-A1C5-935F6208FE10}"/>
    <cellStyle name="Normal 16 2 6 4" xfId="2433" xr:uid="{26A8B8E7-4405-4761-9FCC-4614C266A973}"/>
    <cellStyle name="Normal 16 2 6 4 2" xfId="7213" xr:uid="{B210A365-B405-4F33-BAA7-93A627BCBD8F}"/>
    <cellStyle name="Normal 16 2 6 5" xfId="4104" xr:uid="{9A40AA7F-EA5D-4FB1-97EE-2E128ECFCEB6}"/>
    <cellStyle name="Normal 16 2 7" xfId="822" xr:uid="{7F1AA351-8914-49E8-B2F4-FAA78E70AC1C}"/>
    <cellStyle name="Normal 16 2 7 2" xfId="1301" xr:uid="{2D2D8976-A66C-46E4-BACD-14DAC3827B30}"/>
    <cellStyle name="Normal 16 2 7 2 2" xfId="3775" xr:uid="{A37CCDAE-053C-4FDA-8DC5-22FAC1174EC8}"/>
    <cellStyle name="Normal 16 2 7 2 2 2" xfId="5637" xr:uid="{65456ABB-5754-4387-8A9B-EC2498513BC5}"/>
    <cellStyle name="Normal 16 2 7 2 3" xfId="2836" xr:uid="{1F1B0867-DDD8-4A6C-A036-5B522DEB8342}"/>
    <cellStyle name="Normal 16 2 7 2 4" xfId="4507" xr:uid="{0B2B234E-2A83-4AFD-83E1-D5C62870F0D9}"/>
    <cellStyle name="Normal 16 2 7 3" xfId="3363" xr:uid="{DA733F86-DB15-4797-9FDB-E49BBF7087C3}"/>
    <cellStyle name="Normal 16 2 7 3 2" xfId="5289" xr:uid="{218EEEE4-9914-4DCE-B00A-0ACBF7DC104F}"/>
    <cellStyle name="Normal 16 2 7 4" xfId="2488" xr:uid="{90B8393B-CEF7-46C7-95EE-4715E21C1EFC}"/>
    <cellStyle name="Normal 16 2 7 4 2" xfId="7214" xr:uid="{DD4ED98E-5756-4E17-91DA-E7BD483B25B0}"/>
    <cellStyle name="Normal 16 2 7 5" xfId="4159" xr:uid="{B13C79D9-F62D-4BE9-A9B4-D463F072207D}"/>
    <cellStyle name="Normal 16 2 8" xfId="992" xr:uid="{06DA8DEA-D1BF-47B8-8276-E69A00DA5B33}"/>
    <cellStyle name="Normal 16 2 8 2" xfId="3489" xr:uid="{1CDC0A83-C68F-4E1B-9BA6-DA7C3BA221EE}"/>
    <cellStyle name="Normal 16 2 8 2 2" xfId="5378" xr:uid="{70836C98-750C-47D9-8642-3C6E60BDD902}"/>
    <cellStyle name="Normal 16 2 8 3" xfId="2577" xr:uid="{43FF8393-231E-4F59-9003-43FAA8BA442E}"/>
    <cellStyle name="Normal 16 2 8 4" xfId="4248" xr:uid="{8557620A-735C-4D65-811D-CB9D3D30F699}"/>
    <cellStyle name="Normal 16 2 9" xfId="1453" xr:uid="{ECA5167A-556B-4CD0-B346-96EDDF5318DD}"/>
    <cellStyle name="Normal 16 2 9 2" xfId="3087" xr:uid="{86A20D5F-F3C5-4CF8-82F6-1C04DF94A683}"/>
    <cellStyle name="Normal 16 2 9 2 2" xfId="5728" xr:uid="{6C4DAFCF-D736-463D-AD8A-0EBFA37C27B0}"/>
    <cellStyle name="Normal 16 2 9 3" xfId="4589" xr:uid="{7C51EFFB-D3A5-4702-B654-DB83A508829C}"/>
    <cellStyle name="Normal 16 3" xfId="113" xr:uid="{2E0AC342-596F-46DE-8FBD-D82FBE52AEDE}"/>
    <cellStyle name="Normal 16 3 2" xfId="7216" xr:uid="{56FC9934-78A8-4EC5-8930-A5EFC85ADCAF}"/>
    <cellStyle name="Normal 16 3 3" xfId="7215" xr:uid="{DE2D12EB-CB58-428A-AAD1-F1DEE5DBFA57}"/>
    <cellStyle name="Normal 16 4" xfId="114" xr:uid="{1CB56BD8-D8A3-422F-8F90-8902506A6FB8}"/>
    <cellStyle name="Normal 16 4 10" xfId="525" xr:uid="{ADC48AB0-89AA-471D-BD66-94B62B67980D}"/>
    <cellStyle name="Normal 16 4 10 2" xfId="5037" xr:uid="{BF4CDD85-05F1-44B5-B1B6-E8CEBDEE89FB}"/>
    <cellStyle name="Normal 16 4 11" xfId="2160" xr:uid="{847A8FE2-D2D4-42E8-A806-590F2601D33B}"/>
    <cellStyle name="Normal 16 4 11 2" xfId="7217" xr:uid="{38A1DAEF-7B70-4218-ABA1-868EC39D0177}"/>
    <cellStyle name="Normal 16 4 12" xfId="2236" xr:uid="{282C54A6-D8B6-4E72-A387-FC07373D986A}"/>
    <cellStyle name="Normal 16 4 13" xfId="3907" xr:uid="{B51745B1-3F01-4906-9A9D-C36CB0A9A360}"/>
    <cellStyle name="Normal 16 4 2" xfId="243" xr:uid="{D30648F8-D21E-4878-A21C-A9D9EBF2811A}"/>
    <cellStyle name="Normal 16 4 2 2" xfId="1046" xr:uid="{04F3B112-366B-463A-BC4D-11426F91B39B}"/>
    <cellStyle name="Normal 16 4 2 2 2" xfId="3534" xr:uid="{49D44B99-B7B0-4605-9FC9-47F9FE551EBE}"/>
    <cellStyle name="Normal 16 4 2 2 2 2" xfId="5419" xr:uid="{47B44E39-1BCD-4743-B7C1-023570C97AC7}"/>
    <cellStyle name="Normal 16 4 2 2 3" xfId="2618" xr:uid="{A2A8AE37-B4FB-4C27-A0D7-9AB6B78E5FC8}"/>
    <cellStyle name="Normal 16 4 2 2 4" xfId="4289" xr:uid="{84D22FEC-AD25-458B-A7FB-1C103466C2D4}"/>
    <cellStyle name="Normal 16 4 2 3" xfId="1557" xr:uid="{B99A1951-EB69-45B7-B921-4D8FABB68F52}"/>
    <cellStyle name="Normal 16 4 2 3 2" xfId="3155" xr:uid="{5180F62B-85F9-4C8D-9EC2-14177C67E0B6}"/>
    <cellStyle name="Normal 16 4 2 3 2 2" xfId="5823" xr:uid="{E4C3F1FA-4D7A-490B-ACEB-922D03A89F0F}"/>
    <cellStyle name="Normal 16 4 2 3 3" xfId="4652" xr:uid="{AAD1AB07-6F02-4159-A474-4A60A1A2E350}"/>
    <cellStyle name="Normal 16 4 2 4" xfId="1859" xr:uid="{CEC82077-601E-4938-A00E-352CA32EB88B}"/>
    <cellStyle name="Normal 16 4 2 4 2" xfId="4838" xr:uid="{81039A53-5C6C-4EAA-8E4A-2EFB4EEB938A}"/>
    <cellStyle name="Normal 16 4 2 5" xfId="568" xr:uid="{4DE3F2E5-6647-47D9-9AA2-525DCDD941CA}"/>
    <cellStyle name="Normal 16 4 2 5 2" xfId="5071" xr:uid="{83639B2C-2FFD-4042-82A2-5164381F47E0}"/>
    <cellStyle name="Normal 16 4 2 6" xfId="2270" xr:uid="{856A6DA5-A0F2-42C5-A329-2359F3C0F528}"/>
    <cellStyle name="Normal 16 4 2 6 2" xfId="7218" xr:uid="{048626F4-5D2C-4911-864A-6C5F3B05020D}"/>
    <cellStyle name="Normal 16 4 2 7" xfId="3941" xr:uid="{43367020-FF47-4F5E-ABBE-DD9F4271D8C8}"/>
    <cellStyle name="Normal 16 4 3" xfId="343" xr:uid="{E0E227B2-CF30-4E03-AD59-D4A5C9B7B463}"/>
    <cellStyle name="Normal 16 4 3 2" xfId="1110" xr:uid="{A05198E1-903E-405D-B024-B558104654A5}"/>
    <cellStyle name="Normal 16 4 3 2 2" xfId="3589" xr:uid="{885418AD-E4F8-4FC3-9F11-CF76E3F83EAB}"/>
    <cellStyle name="Normal 16 4 3 2 2 2" xfId="5474" xr:uid="{DE82DBB9-D0AA-456E-AB3C-4E7D20F45E56}"/>
    <cellStyle name="Normal 16 4 3 2 3" xfId="2673" xr:uid="{329C8197-469D-4F3C-A899-5DF8CDE23808}"/>
    <cellStyle name="Normal 16 4 3 2 4" xfId="4344" xr:uid="{7E1BEA73-C626-4C3A-82E1-228915E579DA}"/>
    <cellStyle name="Normal 16 4 3 3" xfId="1656" xr:uid="{6780349A-F287-4715-9733-C10AC6371C57}"/>
    <cellStyle name="Normal 16 4 3 3 2" xfId="3200" xr:uid="{3DDA249C-2779-4419-9F0E-B64914CDDE26}"/>
    <cellStyle name="Normal 16 4 3 3 2 2" xfId="5900" xr:uid="{3544BEF0-0C73-48D3-894A-B55125D3A4DB}"/>
    <cellStyle name="Normal 16 4 3 3 3" xfId="4713" xr:uid="{EA82ADF6-B382-4EA2-B49B-527C24D9F99F}"/>
    <cellStyle name="Normal 16 4 3 4" xfId="1958" xr:uid="{D84595DB-3359-40AA-9808-677CB9AA1BA9}"/>
    <cellStyle name="Normal 16 4 3 4 2" xfId="4899" xr:uid="{4F826DA3-0443-4372-935E-F76902858A55}"/>
    <cellStyle name="Normal 16 4 3 5" xfId="632" xr:uid="{4293A806-C487-4246-8637-62CA08985FBD}"/>
    <cellStyle name="Normal 16 4 3 5 2" xfId="5126" xr:uid="{F54D245F-2AE3-4F97-905C-415EC252D567}"/>
    <cellStyle name="Normal 16 4 3 6" xfId="2325" xr:uid="{0334BCF3-A7F0-4FB0-B032-213A5C2586B9}"/>
    <cellStyle name="Normal 16 4 3 6 2" xfId="7219" xr:uid="{07B214F2-B444-42F7-8D4B-2D334D915BDD}"/>
    <cellStyle name="Normal 16 4 3 7" xfId="3996" xr:uid="{F442CCA9-86B3-4B24-9C96-6F08F07A536B}"/>
    <cellStyle name="Normal 16 4 4" xfId="443" xr:uid="{EC72E1C9-88A4-4CA6-AE16-8C970B7C4313}"/>
    <cellStyle name="Normal 16 4 4 2" xfId="1174" xr:uid="{12445E97-4E79-47CC-8B70-3CB95919B39F}"/>
    <cellStyle name="Normal 16 4 4 2 2" xfId="3650" xr:uid="{F13B1B76-858E-4DA9-8212-7F472CC1BE85}"/>
    <cellStyle name="Normal 16 4 4 2 2 2" xfId="5529" xr:uid="{5FF287A4-6197-4EA1-9E1C-81E26B01D9B3}"/>
    <cellStyle name="Normal 16 4 4 2 3" xfId="2728" xr:uid="{4494A195-243F-44E8-9D7B-C6E755883822}"/>
    <cellStyle name="Normal 16 4 4 2 4" xfId="4399" xr:uid="{5DDD77F0-CB2B-4B17-8A3C-F684F80A48CF}"/>
    <cellStyle name="Normal 16 4 4 3" xfId="2058" xr:uid="{174A9830-85F0-465A-8E4E-0019B8C4AB46}"/>
    <cellStyle name="Normal 16 4 4 3 2" xfId="3255" xr:uid="{9C6AB549-BA63-421E-9957-FDFE36ACBCB4}"/>
    <cellStyle name="Normal 16 4 4 3 3" xfId="4961" xr:uid="{D202FCEF-75E3-4943-BA31-774895594AA5}"/>
    <cellStyle name="Normal 16 4 4 4" xfId="696" xr:uid="{635393F7-DDF7-4FA2-ADA5-5175768C66EA}"/>
    <cellStyle name="Normal 16 4 4 4 2" xfId="5181" xr:uid="{C14207B6-0495-45C7-9EA7-1D682642830C}"/>
    <cellStyle name="Normal 16 4 4 5" xfId="2380" xr:uid="{DCA9E28A-D7DF-46A3-A757-89AEBD166343}"/>
    <cellStyle name="Normal 16 4 4 5 2" xfId="7220" xr:uid="{445C8323-476F-4CD7-B08E-6D4ACE0DE332}"/>
    <cellStyle name="Normal 16 4 4 6" xfId="4051" xr:uid="{7818E42C-FC1F-48F7-A8FB-0E55E0070E37}"/>
    <cellStyle name="Normal 16 4 5" xfId="760" xr:uid="{3328A4FA-2091-45A4-B217-1A4316DF2945}"/>
    <cellStyle name="Normal 16 4 5 2" xfId="1238" xr:uid="{44FB9795-A803-42C8-AE4F-66E6F9425ED6}"/>
    <cellStyle name="Normal 16 4 5 2 2" xfId="3713" xr:uid="{88C4A844-A6DE-4F8E-9449-07138DBFF228}"/>
    <cellStyle name="Normal 16 4 5 2 2 2" xfId="5584" xr:uid="{DCCF6EB5-A1A1-41E0-8A06-45998F5BE599}"/>
    <cellStyle name="Normal 16 4 5 2 3" xfId="2783" xr:uid="{384D953B-C52D-4407-B52B-D849E1C79CCC}"/>
    <cellStyle name="Normal 16 4 5 2 4" xfId="4454" xr:uid="{CDE5DA1B-FEB4-4A9A-9E2B-6A02A0C8163A}"/>
    <cellStyle name="Normal 16 4 5 3" xfId="3310" xr:uid="{C311CE6B-0226-4527-B8C0-8152B989C970}"/>
    <cellStyle name="Normal 16 4 5 3 2" xfId="5236" xr:uid="{E6232139-72C0-4906-80F9-50930CE66E1E}"/>
    <cellStyle name="Normal 16 4 5 4" xfId="2435" xr:uid="{FF817382-24BA-4C7D-9F7F-7A45685FBE12}"/>
    <cellStyle name="Normal 16 4 5 4 2" xfId="7221" xr:uid="{71C9C126-73F0-4093-B18B-4D8389E5933A}"/>
    <cellStyle name="Normal 16 4 5 5" xfId="4106" xr:uid="{E56D6193-F443-4F6B-834C-5CE687A1C80F}"/>
    <cellStyle name="Normal 16 4 6" xfId="824" xr:uid="{27D321A6-54A3-4CE1-8E84-E152322EC9E2}"/>
    <cellStyle name="Normal 16 4 6 2" xfId="1303" xr:uid="{4A09C738-C7E5-4249-B3F6-17A508F0A8BB}"/>
    <cellStyle name="Normal 16 4 6 2 2" xfId="3777" xr:uid="{3668A6BC-E8D0-4E47-AD10-078EE18B5F38}"/>
    <cellStyle name="Normal 16 4 6 2 2 2" xfId="5639" xr:uid="{F9ACF609-3D06-40AA-9FEA-3D979964C5C9}"/>
    <cellStyle name="Normal 16 4 6 2 3" xfId="2838" xr:uid="{30D44412-52BD-4845-BDAC-839C306768D5}"/>
    <cellStyle name="Normal 16 4 6 2 4" xfId="4509" xr:uid="{CDFEA720-EA6E-4207-AAD7-14742CC7E782}"/>
    <cellStyle name="Normal 16 4 6 3" xfId="3365" xr:uid="{42C60C9D-C598-4BF8-9D7E-525F57DB44D6}"/>
    <cellStyle name="Normal 16 4 6 3 2" xfId="5291" xr:uid="{CC23729A-CC8A-45BA-A8C0-6AAC6A1E13EE}"/>
    <cellStyle name="Normal 16 4 6 4" xfId="2490" xr:uid="{E12146E2-FBD9-47F9-A46A-20E2CEF25895}"/>
    <cellStyle name="Normal 16 4 6 4 2" xfId="7222" xr:uid="{E03C860E-1C96-47A1-B933-8FE7A699786D}"/>
    <cellStyle name="Normal 16 4 6 5" xfId="4161" xr:uid="{326FBC4B-4602-4CFE-A5BF-260DCB35E1A7}"/>
    <cellStyle name="Normal 16 4 7" xfId="1003" xr:uid="{20F1554E-FB69-471A-A5EF-645C546B323B}"/>
    <cellStyle name="Normal 16 4 7 2" xfId="3500" xr:uid="{812A238A-3443-4F1A-94A6-1C081988A648}"/>
    <cellStyle name="Normal 16 4 7 2 2" xfId="5385" xr:uid="{AECA0183-59B0-4C20-9115-F4479A00F5B3}"/>
    <cellStyle name="Normal 16 4 7 3" xfId="2584" xr:uid="{B1F6C7EE-D7F2-4E80-8700-8640ED39E177}"/>
    <cellStyle name="Normal 16 4 7 4" xfId="4255" xr:uid="{2F91FDA1-A204-4C03-BD1C-F2F7729F9C96}"/>
    <cellStyle name="Normal 16 4 8" xfId="1455" xr:uid="{DBC8ABB5-F21A-436C-8151-2DFA52E3C76D}"/>
    <cellStyle name="Normal 16 4 8 2" xfId="3120" xr:uid="{83E137D3-D080-4C3E-B5FC-0B88A7DEDEA3}"/>
    <cellStyle name="Normal 16 4 8 2 2" xfId="5730" xr:uid="{F6B6B294-D7DE-4473-BBC0-28A71027AB01}"/>
    <cellStyle name="Normal 16 4 8 3" xfId="4591" xr:uid="{9FCA0604-6AC7-4CEC-AFDF-E8932123FF4C}"/>
    <cellStyle name="Normal 16 4 9" xfId="1759" xr:uid="{84CAC175-0CA8-489C-8EF5-316D88CF1525}"/>
    <cellStyle name="Normal 16 4 9 2" xfId="4777" xr:uid="{4B248762-944B-4484-92D1-4A3955EDAC3A}"/>
    <cellStyle name="Normal 16 5" xfId="110" xr:uid="{FD355A3F-2D86-4EF8-BBC2-865915D44EF8}"/>
    <cellStyle name="Normal 16 5 2" xfId="1043" xr:uid="{DA122ADB-B3EA-40E4-930E-BEC7CB78F009}"/>
    <cellStyle name="Normal 16 5 2 2" xfId="3531" xr:uid="{CD0400C3-885F-4F99-AED3-966F6DFE30A6}"/>
    <cellStyle name="Normal 16 5 2 2 2" xfId="5416" xr:uid="{FDAD995E-4C5B-440A-A2A9-814DC02227CD}"/>
    <cellStyle name="Normal 16 5 2 3" xfId="2615" xr:uid="{70AAF1CA-13C2-4B61-B79D-DFA46978ABB2}"/>
    <cellStyle name="Normal 16 5 2 4" xfId="4286" xr:uid="{98E17FBB-2836-4B2C-BF1E-E9A1AD0376FC}"/>
    <cellStyle name="Normal 16 5 3" xfId="1452" xr:uid="{1D3AFF8E-CFF8-4614-92D2-AD2AE30461A3}"/>
    <cellStyle name="Normal 16 5 3 2" xfId="3161" xr:uid="{DFF0EAD7-864F-4F41-B5BD-419BE08A8455}"/>
    <cellStyle name="Normal 16 5 3 2 2" xfId="5727" xr:uid="{4227E76E-A37B-4569-A565-7FCEE31DC79C}"/>
    <cellStyle name="Normal 16 5 3 3" xfId="4588" xr:uid="{48E8A39E-1A25-4AFB-AB44-2CB0CF95E598}"/>
    <cellStyle name="Normal 16 5 4" xfId="1756" xr:uid="{E598F2A0-D88E-46FA-86B0-21FF5F25EFF6}"/>
    <cellStyle name="Normal 16 5 4 2" xfId="4774" xr:uid="{5DE1AD4A-58AF-4834-8DB5-D9F84A105FA4}"/>
    <cellStyle name="Normal 16 5 5" xfId="565" xr:uid="{762C9EBE-0546-4977-9C11-7607BAC66F99}"/>
    <cellStyle name="Normal 16 5 5 2" xfId="5068" xr:uid="{10687796-4304-42B1-BD44-49CF8B3A69A8}"/>
    <cellStyle name="Normal 16 5 6" xfId="2267" xr:uid="{BF954841-75C0-4BD7-B139-53943618735E}"/>
    <cellStyle name="Normal 16 5 6 2" xfId="7223" xr:uid="{D2EB0880-9F91-415B-84A3-270ABD9B5F89}"/>
    <cellStyle name="Normal 16 5 7" xfId="3938" xr:uid="{3B1142BA-1BC9-44A1-AAC4-897D1C081007}"/>
    <cellStyle name="Normal 16 6" xfId="240" xr:uid="{5AE5C258-66B6-4646-8317-C0DA92A485CE}"/>
    <cellStyle name="Normal 16 6 2" xfId="1107" xr:uid="{5160A470-B93A-4882-82A8-7B66F0197E0A}"/>
    <cellStyle name="Normal 16 6 2 2" xfId="3586" xr:uid="{05882181-E661-4735-9691-6C34532C174F}"/>
    <cellStyle name="Normal 16 6 2 2 2" xfId="5471" xr:uid="{5E72423A-FE73-4CE7-8CF1-EA78F165067C}"/>
    <cellStyle name="Normal 16 6 2 3" xfId="2670" xr:uid="{A481D37F-57B6-4F25-ABA5-98785C3DA661}"/>
    <cellStyle name="Normal 16 6 2 4" xfId="4341" xr:uid="{ADDFA2ED-4795-45BD-ACE2-B4FB031E69FE}"/>
    <cellStyle name="Normal 16 6 3" xfId="1554" xr:uid="{551BBFBD-1DDE-41B2-921A-32007BD71070}"/>
    <cellStyle name="Normal 16 6 3 2" xfId="3197" xr:uid="{695DCE68-1879-4B6E-9D8D-EC8FFED3A802}"/>
    <cellStyle name="Normal 16 6 3 2 2" xfId="5820" xr:uid="{51A1EF4C-F3C0-4552-B13D-74D683040004}"/>
    <cellStyle name="Normal 16 6 3 3" xfId="4649" xr:uid="{69DAE9FA-4277-4D14-99C3-C1209ED46BB4}"/>
    <cellStyle name="Normal 16 6 4" xfId="1856" xr:uid="{11EFE8DE-A8AF-4D1F-BE75-78A36D8E0EFB}"/>
    <cellStyle name="Normal 16 6 4 2" xfId="4835" xr:uid="{3E18638F-D0F6-4934-84FA-4C2839A45DE4}"/>
    <cellStyle name="Normal 16 6 5" xfId="629" xr:uid="{908748ED-0E33-46F9-A2F4-439C1EE02D6D}"/>
    <cellStyle name="Normal 16 6 5 2" xfId="5123" xr:uid="{395DB793-9D36-401B-B371-9316D21D88D9}"/>
    <cellStyle name="Normal 16 6 6" xfId="2322" xr:uid="{F50DEC57-BF97-4ED5-9BC1-ED62C66C2936}"/>
    <cellStyle name="Normal 16 6 6 2" xfId="7224" xr:uid="{F7460710-C5A7-4925-9479-0EDFA0A5846F}"/>
    <cellStyle name="Normal 16 6 7" xfId="3993" xr:uid="{CD498403-5633-4483-BCDF-BE1DB738B124}"/>
    <cellStyle name="Normal 16 7" xfId="340" xr:uid="{035E8B5C-8138-47D1-BE02-47BEE9DD6DE3}"/>
    <cellStyle name="Normal 16 7 2" xfId="1171" xr:uid="{7A953653-AD3F-4247-A753-E8E570B8033A}"/>
    <cellStyle name="Normal 16 7 2 2" xfId="3647" xr:uid="{94DAF286-A053-431B-9D3D-88A6C459BF66}"/>
    <cellStyle name="Normal 16 7 2 2 2" xfId="5526" xr:uid="{CAEA08BA-929A-430F-9537-244B8EBEC0EC}"/>
    <cellStyle name="Normal 16 7 2 3" xfId="2725" xr:uid="{784E4704-3F80-49D6-89E2-2C8863375512}"/>
    <cellStyle name="Normal 16 7 2 4" xfId="4396" xr:uid="{1277B5E9-03E9-4D38-B24D-6FDE5DD40285}"/>
    <cellStyle name="Normal 16 7 3" xfId="1653" xr:uid="{3B9BB05E-9174-4EBA-B49D-49B3222DB87D}"/>
    <cellStyle name="Normal 16 7 3 2" xfId="3252" xr:uid="{D5F57EA2-4CE5-4673-855F-C1F4F287AD1B}"/>
    <cellStyle name="Normal 16 7 3 2 2" xfId="5897" xr:uid="{944C5B08-1E81-40B3-91C5-B5DDD197EB0E}"/>
    <cellStyle name="Normal 16 7 3 3" xfId="4710" xr:uid="{50313130-3134-4C01-BCB6-9AF0860AD9C3}"/>
    <cellStyle name="Normal 16 7 4" xfId="1955" xr:uid="{A0873BCC-B3DE-4683-AFC2-F5EB62775751}"/>
    <cellStyle name="Normal 16 7 4 2" xfId="4896" xr:uid="{766C0568-68F0-495D-B256-3ED90E8896F8}"/>
    <cellStyle name="Normal 16 7 5" xfId="693" xr:uid="{4FB56294-44BA-4387-BB5C-275D44523AFD}"/>
    <cellStyle name="Normal 16 7 5 2" xfId="5178" xr:uid="{068091D0-BAB0-4842-A778-E203BF4C0E8F}"/>
    <cellStyle name="Normal 16 7 6" xfId="2377" xr:uid="{95A5B953-596B-449B-954C-6E8CBC6A7622}"/>
    <cellStyle name="Normal 16 7 6 2" xfId="7225" xr:uid="{BC86051D-9396-4E15-A017-435178D5EF70}"/>
    <cellStyle name="Normal 16 7 7" xfId="4048" xr:uid="{01CE8204-895F-4881-B170-BA16BB3C5F45}"/>
    <cellStyle name="Normal 16 8" xfId="440" xr:uid="{8624DB90-2054-4C1A-9B75-544BC1B46DB1}"/>
    <cellStyle name="Normal 16 8 2" xfId="1235" xr:uid="{516062F9-B398-47A2-B3C1-1D72D0A8AC5F}"/>
    <cellStyle name="Normal 16 8 2 2" xfId="3710" xr:uid="{731B7646-715B-4268-BCB5-79F9C9EA87DD}"/>
    <cellStyle name="Normal 16 8 2 2 2" xfId="5581" xr:uid="{F54BA892-8FCD-412A-8F2F-0A6B92467AF3}"/>
    <cellStyle name="Normal 16 8 2 3" xfId="2780" xr:uid="{14CE1C04-3C70-45C6-8C56-60C47FFF8E52}"/>
    <cellStyle name="Normal 16 8 2 4" xfId="4451" xr:uid="{A796728D-2F33-4188-BBA1-CBAD470C2169}"/>
    <cellStyle name="Normal 16 8 3" xfId="2055" xr:uid="{EA4EC7A6-2520-4B52-BBD1-9DEF81EBE401}"/>
    <cellStyle name="Normal 16 8 3 2" xfId="3307" xr:uid="{DC57C1AD-91D9-4FA1-9691-B64F84B3CBBC}"/>
    <cellStyle name="Normal 16 8 3 3" xfId="4958" xr:uid="{D6633245-6367-4D64-82CC-1F543F1E4ABF}"/>
    <cellStyle name="Normal 16 8 4" xfId="757" xr:uid="{86305BDB-E872-47FE-A389-D923C6ACF0C5}"/>
    <cellStyle name="Normal 16 8 4 2" xfId="5233" xr:uid="{7A1F5138-BF32-451A-AB10-9D72C41F5108}"/>
    <cellStyle name="Normal 16 8 5" xfId="2432" xr:uid="{377AF494-69C0-4F35-97C5-998F3F240D17}"/>
    <cellStyle name="Normal 16 8 5 2" xfId="7226" xr:uid="{874C5227-507A-4ACB-8D62-570B5F0201BC}"/>
    <cellStyle name="Normal 16 8 6" xfId="4103" xr:uid="{639B9B80-48A1-480B-9ED6-5961663457BB}"/>
    <cellStyle name="Normal 16 9" xfId="821" xr:uid="{1104B90B-8100-44C1-B7CE-D6BEADB77E8D}"/>
    <cellStyle name="Normal 16 9 2" xfId="1300" xr:uid="{D5F72759-29B0-4292-A4E9-FC86B653980B}"/>
    <cellStyle name="Normal 16 9 2 2" xfId="3774" xr:uid="{D6272102-9759-4B79-8287-F06A0171D067}"/>
    <cellStyle name="Normal 16 9 2 2 2" xfId="5636" xr:uid="{35DA5CD2-B231-4E9F-A5C3-F484D2C2C30E}"/>
    <cellStyle name="Normal 16 9 2 3" xfId="2835" xr:uid="{0927C09D-FB87-4C31-BAA2-D9EBDC22F9C2}"/>
    <cellStyle name="Normal 16 9 2 4" xfId="4506" xr:uid="{B034A46A-8D53-4C2A-9861-FB1B4C95E470}"/>
    <cellStyle name="Normal 16 9 3" xfId="3362" xr:uid="{21840944-1ECD-456F-8BCC-DD7C48FD549C}"/>
    <cellStyle name="Normal 16 9 3 2" xfId="5288" xr:uid="{E036A688-DDFF-47BB-9DF5-7547BB2170B9}"/>
    <cellStyle name="Normal 16 9 4" xfId="2487" xr:uid="{43178248-3E98-4D67-9434-08EE824C8164}"/>
    <cellStyle name="Normal 16 9 4 2" xfId="7227" xr:uid="{471EBBF0-6250-4A04-A768-31C97FB9DD5F}"/>
    <cellStyle name="Normal 16 9 5" xfId="4158" xr:uid="{00BBB657-9DF6-4726-9CAA-E8CF70A929A5}"/>
    <cellStyle name="Normal 17" xfId="26" xr:uid="{E6F80DD4-4729-4540-8510-1A8E8B02BD1E}"/>
    <cellStyle name="Normal 17 10" xfId="515" xr:uid="{76F728BA-C6C1-481D-B0DA-1C5A1E8E4774}"/>
    <cellStyle name="Normal 17 10 2" xfId="5031" xr:uid="{E082BFAE-C2BF-441A-AEFF-8B3AE54526A4}"/>
    <cellStyle name="Normal 17 11" xfId="2161" xr:uid="{B76AF900-E677-4C46-8A57-94FD3CE1BBDB}"/>
    <cellStyle name="Normal 17 11 2" xfId="7228" xr:uid="{1C3E8868-3B72-4645-ADF9-0F06C17A611D}"/>
    <cellStyle name="Normal 17 12" xfId="2230" xr:uid="{7CF38EF1-F7C0-421C-A54B-3F2E515726CE}"/>
    <cellStyle name="Normal 17 13" xfId="3901" xr:uid="{6CA38702-3F92-4A1A-B21B-5EEB29EF7D83}"/>
    <cellStyle name="Normal 17 2" xfId="116" xr:uid="{C0AE9B6D-9857-4A3C-B6DA-16CF8B33014E}"/>
    <cellStyle name="Normal 17 2 10" xfId="527" xr:uid="{30117669-ECA9-4316-83F4-ABEC4519B3EB}"/>
    <cellStyle name="Normal 17 2 10 2" xfId="5039" xr:uid="{C755F47B-D0CF-4F19-A0E2-72D5112DB08E}"/>
    <cellStyle name="Normal 17 2 11" xfId="2162" xr:uid="{9E762714-9D10-4EA5-A5DD-680477FBC82F}"/>
    <cellStyle name="Normal 17 2 11 2" xfId="7229" xr:uid="{47D79772-0BFE-49A4-9451-A16535A3E095}"/>
    <cellStyle name="Normal 17 2 12" xfId="2238" xr:uid="{B0419EF8-84F6-46C8-AFFE-447BC4AA1D88}"/>
    <cellStyle name="Normal 17 2 13" xfId="3909" xr:uid="{5389CDB9-96FE-41D2-AF37-7BDBDDD1EAF9}"/>
    <cellStyle name="Normal 17 2 2" xfId="245" xr:uid="{ACA16B01-F51E-42AF-BBD2-0F0BAEFBD9A0}"/>
    <cellStyle name="Normal 17 2 2 2" xfId="1048" xr:uid="{5AF18ECE-23DA-416B-9CE3-D006169F4F85}"/>
    <cellStyle name="Normal 17 2 2 2 2" xfId="3536" xr:uid="{8E49C41E-BC12-47B2-9631-69D0F1C051AF}"/>
    <cellStyle name="Normal 17 2 2 2 2 2" xfId="5421" xr:uid="{CC4E9B40-A567-4520-869F-A7BE6C9B0691}"/>
    <cellStyle name="Normal 17 2 2 2 3" xfId="2620" xr:uid="{0BC99B58-388A-4B69-81CB-E83AA90200F5}"/>
    <cellStyle name="Normal 17 2 2 2 4" xfId="4291" xr:uid="{6E4E265B-7331-43A1-AFD9-DF32CB620254}"/>
    <cellStyle name="Normal 17 2 2 3" xfId="1559" xr:uid="{189D8144-945F-4572-8977-246F0635712B}"/>
    <cellStyle name="Normal 17 2 2 3 2" xfId="3147" xr:uid="{45A502AB-F491-4634-A35F-1E985AD9B316}"/>
    <cellStyle name="Normal 17 2 2 3 2 2" xfId="5825" xr:uid="{2EA6360E-95D3-44F5-BDF4-DFBB43A9E66F}"/>
    <cellStyle name="Normal 17 2 2 3 3" xfId="4654" xr:uid="{BA42F029-D093-456F-8E16-7C2A21F25FA1}"/>
    <cellStyle name="Normal 17 2 2 4" xfId="1861" xr:uid="{C168B9FB-DE54-46EC-8872-277D7595AA04}"/>
    <cellStyle name="Normal 17 2 2 4 2" xfId="4840" xr:uid="{FBD77EC1-AC40-47EE-BDAF-833A3C6D1312}"/>
    <cellStyle name="Normal 17 2 2 5" xfId="570" xr:uid="{4D43B997-9F71-43AD-ADEB-4481D0ED1BAF}"/>
    <cellStyle name="Normal 17 2 2 5 2" xfId="5073" xr:uid="{46590C7B-3172-4CC4-AC37-72964488520B}"/>
    <cellStyle name="Normal 17 2 2 6" xfId="2272" xr:uid="{33443C32-60C8-4F56-98E9-AF5A46E8B850}"/>
    <cellStyle name="Normal 17 2 2 6 2" xfId="7230" xr:uid="{38624B9E-AB52-4C4E-A206-DC27BB0DDB6D}"/>
    <cellStyle name="Normal 17 2 2 7" xfId="3943" xr:uid="{A2834FC3-7339-4C89-B223-116CE4E086DD}"/>
    <cellStyle name="Normal 17 2 3" xfId="345" xr:uid="{ACA916A8-CABB-4421-9FC0-1E4BBEC8A73F}"/>
    <cellStyle name="Normal 17 2 3 2" xfId="1112" xr:uid="{4FB7C8EC-D26C-4D1C-8F5D-28CB03EDFCB7}"/>
    <cellStyle name="Normal 17 2 3 2 2" xfId="3591" xr:uid="{7A5EB81C-CEF0-4F00-A50B-9665946D33B0}"/>
    <cellStyle name="Normal 17 2 3 2 2 2" xfId="5476" xr:uid="{491EF490-40AE-4EFB-9071-8245DC1319E7}"/>
    <cellStyle name="Normal 17 2 3 2 3" xfId="2675" xr:uid="{DEDE92B5-AF20-482A-B713-705090612964}"/>
    <cellStyle name="Normal 17 2 3 2 4" xfId="4346" xr:uid="{C40F912E-F2AE-4E99-A8AA-C9706547B986}"/>
    <cellStyle name="Normal 17 2 3 3" xfId="1658" xr:uid="{8BF14BA5-66EB-4AD7-A7F3-B7A4AEA83797}"/>
    <cellStyle name="Normal 17 2 3 3 2" xfId="3202" xr:uid="{18416860-B1DF-46AA-AB14-4423683092C0}"/>
    <cellStyle name="Normal 17 2 3 3 2 2" xfId="5902" xr:uid="{240AE69F-11A5-47C0-8B39-401D6A2F170B}"/>
    <cellStyle name="Normal 17 2 3 3 3" xfId="4715" xr:uid="{8988B5CB-3B62-4ABE-9A58-9DC0BCF85318}"/>
    <cellStyle name="Normal 17 2 3 4" xfId="1960" xr:uid="{E300C030-F666-4B5A-B1BB-A73A81406BCF}"/>
    <cellStyle name="Normal 17 2 3 4 2" xfId="4901" xr:uid="{C2E05AAF-1C54-430C-B1DA-AF752A5EF023}"/>
    <cellStyle name="Normal 17 2 3 5" xfId="634" xr:uid="{17DF0730-8DE0-4C22-9A8E-A4F0C1D9993A}"/>
    <cellStyle name="Normal 17 2 3 5 2" xfId="5128" xr:uid="{59833826-9519-47E7-829C-AF90C6994357}"/>
    <cellStyle name="Normal 17 2 3 6" xfId="2327" xr:uid="{A7D26526-87CF-4027-B32A-453B36F4DA30}"/>
    <cellStyle name="Normal 17 2 3 6 2" xfId="7231" xr:uid="{609FD95F-5921-4418-B8DA-D9276EBFDE45}"/>
    <cellStyle name="Normal 17 2 3 7" xfId="3998" xr:uid="{D7524CA4-1061-4908-876D-EEA1DA4E76EC}"/>
    <cellStyle name="Normal 17 2 4" xfId="445" xr:uid="{D72BA426-4EC3-4BCC-ABD5-1E07708C105B}"/>
    <cellStyle name="Normal 17 2 4 2" xfId="1176" xr:uid="{A3CC83D6-6824-4D11-B2BF-9ED5826F1DED}"/>
    <cellStyle name="Normal 17 2 4 2 2" xfId="3652" xr:uid="{9D9D93B9-E31D-4266-922D-B2371B7B7C84}"/>
    <cellStyle name="Normal 17 2 4 2 2 2" xfId="5531" xr:uid="{07D13259-A499-43FF-867F-23E6571A54AD}"/>
    <cellStyle name="Normal 17 2 4 2 3" xfId="2730" xr:uid="{E7815DB2-EBB9-4164-A9D9-353C16379538}"/>
    <cellStyle name="Normal 17 2 4 2 4" xfId="4401" xr:uid="{3E406498-7A82-46CB-9DC4-91997F3B12B4}"/>
    <cellStyle name="Normal 17 2 4 3" xfId="2060" xr:uid="{DB4FC271-26F4-493A-9556-6955581A488A}"/>
    <cellStyle name="Normal 17 2 4 3 2" xfId="3257" xr:uid="{B61A4383-DEBF-4AF4-A545-380905D6DC93}"/>
    <cellStyle name="Normal 17 2 4 3 3" xfId="4963" xr:uid="{4D94B468-387B-4F1C-98D1-9DDD38C6C046}"/>
    <cellStyle name="Normal 17 2 4 4" xfId="698" xr:uid="{84C5F22B-C082-4430-BCE2-4DFD12867E20}"/>
    <cellStyle name="Normal 17 2 4 4 2" xfId="5183" xr:uid="{B7915E2D-28E0-4D82-986E-A654337BB838}"/>
    <cellStyle name="Normal 17 2 4 5" xfId="2382" xr:uid="{663AA9A3-ECED-43F1-A974-9818D1ABCFD8}"/>
    <cellStyle name="Normal 17 2 4 5 2" xfId="7232" xr:uid="{2845E966-8123-479B-A9C9-00F56B8E321A}"/>
    <cellStyle name="Normal 17 2 4 6" xfId="4053" xr:uid="{C850906D-1306-4BE9-8D64-4E60E49FC749}"/>
    <cellStyle name="Normal 17 2 5" xfId="762" xr:uid="{22CE5594-3FD0-4DA2-8745-66906A3648D8}"/>
    <cellStyle name="Normal 17 2 5 2" xfId="1240" xr:uid="{11C2877C-01B4-4D50-B269-45BB6064A0C0}"/>
    <cellStyle name="Normal 17 2 5 2 2" xfId="3715" xr:uid="{B9C506DE-DB5D-4F22-9D3D-77C90BD3B0F6}"/>
    <cellStyle name="Normal 17 2 5 2 2 2" xfId="5586" xr:uid="{0A74084E-8C25-4D53-9286-B6F4827EF1E2}"/>
    <cellStyle name="Normal 17 2 5 2 3" xfId="2785" xr:uid="{1415AD41-9B54-43C5-AE04-C37E18D9A863}"/>
    <cellStyle name="Normal 17 2 5 2 4" xfId="4456" xr:uid="{BFF646F0-60B4-497A-BD6D-095E67491F8C}"/>
    <cellStyle name="Normal 17 2 5 3" xfId="3312" xr:uid="{E7EDDCAF-02C4-4F47-9C89-DC6B29EED2BC}"/>
    <cellStyle name="Normal 17 2 5 3 2" xfId="5238" xr:uid="{5FE27870-0B40-4AFF-809C-75E6BBAE1686}"/>
    <cellStyle name="Normal 17 2 5 4" xfId="2437" xr:uid="{35FB29B1-DE44-48F0-8144-EA5874E1F191}"/>
    <cellStyle name="Normal 17 2 5 4 2" xfId="7233" xr:uid="{DE392298-79E3-4D54-81E4-D8017A4095CC}"/>
    <cellStyle name="Normal 17 2 5 5" xfId="4108" xr:uid="{C01735BD-E945-436A-B3CE-EA79D4172149}"/>
    <cellStyle name="Normal 17 2 6" xfId="826" xr:uid="{BAAB7155-5000-4042-AEE5-4DFD39CDB10C}"/>
    <cellStyle name="Normal 17 2 6 2" xfId="1305" xr:uid="{695DBC27-D082-44FD-B4D9-1EFCF4E00C81}"/>
    <cellStyle name="Normal 17 2 6 2 2" xfId="3779" xr:uid="{D6F83719-9BE2-4549-AB95-E06B3A44B3AF}"/>
    <cellStyle name="Normal 17 2 6 2 2 2" xfId="5641" xr:uid="{0508FFA8-E2A4-4451-8AFE-DA3D3AAE28F7}"/>
    <cellStyle name="Normal 17 2 6 2 3" xfId="2840" xr:uid="{5A2336A5-C28A-4F5B-B136-E755DA088031}"/>
    <cellStyle name="Normal 17 2 6 2 4" xfId="4511" xr:uid="{814703DB-77E9-442C-97BB-26DEAA0444A4}"/>
    <cellStyle name="Normal 17 2 6 3" xfId="3367" xr:uid="{9D29949F-2920-4C34-A95D-E862BE27BEAB}"/>
    <cellStyle name="Normal 17 2 6 3 2" xfId="5293" xr:uid="{C1531277-609B-4BC7-9236-317B30508CFA}"/>
    <cellStyle name="Normal 17 2 6 4" xfId="2492" xr:uid="{674A5FB2-E339-4B24-BA37-72A881092580}"/>
    <cellStyle name="Normal 17 2 6 4 2" xfId="7234" xr:uid="{4E1F6831-7A9F-4EEC-9BA0-D0AAD4D62926}"/>
    <cellStyle name="Normal 17 2 6 5" xfId="4163" xr:uid="{5D5EE957-2195-4115-837E-BFD3FD4ABDC5}"/>
    <cellStyle name="Normal 17 2 7" xfId="1005" xr:uid="{A3F06182-05A1-4C94-BCC5-E23A6FFB5760}"/>
    <cellStyle name="Normal 17 2 7 2" xfId="3502" xr:uid="{CF25B66D-8F3C-4BDA-AC94-240F83EA0047}"/>
    <cellStyle name="Normal 17 2 7 2 2" xfId="5387" xr:uid="{DF5A7BA9-9C31-4DA2-9367-215515CDC83F}"/>
    <cellStyle name="Normal 17 2 7 3" xfId="2586" xr:uid="{AE045FED-9B52-488B-AACF-4BA6BFB80065}"/>
    <cellStyle name="Normal 17 2 7 4" xfId="4257" xr:uid="{666B7330-F673-41D5-B69F-4CC1B54407B0}"/>
    <cellStyle name="Normal 17 2 8" xfId="1457" xr:uid="{7B07FFED-998E-4E05-B23D-EA3B558332D2}"/>
    <cellStyle name="Normal 17 2 8 2" xfId="3122" xr:uid="{801F6278-EC43-45D3-9BC6-03E857394423}"/>
    <cellStyle name="Normal 17 2 8 2 2" xfId="5732" xr:uid="{E39996E8-F437-4A9F-8A22-20370E7A32F3}"/>
    <cellStyle name="Normal 17 2 8 3" xfId="4593" xr:uid="{ABAC9F01-9D8E-4B35-BCA7-11D138075780}"/>
    <cellStyle name="Normal 17 2 9" xfId="1761" xr:uid="{9C4D1605-92C7-4BF3-A18A-6F16E623C8F1}"/>
    <cellStyle name="Normal 17 2 9 2" xfId="4779" xr:uid="{2490E791-BA0E-41DF-B34C-8D7BABEF91A2}"/>
    <cellStyle name="Normal 17 3" xfId="115" xr:uid="{B845AA1F-D8F8-42C8-A34D-2952B4BB5E57}"/>
    <cellStyle name="Normal 17 3 2" xfId="1047" xr:uid="{714BB54B-5592-4361-8C2A-E79F72417F4B}"/>
    <cellStyle name="Normal 17 3 2 2" xfId="3535" xr:uid="{C51130FA-3C21-4CA3-AFC6-55B72EA6804A}"/>
    <cellStyle name="Normal 17 3 2 2 2" xfId="5420" xr:uid="{A900FBF5-1804-45D0-B041-4D5A81A6B7F5}"/>
    <cellStyle name="Normal 17 3 2 3" xfId="2619" xr:uid="{B19643AE-EDDB-4FF9-858E-95F22739ADF1}"/>
    <cellStyle name="Normal 17 3 2 4" xfId="4290" xr:uid="{47DAF27E-BFA9-4078-84D3-4AF69BBACD91}"/>
    <cellStyle name="Normal 17 3 3" xfId="1456" xr:uid="{A4E4AD20-17B2-4CD1-A6C7-34F8939E462F}"/>
    <cellStyle name="Normal 17 3 3 2" xfId="3145" xr:uid="{BACB453C-F7B4-430C-A172-6D1E56C0BC90}"/>
    <cellStyle name="Normal 17 3 3 2 2" xfId="5731" xr:uid="{2E9D67B7-0367-4E05-A85C-5FE9E5964D9F}"/>
    <cellStyle name="Normal 17 3 3 3" xfId="4592" xr:uid="{3E23CB7C-BBED-4509-BFF4-79C97ED667D2}"/>
    <cellStyle name="Normal 17 3 4" xfId="1760" xr:uid="{E3A1DC18-BDB6-49CB-8051-8759BB8BDE03}"/>
    <cellStyle name="Normal 17 3 4 2" xfId="4778" xr:uid="{D33D29DE-45EB-42BC-84B0-A59242E86CBC}"/>
    <cellStyle name="Normal 17 3 5" xfId="569" xr:uid="{240C41E2-BD03-4944-A6D5-20932F6D6CD3}"/>
    <cellStyle name="Normal 17 3 5 2" xfId="5072" xr:uid="{484DFC47-6612-4F96-9EC9-79A891679977}"/>
    <cellStyle name="Normal 17 3 6" xfId="2271" xr:uid="{C49FC4C9-EBB1-49C5-BD9D-EEA101FF6A3B}"/>
    <cellStyle name="Normal 17 3 6 2" xfId="7235" xr:uid="{B96FB73E-F2DE-4861-B47F-0B1AFFB3F7D6}"/>
    <cellStyle name="Normal 17 3 7" xfId="3942" xr:uid="{92427A02-A236-41C7-8C2F-F51A83A62B2E}"/>
    <cellStyle name="Normal 17 4" xfId="244" xr:uid="{7AAE65F1-6656-4343-8F51-2F26BDFE1F18}"/>
    <cellStyle name="Normal 17 4 2" xfId="1111" xr:uid="{4B23F88E-3774-4339-AD71-2D9852DF604D}"/>
    <cellStyle name="Normal 17 4 2 2" xfId="3590" xr:uid="{B63EA1E2-8E68-41F3-BDD1-160108185D46}"/>
    <cellStyle name="Normal 17 4 2 2 2" xfId="5475" xr:uid="{C09AD0A7-B5BC-46EB-A68C-6DEE9047D1DB}"/>
    <cellStyle name="Normal 17 4 2 3" xfId="2674" xr:uid="{D4352E94-519B-47A3-B2A5-69FB00F12B0E}"/>
    <cellStyle name="Normal 17 4 2 4" xfId="4345" xr:uid="{CF525FC8-976C-4F26-A229-E58B6C219A06}"/>
    <cellStyle name="Normal 17 4 3" xfId="1558" xr:uid="{B3206F50-1A24-4F52-8A96-A3B8F0767B24}"/>
    <cellStyle name="Normal 17 4 3 2" xfId="3201" xr:uid="{0977E2A0-B06C-428A-9ACC-81DE822208DD}"/>
    <cellStyle name="Normal 17 4 3 2 2" xfId="5824" xr:uid="{B7A8A00F-F023-4720-8C1A-2F43A1ABAA8C}"/>
    <cellStyle name="Normal 17 4 3 3" xfId="4653" xr:uid="{D7BFB7E3-3AD9-4B56-BD28-AFCD7A6A8143}"/>
    <cellStyle name="Normal 17 4 4" xfId="1860" xr:uid="{969F5EF6-0131-4189-B8B8-54DD547592C6}"/>
    <cellStyle name="Normal 17 4 4 2" xfId="4839" xr:uid="{5ADE5D54-8F45-438B-AF0E-1CFF084043C5}"/>
    <cellStyle name="Normal 17 4 5" xfId="633" xr:uid="{1C84C88D-2F3F-4F88-A945-718299116EA4}"/>
    <cellStyle name="Normal 17 4 5 2" xfId="5127" xr:uid="{083B9437-5A5F-4FDF-B72E-1CB856E1FDE7}"/>
    <cellStyle name="Normal 17 4 6" xfId="2326" xr:uid="{0B733704-F3E7-433C-A47B-4982222EF88F}"/>
    <cellStyle name="Normal 17 4 6 2" xfId="7236" xr:uid="{78463054-A2A8-4277-92E5-6215EE85F956}"/>
    <cellStyle name="Normal 17 4 7" xfId="3997" xr:uid="{117DF39F-B50A-4E82-9CCD-D82D3836ED0C}"/>
    <cellStyle name="Normal 17 5" xfId="344" xr:uid="{4567DE7A-8300-4D97-BD82-BB463A407286}"/>
    <cellStyle name="Normal 17 5 2" xfId="1175" xr:uid="{8E16C23C-15DA-4785-B631-848E2799501B}"/>
    <cellStyle name="Normal 17 5 2 2" xfId="3651" xr:uid="{F6A90BD2-6836-4377-AF04-02AB8664D1C7}"/>
    <cellStyle name="Normal 17 5 2 2 2" xfId="5530" xr:uid="{DFF10A64-B75B-4FF8-9F90-9EB546FCBE3D}"/>
    <cellStyle name="Normal 17 5 2 3" xfId="2729" xr:uid="{A2E0A3DE-423A-4D84-B50E-2B90CCDCBBDD}"/>
    <cellStyle name="Normal 17 5 2 4" xfId="4400" xr:uid="{2BF1876C-4818-4844-97C0-76B776A0B7CD}"/>
    <cellStyle name="Normal 17 5 3" xfId="1657" xr:uid="{FA984437-FCC0-450F-8EA5-519484A6239E}"/>
    <cellStyle name="Normal 17 5 3 2" xfId="3256" xr:uid="{95950514-3DB9-42F7-B3BF-B169D76D18DB}"/>
    <cellStyle name="Normal 17 5 3 2 2" xfId="5901" xr:uid="{76545709-4263-445E-A678-EA6146F52333}"/>
    <cellStyle name="Normal 17 5 3 3" xfId="4714" xr:uid="{6686E34C-FB63-4F7D-8DFD-23DC9AA4F15E}"/>
    <cellStyle name="Normal 17 5 4" xfId="1959" xr:uid="{F1BB5A75-3108-4EDA-A719-0D95EFC09085}"/>
    <cellStyle name="Normal 17 5 4 2" xfId="4900" xr:uid="{5CDF9DB2-EED2-47C0-9A22-774956415369}"/>
    <cellStyle name="Normal 17 5 5" xfId="697" xr:uid="{BF3491E8-2B24-460A-B820-6CB754E950FF}"/>
    <cellStyle name="Normal 17 5 5 2" xfId="5182" xr:uid="{CCD7417F-F9B9-4D52-84B4-E8F9F2AE21A8}"/>
    <cellStyle name="Normal 17 5 6" xfId="2381" xr:uid="{60BF983B-346F-4874-9BE2-14E0746BF033}"/>
    <cellStyle name="Normal 17 5 6 2" xfId="7237" xr:uid="{892023F1-CCB0-42AE-9046-C4111BA9F345}"/>
    <cellStyle name="Normal 17 5 7" xfId="4052" xr:uid="{DEF4E369-1BFB-4E04-B42E-65DF88B66E62}"/>
    <cellStyle name="Normal 17 6" xfId="444" xr:uid="{55E72648-CB16-4570-A9CF-DAF6B6AAFB01}"/>
    <cellStyle name="Normal 17 6 2" xfId="1239" xr:uid="{CC636CD9-C36E-40DE-B2B0-56480DD3EBA3}"/>
    <cellStyle name="Normal 17 6 2 2" xfId="3714" xr:uid="{0395DCAE-F974-4DEA-ADFB-CA544A256BF0}"/>
    <cellStyle name="Normal 17 6 2 2 2" xfId="5585" xr:uid="{D7B6F47D-A9DF-4F82-BD5C-A17B8145D635}"/>
    <cellStyle name="Normal 17 6 2 3" xfId="2784" xr:uid="{170ECD03-7AC6-4748-858E-0B39D9C4234B}"/>
    <cellStyle name="Normal 17 6 2 4" xfId="4455" xr:uid="{B0DB06D6-9986-4D10-A82F-9EDB2E5939D7}"/>
    <cellStyle name="Normal 17 6 3" xfId="2059" xr:uid="{F23CC28E-8DCF-4015-A157-C734FA19B4AB}"/>
    <cellStyle name="Normal 17 6 3 2" xfId="3311" xr:uid="{460BFA2D-1452-4140-A9A5-E94A7D37EDC4}"/>
    <cellStyle name="Normal 17 6 3 3" xfId="4962" xr:uid="{F9CBE67D-EA72-49ED-8CAA-7E97C419530C}"/>
    <cellStyle name="Normal 17 6 4" xfId="761" xr:uid="{A91187A8-8D80-4514-94B3-DB4D0A5AFAE0}"/>
    <cellStyle name="Normal 17 6 4 2" xfId="5237" xr:uid="{BEA538E4-D248-4303-ACB4-78E1BA648B9F}"/>
    <cellStyle name="Normal 17 6 5" xfId="2436" xr:uid="{067295E4-9306-401A-A45A-81230BE296CE}"/>
    <cellStyle name="Normal 17 6 5 2" xfId="7238" xr:uid="{5FC50BDC-F62E-4C11-B8C3-8A7071A1DB74}"/>
    <cellStyle name="Normal 17 6 6" xfId="4107" xr:uid="{D434B98F-F42F-4AFE-BAD7-CD95EF8CDA57}"/>
    <cellStyle name="Normal 17 7" xfId="825" xr:uid="{53C9AB08-680A-48A6-B339-93D774E17053}"/>
    <cellStyle name="Normal 17 7 2" xfId="1304" xr:uid="{56442555-5E3B-4564-BF97-109CB3577A12}"/>
    <cellStyle name="Normal 17 7 2 2" xfId="3778" xr:uid="{8327CECC-A60F-4DE3-AA81-7FF3D17F35B2}"/>
    <cellStyle name="Normal 17 7 2 2 2" xfId="5640" xr:uid="{49E89FDA-C648-4F1D-B9B5-963A2FEC2D5D}"/>
    <cellStyle name="Normal 17 7 2 3" xfId="2839" xr:uid="{89F9257F-4D2E-4B30-9C4E-1596F70A837A}"/>
    <cellStyle name="Normal 17 7 2 4" xfId="4510" xr:uid="{087D28E6-85B1-452C-A1DE-3C202323E85B}"/>
    <cellStyle name="Normal 17 7 3" xfId="3366" xr:uid="{6E6E5FA8-83D1-47E6-BEE4-24061B8822C6}"/>
    <cellStyle name="Normal 17 7 3 2" xfId="5292" xr:uid="{98C4BF59-87F4-41B4-9FB5-3BEBC5C1D816}"/>
    <cellStyle name="Normal 17 7 4" xfId="2491" xr:uid="{F89E5ACA-183C-4040-AE55-BFAD8FD089C7}"/>
    <cellStyle name="Normal 17 7 4 2" xfId="7239" xr:uid="{7E1C0B8A-0043-4D49-86FF-13952AA0860C}"/>
    <cellStyle name="Normal 17 7 5" xfId="4162" xr:uid="{5F3F3E5C-05F6-4614-AD94-E87284A2D97D}"/>
    <cellStyle name="Normal 17 8" xfId="993" xr:uid="{EC8FAB6C-250E-41B3-A5CB-DC92DBDC6C0F}"/>
    <cellStyle name="Normal 17 8 2" xfId="3490" xr:uid="{8D67945F-3A8A-4286-8A2E-87975F9F611F}"/>
    <cellStyle name="Normal 17 8 2 2" xfId="5379" xr:uid="{A021CC68-AFF5-457C-B5F4-6E6EF4173E41}"/>
    <cellStyle name="Normal 17 8 3" xfId="2578" xr:uid="{78097E48-3067-4B57-9904-937DBCAFF462}"/>
    <cellStyle name="Normal 17 8 4" xfId="4249" xr:uid="{A2E15574-3882-4E0C-A951-6E64BABAA35F}"/>
    <cellStyle name="Normal 17 9" xfId="1392" xr:uid="{04B4C764-A291-4131-8A66-92C4B55B4FBE}"/>
    <cellStyle name="Normal 17 9 2" xfId="3121" xr:uid="{D45AC22B-154B-4821-8F7B-536BA1BF5CD5}"/>
    <cellStyle name="Normal 18" xfId="30" xr:uid="{53C19F3B-8C3C-4569-847A-C7E8915FADA7}"/>
    <cellStyle name="Normal 18 2" xfId="117" xr:uid="{1B0989F6-0174-4596-9608-D3057DB771A4}"/>
    <cellStyle name="Normal 18 3" xfId="1396" xr:uid="{356C89C8-10D2-45A1-A473-31A0315E50E9}"/>
    <cellStyle name="Normal 18 3 2" xfId="7240" xr:uid="{2A3E076C-4BCA-47A8-9F5A-EAAA13C87F48}"/>
    <cellStyle name="Normal 19" xfId="2" xr:uid="{3F202D0C-6C41-447A-B64D-B49BC1BCBA5A}"/>
    <cellStyle name="Normal 19 2" xfId="1365" xr:uid="{DB707270-9B5A-4284-9114-69B84C97C60C}"/>
    <cellStyle name="Normal 19 2 2" xfId="3832" xr:uid="{9B4B2808-6622-4C95-9F14-CA19DA5C93B3}"/>
    <cellStyle name="Normal 19 2 2 2" xfId="5688" xr:uid="{B0B35529-AA38-440D-BB09-6EF6D4A104F5}"/>
    <cellStyle name="Normal 19 2 3" xfId="2887" xr:uid="{2B8A3D71-AF46-4BE4-9E1C-D754FCA75C3A}"/>
    <cellStyle name="Normal 19 2 3 2" xfId="7242" xr:uid="{6694E4A4-9049-483A-A49F-A7D4E9184258}"/>
    <cellStyle name="Normal 19 2 4" xfId="4558" xr:uid="{D3052494-C01F-4B99-89DB-405B5B301E57}"/>
    <cellStyle name="Normal 19 3" xfId="1382" xr:uid="{83A6070D-59B3-4E09-9017-EF2FB6E7EF2B}"/>
    <cellStyle name="Normal 19 3 2" xfId="3412" xr:uid="{9FE1A925-F975-4EA6-969D-DC3AE37D160F}"/>
    <cellStyle name="Normal 19 4" xfId="888" xr:uid="{778A33AE-4423-4379-B897-BFACD48856E4}"/>
    <cellStyle name="Normal 19 4 2" xfId="3059" xr:uid="{10392E9A-2266-4111-963C-81D120A757BD}"/>
    <cellStyle name="Normal 19 4 3" xfId="5340" xr:uid="{D7AEDF71-7D3C-4DD0-934A-F1F04AB01ED2}"/>
    <cellStyle name="Normal 19 5" xfId="2539" xr:uid="{30D20A9A-7BB6-4CAF-A07B-D0277BEAC4D3}"/>
    <cellStyle name="Normal 19 5 2" xfId="7241" xr:uid="{3C4FB6B4-8D97-4E42-ACE5-BD53DBBBCCA4}"/>
    <cellStyle name="Normal 19 6" xfId="4210" xr:uid="{EF880432-E733-43E7-9411-611F1CD04CF6}"/>
    <cellStyle name="Normal 2" xfId="3" xr:uid="{1003B310-9C98-4939-ADB7-7836E1864BCF}"/>
    <cellStyle name="Normal 2 10" xfId="7243" xr:uid="{ED9799F3-52F4-4304-8B8B-D1D66E277ECB}"/>
    <cellStyle name="Normal 2 2" xfId="5" xr:uid="{12C6B196-0D98-4DE9-AE98-FB73B39D56A0}"/>
    <cellStyle name="Normal 2 2 2" xfId="118" xr:uid="{E0761D4B-8E2D-4D70-9498-6F8960A96714}"/>
    <cellStyle name="Normal 2 2 3" xfId="119" xr:uid="{63B6D8DA-6BD0-43C1-B7D7-2FE86A3F8307}"/>
    <cellStyle name="Normal 2 2 3 2" xfId="7245" xr:uid="{7A94A9DC-9853-42DC-BC06-C93233DA8F0C}"/>
    <cellStyle name="Normal 2 2 3 3" xfId="7246" xr:uid="{FE32AE02-D6BA-429F-9C1F-422A6E70E053}"/>
    <cellStyle name="Normal 2 2 3 4" xfId="7244" xr:uid="{1BA0287B-0225-458C-BF13-A51C5A38D3C5}"/>
    <cellStyle name="Normal 2 2 4" xfId="120" xr:uid="{711252B2-7BAF-4CC3-8DE2-27A4F314F16B}"/>
    <cellStyle name="Normal 2 2 4 2" xfId="7247" xr:uid="{5B92F200-528F-4A37-9517-B04D973D7D17}"/>
    <cellStyle name="Normal 2 2 5" xfId="7248" xr:uid="{61641C5E-E7E2-4C4A-97A4-113E822B47C3}"/>
    <cellStyle name="Normal 2 3" xfId="13" xr:uid="{55534FE4-CD89-45A5-A69E-207D6B11DC50}"/>
    <cellStyle name="Normal 2 3 2" xfId="121" xr:uid="{5C4826E6-EE8E-4BAD-B4E6-88A8CFB2CE2A}"/>
    <cellStyle name="Normal 2 3 2 2" xfId="7249" xr:uid="{468B4B6C-8574-4747-9B83-15E92E9F4588}"/>
    <cellStyle name="Normal 2 3 3" xfId="924" xr:uid="{A83EF1C9-3D45-4F4B-83E2-861D9DED6FE2}"/>
    <cellStyle name="Normal 2 3 4" xfId="1384" xr:uid="{FCE8C0BD-1E76-4197-B20A-C38331FE2EC1}"/>
    <cellStyle name="Normal 2 3 4 2" xfId="7250" xr:uid="{036E3766-8DC0-4B76-B194-21BA53963DF7}"/>
    <cellStyle name="Normal 2 3 5" xfId="7251" xr:uid="{6DA54005-23F4-44DE-A024-34C3E94AA689}"/>
    <cellStyle name="Normal 2 4" xfId="122" xr:uid="{3D43134A-D3D1-4A66-924E-0606AE9BAE41}"/>
    <cellStyle name="Normal 2 4 2" xfId="925" xr:uid="{117C8E57-6A9A-4AB1-B532-4A1CD1353DB3}"/>
    <cellStyle name="Normal 2 4 3" xfId="7252" xr:uid="{3A7C8BAA-E949-4B35-8DAF-25FE13707D29}"/>
    <cellStyle name="Normal 2 5" xfId="123" xr:uid="{D02F1227-B014-4B36-B12F-03A2CE72FF21}"/>
    <cellStyle name="Normal 2 6" xfId="124" xr:uid="{EABC1AD5-46FC-4480-A791-3CE52B942C67}"/>
    <cellStyle name="Normal 2 6 2" xfId="7254" xr:uid="{7B58226C-19F6-4F58-ADB1-73FC09035CA1}"/>
    <cellStyle name="Normal 2 6 3" xfId="7255" xr:uid="{70AE7C49-D221-40DF-94D4-E518331F39E0}"/>
    <cellStyle name="Normal 2 6 4" xfId="7253" xr:uid="{B33D93A2-AAC5-4A9B-AB72-041B9052BB1B}"/>
    <cellStyle name="Normal 2 7" xfId="7256" xr:uid="{866B551F-09A1-4F76-BF7B-9C7F9C73213F}"/>
    <cellStyle name="Normal 2 8" xfId="7257" xr:uid="{1C42CED0-4AD2-459B-A063-D66E722929D2}"/>
    <cellStyle name="Normal 2 9" xfId="7258" xr:uid="{DF401E52-842C-4529-A051-C27234E92DAD}"/>
    <cellStyle name="Normal 20" xfId="10" xr:uid="{B7AB12C1-2886-4F7B-8A58-908DEDC5EC4B}"/>
    <cellStyle name="Normal 20 2" xfId="1383" xr:uid="{4466CA3B-F297-49E3-AE44-7E5A35DEE008}"/>
    <cellStyle name="Normal 20 2 2" xfId="3451" xr:uid="{AA2932FA-3F3C-4920-8EAE-E519964D226A}"/>
    <cellStyle name="Normal 20 2 2 2" xfId="5702" xr:uid="{03F33A1F-5401-488B-A354-6442C9C49E46}"/>
    <cellStyle name="Normal 20 2 3" xfId="7260" xr:uid="{E4B24AF9-374F-42BD-9150-916F4DC7D9A1}"/>
    <cellStyle name="Normal 20 2 4" xfId="4572" xr:uid="{96B7E1D3-A7B8-452C-9474-F1580EDE74CA}"/>
    <cellStyle name="Normal 20 3" xfId="1701" xr:uid="{2D6537A8-2675-460C-AE21-4859E5B39234}"/>
    <cellStyle name="Normal 20 3 2" xfId="3129" xr:uid="{5C6AF89F-7169-4898-B057-9C361F31224D}"/>
    <cellStyle name="Normal 20 3 2 2" xfId="7261" xr:uid="{B2F433CB-C837-45C4-8CC0-56853EF6535A}"/>
    <cellStyle name="Normal 20 3 3" xfId="4758" xr:uid="{8DF19FC7-BD70-400F-AAC8-E1880C4CC212}"/>
    <cellStyle name="Normal 20 4" xfId="950" xr:uid="{A96B7B2A-4600-487C-BB6C-B4C26B2019C2}"/>
    <cellStyle name="Normal 20 4 2" xfId="7262" xr:uid="{BD638963-0564-4037-A83F-73598328694E}"/>
    <cellStyle name="Normal 20 5" xfId="7263" xr:uid="{0D745753-EE0B-47EA-B6EF-1FDC99ECE1D1}"/>
    <cellStyle name="Normal 20 6" xfId="7259" xr:uid="{28B9FF2A-EB3E-4019-BD4A-8B38DB8ACECA}"/>
    <cellStyle name="Normal 21" xfId="951" xr:uid="{454807EA-9D71-46AC-B7EF-6743DDAB403C}"/>
    <cellStyle name="Normal 21 2" xfId="1371" xr:uid="{F1137EE2-ECEE-43EE-842C-4E21C788F77E}"/>
    <cellStyle name="Normal 21 2 2" xfId="3838" xr:uid="{E6044240-3D29-411B-B512-FC4E9FB39B49}"/>
    <cellStyle name="Normal 21 2 2 2" xfId="5694" xr:uid="{4646E75B-1218-4856-B3BA-0E03538F9BB4}"/>
    <cellStyle name="Normal 21 2 3" xfId="3153" xr:uid="{3C95770E-C5EA-40AC-98E5-5CE44721ADD4}"/>
    <cellStyle name="Normal 21 2 4" xfId="2893" xr:uid="{F1121768-C932-4368-94ED-C997FEC26C6F}"/>
    <cellStyle name="Normal 21 2 5" xfId="4564" xr:uid="{F491341F-A3B3-493E-AF4A-99F9952F5896}"/>
    <cellStyle name="Normal 21 3" xfId="3452" xr:uid="{8D57D23D-D049-4CBC-847D-615C599DFFE7}"/>
    <cellStyle name="Normal 21 3 2" xfId="7265" xr:uid="{814AE874-3897-42D4-AC8F-5E034D3B6B3C}"/>
    <cellStyle name="Normal 21 3 3" xfId="5346" xr:uid="{049C1842-34E5-4240-ADA0-C2D6FA2B0B59}"/>
    <cellStyle name="Normal 21 4" xfId="3160" xr:uid="{59DD0C8C-18D9-4997-97F8-37EFE050921A}"/>
    <cellStyle name="Normal 21 4 2" xfId="7266" xr:uid="{104E3717-9CAF-4935-BE01-C676CDD644E2}"/>
    <cellStyle name="Normal 21 5" xfId="2545" xr:uid="{90194A5B-7BE5-493B-B8AE-694B0E593E76}"/>
    <cellStyle name="Normal 21 5 2" xfId="7264" xr:uid="{01AC71EB-12ED-4291-8BAC-36F4F84552B0}"/>
    <cellStyle name="Normal 21 6" xfId="4216" xr:uid="{B2991497-A9F3-4417-B9BD-2EE5849C6267}"/>
    <cellStyle name="Normal 22" xfId="953" xr:uid="{5BE4E3B1-1157-446C-AE95-7FDB41BD5C7A}"/>
    <cellStyle name="Normal 22 2" xfId="1372" xr:uid="{023C86AE-B8DD-4FEF-8DDC-F655F27211ED}"/>
    <cellStyle name="Normal 22 2 2" xfId="3839" xr:uid="{50F7A81E-A22F-4A2D-8F97-8DFD3BE3CDC5}"/>
    <cellStyle name="Normal 22 2 2 2" xfId="5695" xr:uid="{181A5BAE-E9F7-40F1-BCFC-638DFEF5F65D}"/>
    <cellStyle name="Normal 22 2 3" xfId="2894" xr:uid="{2C2E14BF-984B-4879-82FD-E2FEA4F643D6}"/>
    <cellStyle name="Normal 22 2 3 2" xfId="7268" xr:uid="{5B56EF53-8A84-49B2-B7A2-B13AB249C4F8}"/>
    <cellStyle name="Normal 22 2 4" xfId="4565" xr:uid="{2AC6D150-1227-407D-A53D-596C454EC249}"/>
    <cellStyle name="Normal 22 3" xfId="3453" xr:uid="{96F61F47-7C93-444F-81C5-6EFF1ED6CE65}"/>
    <cellStyle name="Normal 22 3 2" xfId="7269" xr:uid="{13BAA807-9981-418B-B81A-19DEF5B7FB11}"/>
    <cellStyle name="Normal 22 3 3" xfId="5347" xr:uid="{4F159261-7AB8-4869-876E-588C54FED528}"/>
    <cellStyle name="Normal 22 4" xfId="2546" xr:uid="{D80DEAB2-4A73-4916-A8C1-C27866916087}"/>
    <cellStyle name="Normal 22 4 2" xfId="7267" xr:uid="{00CDF8A5-67A6-496E-95BE-2DAD6EA95F3F}"/>
    <cellStyle name="Normal 22 5" xfId="4217" xr:uid="{B4849BB1-8EA0-4F17-91F1-1DEC9277A294}"/>
    <cellStyle name="Normal 23" xfId="962" xr:uid="{8FA23793-E832-44D0-A88E-65980C0FD6AF}"/>
    <cellStyle name="Normal 23 2" xfId="1381" xr:uid="{26935324-5135-4D3B-AF70-874668756FBD}"/>
    <cellStyle name="Normal 23 2 2" xfId="3846" xr:uid="{90AAFBF3-0997-42E4-B096-3550F316B38E}"/>
    <cellStyle name="Normal 23 2 2 2" xfId="5701" xr:uid="{08B6A311-2C16-4625-BE78-6B3A54DB383F}"/>
    <cellStyle name="Normal 23 2 3" xfId="2900" xr:uid="{B50FECB5-1BF4-4BBC-A593-6525DE68BB14}"/>
    <cellStyle name="Normal 23 2 4" xfId="4571" xr:uid="{08178E63-1C74-43EC-9186-42CCF32598A3}"/>
    <cellStyle name="Normal 23 3" xfId="3460" xr:uid="{4E9000A2-0ABA-44CD-8AA5-8DDC086B4928}"/>
    <cellStyle name="Normal 23 3 2" xfId="5353" xr:uid="{9899BF5A-61F8-4DEB-B42D-2DAB002CC456}"/>
    <cellStyle name="Normal 23 4" xfId="2552" xr:uid="{245E0028-FAD0-464C-BB0B-4FFFD8A29396}"/>
    <cellStyle name="Normal 23 4 2" xfId="7270" xr:uid="{3E570AD9-D3D3-4D0F-B56C-66BFE8154478}"/>
    <cellStyle name="Normal 23 5" xfId="4223" xr:uid="{10BFA207-326B-4F15-A141-283639BF538D}"/>
    <cellStyle name="Normal 24" xfId="964" xr:uid="{D6983F65-C019-483C-8766-F0A5F49030D2}"/>
    <cellStyle name="Normal 24 2" xfId="7271" xr:uid="{656AD9AC-465F-48C8-9329-7FF180CB5554}"/>
    <cellStyle name="Normal 25" xfId="963" xr:uid="{83FD5521-F109-4B2B-B646-C887B0E78E69}"/>
    <cellStyle name="Normal 25 2" xfId="3461" xr:uid="{15E2DD8A-2DB7-437D-8D6A-23FE73022F00}"/>
    <cellStyle name="Normal 25 2 2" xfId="5354" xr:uid="{E48BDF98-A3E4-4AE4-A9F0-C54A2BA5CA47}"/>
    <cellStyle name="Normal 25 3" xfId="2553" xr:uid="{3CAE8F1A-414C-477B-A335-5B5E7AE6B506}"/>
    <cellStyle name="Normal 25 3 2" xfId="7272" xr:uid="{746FB6CE-D306-4C3A-B587-BF78A1A15E16}"/>
    <cellStyle name="Normal 25 4" xfId="4224" xr:uid="{5D935082-E092-444B-B8E2-BC7F0C69C672}"/>
    <cellStyle name="Normal 26" xfId="2205" xr:uid="{97EEC733-AF57-470F-9BDD-29C35841556C}"/>
    <cellStyle name="Normal 26 2" xfId="2931" xr:uid="{238D3678-5AB8-4904-A23B-CEBBFD6AF2B4}"/>
    <cellStyle name="Normal 27" xfId="7601" xr:uid="{0FCE7ADF-74C0-474E-A5E2-2EB4982348A7}"/>
    <cellStyle name="Normal 28" xfId="7602" xr:uid="{69C65EC7-E790-4261-9570-8CD3D98CD921}"/>
    <cellStyle name="Normal 29" xfId="7603" xr:uid="{4E882856-F88D-4111-8F53-342302FF5264}"/>
    <cellStyle name="Normal 3" xfId="14" xr:uid="{8C4AF796-AB80-423C-A4FC-149A9873BC19}"/>
    <cellStyle name="Normal 3 10" xfId="827" xr:uid="{BCB4F25A-AD58-44E8-A97B-E23A9F094AC3}"/>
    <cellStyle name="Normal 3 10 2" xfId="1306" xr:uid="{FFB93869-A7FF-4C52-B9C7-4F38A890DC49}"/>
    <cellStyle name="Normal 3 10 2 2" xfId="3780" xr:uid="{FC3673CB-9539-4026-B29B-483B7E81734C}"/>
    <cellStyle name="Normal 3 10 2 2 2" xfId="5642" xr:uid="{E6862E37-7A1C-4464-A3F7-EFF2DBC9756B}"/>
    <cellStyle name="Normal 3 10 2 3" xfId="2841" xr:uid="{11A06E00-637E-470A-9612-C921AE4F50C8}"/>
    <cellStyle name="Normal 3 10 2 4" xfId="4512" xr:uid="{4CDC155B-56BF-470C-BCD2-8041154BEBB3}"/>
    <cellStyle name="Normal 3 10 3" xfId="3368" xr:uid="{00ADD41E-5E49-4369-BC32-6F2B58643C2D}"/>
    <cellStyle name="Normal 3 10 3 2" xfId="5294" xr:uid="{1841181B-CB96-4F87-B295-767DA810D32E}"/>
    <cellStyle name="Normal 3 10 4" xfId="2493" xr:uid="{0352B1CE-2FAD-43A2-8AFC-CB09C5675958}"/>
    <cellStyle name="Normal 3 10 4 2" xfId="7273" xr:uid="{A85F164D-218D-442E-9080-BB9C39E01004}"/>
    <cellStyle name="Normal 3 10 5" xfId="4164" xr:uid="{6615CAA8-C993-4018-AC03-B665532BDCCC}"/>
    <cellStyle name="Normal 3 11" xfId="883" xr:uid="{85F6109F-4420-4E57-A90F-C1513152C4D7}"/>
    <cellStyle name="Normal 3 12" xfId="2163" xr:uid="{2D285907-17B6-4654-AB34-D406FB687F14}"/>
    <cellStyle name="Normal 3 12 2" xfId="3847" xr:uid="{C8E0E0E7-1A6C-4687-95E1-44C810871FB8}"/>
    <cellStyle name="Normal 3 12 3" xfId="2901" xr:uid="{78E663D8-7700-4BA3-8259-240141D00010}"/>
    <cellStyle name="Normal 3 2" xfId="126" xr:uid="{33FD30FB-1E4F-4448-99F3-016BDEB71A07}"/>
    <cellStyle name="Normal 3 2 2" xfId="926" xr:uid="{3826F9A0-3137-484A-AC90-E20C489F7BEC}"/>
    <cellStyle name="Normal 3 2 2 2" xfId="7276" xr:uid="{04EAD35E-7C03-4BC4-B02C-8ACED137131A}"/>
    <cellStyle name="Normal 3 2 2 2 2" xfId="7277" xr:uid="{F36CDE07-5EEE-4AD3-AEDE-273D07A7DC61}"/>
    <cellStyle name="Normal 3 2 2 3" xfId="7278" xr:uid="{B6ABCDE1-7DCE-4769-B5AD-23AC124FF2BE}"/>
    <cellStyle name="Normal 3 2 2 4" xfId="7279" xr:uid="{2D631890-83AF-4470-9851-C864803B6A0C}"/>
    <cellStyle name="Normal 3 2 2 5" xfId="7275" xr:uid="{0755413C-50C2-4D26-A428-A332E194C12F}"/>
    <cellStyle name="Normal 3 2 3" xfId="7280" xr:uid="{D2010EF2-AB05-4DC4-8332-D8304B79EB09}"/>
    <cellStyle name="Normal 3 2 3 2" xfId="7281" xr:uid="{057F57E4-E720-46CD-9572-A9F64E6A0405}"/>
    <cellStyle name="Normal 3 2 4" xfId="7282" xr:uid="{658F77A9-0A91-4387-970D-65F040C5D14D}"/>
    <cellStyle name="Normal 3 2 5" xfId="7283" xr:uid="{00301C28-CBDD-437D-9B70-07D98A31C3C5}"/>
    <cellStyle name="Normal 3 2 6" xfId="8" xr:uid="{8928D480-F430-4AE8-B7F3-F0739125414E}"/>
    <cellStyle name="Normal 3 2 7" xfId="7274" xr:uid="{03C2320F-AF7F-4B2C-87BB-5CBF51612280}"/>
    <cellStyle name="Normal 3 3" xfId="127" xr:uid="{6BFE7678-AFD0-4C5E-8F94-8F021BC5D443}"/>
    <cellStyle name="Normal 3 3 2" xfId="7285" xr:uid="{B56DD6FB-397A-42B6-A2FF-55253AEC28F5}"/>
    <cellStyle name="Normal 3 3 3" xfId="7286" xr:uid="{AC54D177-9708-43BF-87C6-09C68CBA6DF9}"/>
    <cellStyle name="Normal 3 3 4" xfId="7284" xr:uid="{3771295C-0F73-4967-8851-708AE6233BED}"/>
    <cellStyle name="Normal 3 4" xfId="128" xr:uid="{B7AB1357-EF49-485A-8A78-86885C7A6E62}"/>
    <cellStyle name="Normal 3 4 2" xfId="7288" xr:uid="{1C452E81-6946-4501-8E2F-A06311C99897}"/>
    <cellStyle name="Normal 3 4 3" xfId="7287" xr:uid="{F41FE7F7-5537-443C-83CF-DBB9506999E6}"/>
    <cellStyle name="Normal 3 5" xfId="129" xr:uid="{076A21DC-3713-41EC-8C55-698F2E98443E}"/>
    <cellStyle name="Normal 3 5 10" xfId="528" xr:uid="{E975F581-68B8-4487-BD32-D83856217E34}"/>
    <cellStyle name="Normal 3 5 10 2" xfId="5040" xr:uid="{7C65B5F4-D59D-447D-B061-3DFE015CED27}"/>
    <cellStyle name="Normal 3 5 11" xfId="2164" xr:uid="{EEB89B56-729F-4D94-9EC2-3BA5E88CF7C2}"/>
    <cellStyle name="Normal 3 5 11 2" xfId="7289" xr:uid="{F2353DFB-ABA8-4A2F-9D57-CD3C6E93D702}"/>
    <cellStyle name="Normal 3 5 12" xfId="2239" xr:uid="{5CECFBF8-987F-4BC2-84CD-593FAB706BF4}"/>
    <cellStyle name="Normal 3 5 13" xfId="3910" xr:uid="{EBDBEC83-2754-4318-AE7E-7D4375F6E968}"/>
    <cellStyle name="Normal 3 5 2" xfId="247" xr:uid="{7D4B22AB-1A00-4C7F-97EC-5740DAEB9700}"/>
    <cellStyle name="Normal 3 5 2 2" xfId="1050" xr:uid="{0DAA94F5-DF10-4C01-B057-33C058382667}"/>
    <cellStyle name="Normal 3 5 2 2 2" xfId="3538" xr:uid="{39CF1080-1A09-4972-B5BF-04518C8E0853}"/>
    <cellStyle name="Normal 3 5 2 2 2 2" xfId="5423" xr:uid="{0A42DA3B-BF60-4651-AD3B-8013D7113DAE}"/>
    <cellStyle name="Normal 3 5 2 2 3" xfId="2622" xr:uid="{DE6D4E51-27AD-43E9-A876-D5D268F5F77F}"/>
    <cellStyle name="Normal 3 5 2 2 4" xfId="4293" xr:uid="{AFED7747-7C55-4286-8992-7F75CBA766BD}"/>
    <cellStyle name="Normal 3 5 2 3" xfId="1561" xr:uid="{3176AB68-44BC-4DA3-B87F-724232BB15C5}"/>
    <cellStyle name="Normal 3 5 2 3 2" xfId="3159" xr:uid="{9DD030ED-8563-4328-AF74-C67BE7C82528}"/>
    <cellStyle name="Normal 3 5 2 3 2 2" xfId="5827" xr:uid="{AE222345-599A-4900-B2EA-6FA0253017DB}"/>
    <cellStyle name="Normal 3 5 2 3 3" xfId="4656" xr:uid="{B50DEECB-A5E4-4D7B-86C4-6609714E0663}"/>
    <cellStyle name="Normal 3 5 2 4" xfId="1863" xr:uid="{6A845CBA-7D8C-4722-A671-07787A0B8864}"/>
    <cellStyle name="Normal 3 5 2 4 2" xfId="4842" xr:uid="{7AF58ECD-38B9-41D5-B42B-F5A971050C4E}"/>
    <cellStyle name="Normal 3 5 2 5" xfId="572" xr:uid="{73AF015E-916E-4062-96A0-99AF5B43A9F1}"/>
    <cellStyle name="Normal 3 5 2 5 2" xfId="5075" xr:uid="{F986D66E-CAD3-4D8B-B5F5-724EEC84B021}"/>
    <cellStyle name="Normal 3 5 2 6" xfId="2274" xr:uid="{761BD776-E241-4A03-B764-368A6122FBFD}"/>
    <cellStyle name="Normal 3 5 2 6 2" xfId="7290" xr:uid="{B677FBC7-21AE-4211-9ACF-02227BB8F089}"/>
    <cellStyle name="Normal 3 5 2 7" xfId="3945" xr:uid="{1CD1A249-ABD6-4E53-9554-D31E93A210AD}"/>
    <cellStyle name="Normal 3 5 3" xfId="347" xr:uid="{A9647FA8-7A48-4CD7-BA8E-FBCE9D0E497C}"/>
    <cellStyle name="Normal 3 5 3 2" xfId="1114" xr:uid="{13ACE657-DC69-4BB2-A294-1E18499E2EBC}"/>
    <cellStyle name="Normal 3 5 3 2 2" xfId="3593" xr:uid="{A893A481-8970-4FE8-B117-415B179CF999}"/>
    <cellStyle name="Normal 3 5 3 2 2 2" xfId="5478" xr:uid="{9DABFCD9-D9D2-4A44-B31D-743C44AF9105}"/>
    <cellStyle name="Normal 3 5 3 2 3" xfId="2677" xr:uid="{3C9033E4-FF5E-4AF2-9ED3-E086CC708263}"/>
    <cellStyle name="Normal 3 5 3 2 4" xfId="4348" xr:uid="{97E25111-0FAA-4E75-926A-646B1031500D}"/>
    <cellStyle name="Normal 3 5 3 3" xfId="1660" xr:uid="{979D2226-C7DA-42B3-9A54-78F60B3CE655}"/>
    <cellStyle name="Normal 3 5 3 3 2" xfId="3204" xr:uid="{F6617C2B-341A-447C-8EB8-4AF3DB35CAFF}"/>
    <cellStyle name="Normal 3 5 3 3 2 2" xfId="5904" xr:uid="{F44A1CF6-609B-4969-B209-53F67D616559}"/>
    <cellStyle name="Normal 3 5 3 3 3" xfId="4717" xr:uid="{737F0BC7-2481-4F1E-9B2E-6E004EADE460}"/>
    <cellStyle name="Normal 3 5 3 4" xfId="1962" xr:uid="{B510233B-93C9-4D53-9BF0-798C7555290E}"/>
    <cellStyle name="Normal 3 5 3 4 2" xfId="4903" xr:uid="{BDD69D14-A6BB-4594-B351-44067FA672B9}"/>
    <cellStyle name="Normal 3 5 3 5" xfId="636" xr:uid="{613373DC-E0E2-4415-A378-21AB0C27886B}"/>
    <cellStyle name="Normal 3 5 3 5 2" xfId="5130" xr:uid="{8D7C4FE8-C47D-4E1B-AFD4-0771DB0FA851}"/>
    <cellStyle name="Normal 3 5 3 6" xfId="2329" xr:uid="{F814B7EA-0937-4C42-90BE-85DA5FE2A65F}"/>
    <cellStyle name="Normal 3 5 3 6 2" xfId="7291" xr:uid="{3974DB17-217E-43B1-A301-4CA303B22BA3}"/>
    <cellStyle name="Normal 3 5 3 7" xfId="4000" xr:uid="{A8EAAA08-859C-4A5A-B3E5-F2124E609C68}"/>
    <cellStyle name="Normal 3 5 4" xfId="447" xr:uid="{6B039401-E2CF-4058-85A6-51716D416E01}"/>
    <cellStyle name="Normal 3 5 4 2" xfId="1178" xr:uid="{763EC5D7-D78A-42EE-B881-BA0C3FBE7445}"/>
    <cellStyle name="Normal 3 5 4 2 2" xfId="3654" xr:uid="{BC46E817-8FFC-4495-8850-CD82274F6249}"/>
    <cellStyle name="Normal 3 5 4 2 2 2" xfId="5533" xr:uid="{104D8751-74CA-4F0E-9398-4F0A9FCBE04F}"/>
    <cellStyle name="Normal 3 5 4 2 3" xfId="2732" xr:uid="{C65BB704-BE86-4F1D-A657-B838C3D034D5}"/>
    <cellStyle name="Normal 3 5 4 2 4" xfId="4403" xr:uid="{B58D3964-3AD1-4FCD-9E0C-B7787922C8C5}"/>
    <cellStyle name="Normal 3 5 4 3" xfId="2062" xr:uid="{7C1DEC18-6B8D-4826-AD35-995719CAD451}"/>
    <cellStyle name="Normal 3 5 4 3 2" xfId="3259" xr:uid="{F68D89CB-9529-4385-A1D6-4A3A713F9921}"/>
    <cellStyle name="Normal 3 5 4 3 3" xfId="4965" xr:uid="{ECF5C86A-386C-4016-B6B6-E029E917F7A7}"/>
    <cellStyle name="Normal 3 5 4 4" xfId="700" xr:uid="{B16D788E-8F19-4194-95FA-D487DACD0F94}"/>
    <cellStyle name="Normal 3 5 4 4 2" xfId="5185" xr:uid="{B2822AC9-E2DE-43E9-B4C5-D1E6C6ADA8D6}"/>
    <cellStyle name="Normal 3 5 4 5" xfId="2384" xr:uid="{E33E8547-FD3F-4F48-B73E-3641265AD73D}"/>
    <cellStyle name="Normal 3 5 4 5 2" xfId="7292" xr:uid="{C1F2C303-D590-463B-8EC7-09F1E45391B6}"/>
    <cellStyle name="Normal 3 5 4 6" xfId="4055" xr:uid="{373E3A6B-842E-442C-B8DE-200BD3D12D3F}"/>
    <cellStyle name="Normal 3 5 5" xfId="764" xr:uid="{FF9DA7B8-43F8-4FDD-87BF-473A3B15EB80}"/>
    <cellStyle name="Normal 3 5 5 2" xfId="1243" xr:uid="{EF67FA1B-4ECC-469D-B8BF-EE5084EF04C1}"/>
    <cellStyle name="Normal 3 5 5 2 2" xfId="3717" xr:uid="{9283B60A-BBBA-4641-96BB-4C7ED4FBEF65}"/>
    <cellStyle name="Normal 3 5 5 2 2 2" xfId="5588" xr:uid="{6C149CC7-5D30-4D58-AF5B-F80BBFE096AB}"/>
    <cellStyle name="Normal 3 5 5 2 3" xfId="2787" xr:uid="{8D0DA9AE-FEE9-4D73-9D64-6F8E4C3D38A7}"/>
    <cellStyle name="Normal 3 5 5 2 4" xfId="4458" xr:uid="{9D40DC66-66D3-4483-AAFF-041792F09A8C}"/>
    <cellStyle name="Normal 3 5 5 3" xfId="3314" xr:uid="{B6F7495E-5F40-4463-B144-587D573620AA}"/>
    <cellStyle name="Normal 3 5 5 3 2" xfId="5240" xr:uid="{5B6739A7-C025-46EF-AC3F-5D17F0559180}"/>
    <cellStyle name="Normal 3 5 5 4" xfId="2439" xr:uid="{FB6E49FE-81BA-4479-8ACE-39A7578DF952}"/>
    <cellStyle name="Normal 3 5 5 4 2" xfId="7293" xr:uid="{140DAD7D-EC5E-45DE-B715-15B058D1545D}"/>
    <cellStyle name="Normal 3 5 5 5" xfId="4110" xr:uid="{983ADDFD-D997-47FF-9575-FC73CE4FC42D}"/>
    <cellStyle name="Normal 3 5 6" xfId="828" xr:uid="{3237CAE0-1A07-4DEC-AC17-42C34AFA0ABB}"/>
    <cellStyle name="Normal 3 5 6 2" xfId="1307" xr:uid="{A923AEAF-18A5-4E2A-AAB0-C5002CF45FE9}"/>
    <cellStyle name="Normal 3 5 6 2 2" xfId="3781" xr:uid="{080C3818-A045-4FB3-B4F9-FCD82F8260CC}"/>
    <cellStyle name="Normal 3 5 6 2 2 2" xfId="5643" xr:uid="{D691F7FD-0A97-4E45-B422-1F254C1F4772}"/>
    <cellStyle name="Normal 3 5 6 2 3" xfId="2842" xr:uid="{520D4EC8-3557-46A9-9B72-76DD46421666}"/>
    <cellStyle name="Normal 3 5 6 2 4" xfId="4513" xr:uid="{63722322-E82C-44E3-8958-F098E493EC3B}"/>
    <cellStyle name="Normal 3 5 6 3" xfId="3369" xr:uid="{00FDD651-4408-4C86-8616-2A171D3B455E}"/>
    <cellStyle name="Normal 3 5 6 3 2" xfId="5295" xr:uid="{65E3DBCF-A959-4628-B410-58BC2F85CAF3}"/>
    <cellStyle name="Normal 3 5 6 4" xfId="2494" xr:uid="{0D90A242-3DBE-4CD4-8623-886AE75D8A48}"/>
    <cellStyle name="Normal 3 5 6 4 2" xfId="7294" xr:uid="{DE25F359-0A49-4623-8480-9A5AAA33D72E}"/>
    <cellStyle name="Normal 3 5 6 5" xfId="4165" xr:uid="{036E2AE9-B246-4472-B639-0EF9977308D4}"/>
    <cellStyle name="Normal 3 5 7" xfId="1006" xr:uid="{E030FEAB-C873-4D24-B50E-453E5648B4B9}"/>
    <cellStyle name="Normal 3 5 7 2" xfId="3503" xr:uid="{1EDAFE87-D946-457F-BECF-29B0E0347B82}"/>
    <cellStyle name="Normal 3 5 7 2 2" xfId="5388" xr:uid="{7B5EAD61-9DD8-4E57-A227-7E0B400CBD61}"/>
    <cellStyle name="Normal 3 5 7 3" xfId="2587" xr:uid="{DA71A0F7-7CD0-47E8-8BED-44227EBA2A04}"/>
    <cellStyle name="Normal 3 5 7 4" xfId="4258" xr:uid="{B8824DB2-1616-4B7A-B563-B05FB9DA1F94}"/>
    <cellStyle name="Normal 3 5 8" xfId="1459" xr:uid="{8A31E735-29EF-472F-A2BD-58F5A0C2E1EC}"/>
    <cellStyle name="Normal 3 5 8 2" xfId="3060" xr:uid="{FE7EE9D0-6F3A-44DE-BB87-F6A8A8CD182E}"/>
    <cellStyle name="Normal 3 5 8 2 2" xfId="5734" xr:uid="{0F0D40B3-2E80-4A7E-998B-10A290647F81}"/>
    <cellStyle name="Normal 3 5 8 3" xfId="4595" xr:uid="{83077FCC-F9D2-4289-9F48-74056D7D74AB}"/>
    <cellStyle name="Normal 3 5 9" xfId="1763" xr:uid="{328A9DE3-B2EB-4192-B3CA-EFBA1D93C82B}"/>
    <cellStyle name="Normal 3 5 9 2" xfId="4781" xr:uid="{B660ADBC-A01A-45C6-A393-B96A5E3135C2}"/>
    <cellStyle name="Normal 3 6" xfId="125" xr:uid="{14BE7D90-AE65-4BEA-B618-B99A012787C3}"/>
    <cellStyle name="Normal 3 6 2" xfId="1049" xr:uid="{46396F4C-7151-4653-A93A-B301901EF821}"/>
    <cellStyle name="Normal 3 6 2 2" xfId="3537" xr:uid="{61D96F0D-2E51-41B3-8ED8-7155651E958A}"/>
    <cellStyle name="Normal 3 6 2 2 2" xfId="5422" xr:uid="{30C2EC7C-75B7-4034-99B8-C8C5675BD784}"/>
    <cellStyle name="Normal 3 6 2 3" xfId="2621" xr:uid="{93ED3E13-1AD6-493E-8CAD-2422AF54F97D}"/>
    <cellStyle name="Normal 3 6 2 4" xfId="4292" xr:uid="{D6F4BDFC-103D-4EE6-AFC7-E9152F5C7E4B}"/>
    <cellStyle name="Normal 3 6 3" xfId="1458" xr:uid="{EA09FE57-F351-4E15-ADE7-D33312C0C918}"/>
    <cellStyle name="Normal 3 6 3 2" xfId="3089" xr:uid="{830D88BD-8C2F-4892-B6E8-E877DE00FC5C}"/>
    <cellStyle name="Normal 3 6 3 2 2" xfId="5733" xr:uid="{D95C1E16-499C-48AA-881A-C02E3282E54C}"/>
    <cellStyle name="Normal 3 6 3 3" xfId="4594" xr:uid="{2E9AAAE4-0D06-446C-9774-D6A131CD00D7}"/>
    <cellStyle name="Normal 3 6 4" xfId="1762" xr:uid="{1BA77C0B-FD87-4FF8-AA8B-63E6F6731A02}"/>
    <cellStyle name="Normal 3 6 4 2" xfId="4780" xr:uid="{32A935B4-B715-4792-A24D-1850452FA40A}"/>
    <cellStyle name="Normal 3 6 5" xfId="571" xr:uid="{E8DAECBD-5F31-4D16-98E9-04DE183651CD}"/>
    <cellStyle name="Normal 3 6 5 2" xfId="5074" xr:uid="{CF69BE8A-4DCC-472B-BA9B-CA996D68BE05}"/>
    <cellStyle name="Normal 3 6 6" xfId="2273" xr:uid="{ED65180E-5502-4C43-9EBE-B631B97235D6}"/>
    <cellStyle name="Normal 3 6 6 2" xfId="7295" xr:uid="{58DD9381-8B12-4CC8-B1CA-22F1920BE998}"/>
    <cellStyle name="Normal 3 6 7" xfId="3944" xr:uid="{AD3C0AFC-EFB5-48B8-9B97-7AFC9BDC2770}"/>
    <cellStyle name="Normal 3 7" xfId="246" xr:uid="{F5A84066-3539-459D-9F30-3B468D8D7E5D}"/>
    <cellStyle name="Normal 3 7 2" xfId="1113" xr:uid="{0B142D0E-A52B-499D-B736-FF55548839F2}"/>
    <cellStyle name="Normal 3 7 2 2" xfId="3592" xr:uid="{3747E341-A5FA-4C8E-B9D3-59C8C72D19C0}"/>
    <cellStyle name="Normal 3 7 2 2 2" xfId="5477" xr:uid="{F464F2A6-6883-43A8-8FA4-8E53717F2458}"/>
    <cellStyle name="Normal 3 7 2 3" xfId="2676" xr:uid="{30D7EE4F-A409-4E10-A5AB-9AD83CBE7923}"/>
    <cellStyle name="Normal 3 7 2 4" xfId="4347" xr:uid="{653312B7-E7F7-45B7-92DD-ED3B791DB1F6}"/>
    <cellStyle name="Normal 3 7 3" xfId="1560" xr:uid="{C1A33988-07EC-4DA8-8D1E-0BF425364400}"/>
    <cellStyle name="Normal 3 7 3 2" xfId="3203" xr:uid="{AF5C8FCA-E42A-4603-BB5F-7421412170E8}"/>
    <cellStyle name="Normal 3 7 3 2 2" xfId="5826" xr:uid="{E2A608FC-11B0-4556-AE8B-9B62A3951919}"/>
    <cellStyle name="Normal 3 7 3 3" xfId="4655" xr:uid="{712B176F-A5E0-4C1C-9CC7-7B5FBB64B4A2}"/>
    <cellStyle name="Normal 3 7 4" xfId="1862" xr:uid="{B1F8532D-6345-4311-A22E-78039E30D7E4}"/>
    <cellStyle name="Normal 3 7 4 2" xfId="4841" xr:uid="{EDE23E6D-F3D4-4B54-9C3A-4060E82566E6}"/>
    <cellStyle name="Normal 3 7 5" xfId="635" xr:uid="{363218D7-F44D-4C41-A021-87F9A9C62D97}"/>
    <cellStyle name="Normal 3 7 5 2" xfId="5129" xr:uid="{BDFD7770-5E4A-4D21-B78A-48985C3DCDB9}"/>
    <cellStyle name="Normal 3 7 6" xfId="2328" xr:uid="{3097BAFB-99B7-4F49-8590-E7FF00C962D7}"/>
    <cellStyle name="Normal 3 7 6 2" xfId="7296" xr:uid="{B8251009-FEAE-488B-B1D4-440F4417BBC8}"/>
    <cellStyle name="Normal 3 7 7" xfId="3999" xr:uid="{97B10232-F752-4CA0-AFBB-1BADED5C76A5}"/>
    <cellStyle name="Normal 3 8" xfId="346" xr:uid="{7F2CDA15-0665-4963-8C21-E9CEF3231A0E}"/>
    <cellStyle name="Normal 3 8 2" xfId="1177" xr:uid="{6E95014C-39DD-4251-8696-5BDF827EB210}"/>
    <cellStyle name="Normal 3 8 2 2" xfId="3653" xr:uid="{7B18F32E-1D54-4A61-AAE9-F279171A6B71}"/>
    <cellStyle name="Normal 3 8 2 2 2" xfId="5532" xr:uid="{C1511574-4A01-4294-BE26-CA09F31ED23D}"/>
    <cellStyle name="Normal 3 8 2 3" xfId="2731" xr:uid="{DE2CE4AA-4028-41FE-87CC-1A1363C76549}"/>
    <cellStyle name="Normal 3 8 2 4" xfId="4402" xr:uid="{D945DE85-A840-4EF9-8538-D8FD2C3DA5C7}"/>
    <cellStyle name="Normal 3 8 3" xfId="1659" xr:uid="{EDE8ADF8-303C-4A86-BAA8-C66DCEAE914D}"/>
    <cellStyle name="Normal 3 8 3 2" xfId="3258" xr:uid="{3544A39F-D442-448E-9744-647B6A9352BB}"/>
    <cellStyle name="Normal 3 8 3 2 2" xfId="5903" xr:uid="{6E3E8119-4A40-48AE-8314-39B1AFFB0DED}"/>
    <cellStyle name="Normal 3 8 3 3" xfId="4716" xr:uid="{924D3B6D-4226-4C6A-B99C-DB058A525C72}"/>
    <cellStyle name="Normal 3 8 4" xfId="1961" xr:uid="{12691005-B520-47A2-9CA6-A203E083239B}"/>
    <cellStyle name="Normal 3 8 4 2" xfId="4902" xr:uid="{E1A26B0D-7FE0-49C8-B980-D91FD3B0F65B}"/>
    <cellStyle name="Normal 3 8 5" xfId="699" xr:uid="{48648FE8-5B82-4A90-A2C5-F5F2DEBEB551}"/>
    <cellStyle name="Normal 3 8 5 2" xfId="5184" xr:uid="{6D41E20F-A840-484D-87C9-25E6B8BE57F6}"/>
    <cellStyle name="Normal 3 8 6" xfId="2383" xr:uid="{58492A52-774C-48FA-BEB3-FF735349D43F}"/>
    <cellStyle name="Normal 3 8 6 2" xfId="7297" xr:uid="{7BA8444E-7470-4DED-9F6D-D1A6FC36AFAF}"/>
    <cellStyle name="Normal 3 8 7" xfId="4054" xr:uid="{A8D4AEC5-CB91-43F0-B508-745C0300776D}"/>
    <cellStyle name="Normal 3 9" xfId="446" xr:uid="{2B8317F3-CB97-40B6-9B75-C93463D30DA9}"/>
    <cellStyle name="Normal 3 9 2" xfId="1242" xr:uid="{BA5C37EA-A670-4934-A87D-E52696059016}"/>
    <cellStyle name="Normal 3 9 2 2" xfId="3716" xr:uid="{B9958801-A523-4E85-A7BB-9C01494C1FD7}"/>
    <cellStyle name="Normal 3 9 2 2 2" xfId="5587" xr:uid="{67C0BE35-7E5B-4590-8E68-A113AAB1DC0B}"/>
    <cellStyle name="Normal 3 9 2 3" xfId="2786" xr:uid="{E8035CB6-FA23-4277-91BE-7CEA37D2C218}"/>
    <cellStyle name="Normal 3 9 2 4" xfId="4457" xr:uid="{708B5AD7-5570-47F8-AB19-0B2603D184FB}"/>
    <cellStyle name="Normal 3 9 3" xfId="2061" xr:uid="{C9F70ED4-5D21-449E-A8B6-37CCED44E2F2}"/>
    <cellStyle name="Normal 3 9 3 2" xfId="3313" xr:uid="{C8100220-375E-4DF6-B5EE-CB60C14CE7B5}"/>
    <cellStyle name="Normal 3 9 3 3" xfId="4964" xr:uid="{73843A50-7872-44A4-BD3A-7DF1752E58E0}"/>
    <cellStyle name="Normal 3 9 4" xfId="763" xr:uid="{026CFC46-6A06-456D-82D8-F7330260596A}"/>
    <cellStyle name="Normal 3 9 4 2" xfId="5239" xr:uid="{8F6DAAF1-920E-4F1E-9F82-64F40571A9C7}"/>
    <cellStyle name="Normal 3 9 5" xfId="2438" xr:uid="{2EEA3CBA-FE99-491A-9FC4-1C10543FBFAA}"/>
    <cellStyle name="Normal 3 9 5 2" xfId="7298" xr:uid="{BDD9A7BF-A020-4E7A-8774-C549EBEE846E}"/>
    <cellStyle name="Normal 3 9 6" xfId="4109" xr:uid="{586C51FB-60BF-4302-A6D6-B4C90C54E28F}"/>
    <cellStyle name="Normal 30" xfId="7604" xr:uid="{21BA9AC5-15B5-458B-9825-A943432C9047}"/>
    <cellStyle name="Normal 31" xfId="7605" xr:uid="{40CE3989-73B9-4627-A7BF-2C4E49AD5C43}"/>
    <cellStyle name="Normal 32" xfId="7607" xr:uid="{86D0C211-F75F-4F06-BA80-850A8DE7E105}"/>
    <cellStyle name="Normal 4" xfId="16" xr:uid="{8CDB12AB-E4A2-4ECF-B47F-E5F99FC81A23}"/>
    <cellStyle name="Normal 4 2" xfId="17" xr:uid="{81B98CF5-946D-45AD-ADAC-0F6D818A0B89}"/>
    <cellStyle name="Normal 4 2 2" xfId="130" xr:uid="{3E9FA0A1-B478-410C-9DC6-E97F7F45FED2}"/>
    <cellStyle name="Normal 4 2 2 2" xfId="1460" xr:uid="{1CE4D6B9-6786-4629-BF69-4EC79BE23A8D}"/>
    <cellStyle name="Normal 4 2 2 2 2" xfId="7299" xr:uid="{1B116396-0099-4A01-8AFC-D6BCEFD1CD5A}"/>
    <cellStyle name="Normal 4 2 2 3" xfId="927" xr:uid="{29ED5B10-A969-4F5B-A3AF-F2948594369B}"/>
    <cellStyle name="Normal 4 3" xfId="131" xr:uid="{90D5A12E-1815-4F4C-B7D8-B13634298654}"/>
    <cellStyle name="Normal 4 3 2" xfId="948" xr:uid="{AF2851AF-CA3F-4B64-A932-22F89279F7E6}"/>
    <cellStyle name="Normal 4 3 2 2" xfId="7302" xr:uid="{D4880475-DC37-4527-8C62-9D2E77E6237E}"/>
    <cellStyle name="Normal 4 3 2 3" xfId="7301" xr:uid="{CBEA8884-6217-4201-9373-3681DD78707A}"/>
    <cellStyle name="Normal 4 3 3" xfId="7303" xr:uid="{E8EFAD46-69C6-460F-B9F7-81D3B2C41C24}"/>
    <cellStyle name="Normal 4 3 4" xfId="7300" xr:uid="{BAA04143-A712-49C0-B143-E77D550AC567}"/>
    <cellStyle name="Normal 4 4" xfId="885" xr:uid="{9B438357-E232-404D-858A-40A7C53EDCF7}"/>
    <cellStyle name="Normal 5" xfId="18" xr:uid="{9510AF2B-3F3A-440C-9328-1541CD30A48B}"/>
    <cellStyle name="Normal 5 2" xfId="133" xr:uid="{3999E3F4-F24E-4375-A249-8E9E29CE7D84}"/>
    <cellStyle name="Normal 5 2 2" xfId="928" xr:uid="{38963EF3-FDE8-4C80-ADBF-BCD20636D65B}"/>
    <cellStyle name="Normal 5 2 3" xfId="7305" xr:uid="{200A4762-D080-4A52-B2B2-DCC1F8AF1A9E}"/>
    <cellStyle name="Normal 5 2 4" xfId="7306" xr:uid="{F933C2BF-5150-4E9F-83FF-5E3DE0310D99}"/>
    <cellStyle name="Normal 5 2 5" xfId="7307" xr:uid="{FDB203B6-9B21-4BDB-AFAC-AEB7E09611D9}"/>
    <cellStyle name="Normal 5 2 6" xfId="7304" xr:uid="{97EF499F-9677-43EF-B14A-EC960B83896A}"/>
    <cellStyle name="Normal 5 3" xfId="134" xr:uid="{5980D7FE-13F0-4A7C-B5CA-602AB7C140D4}"/>
    <cellStyle name="Normal 5 3 2" xfId="7309" xr:uid="{C7E0E3CF-3BBD-443D-A4B2-245B60192CD3}"/>
    <cellStyle name="Normal 5 3 3" xfId="7308" xr:uid="{DC621636-8F1D-46F2-9220-FCF48B16E51D}"/>
    <cellStyle name="Normal 5 4" xfId="132" xr:uid="{8D772C20-2B85-4FE2-8BFB-1A0CBEA5DDA4}"/>
    <cellStyle name="Normal 5 4 2" xfId="7310" xr:uid="{FA015B9E-7969-44A2-89F9-709893EB670E}"/>
    <cellStyle name="Normal 5 5" xfId="7311" xr:uid="{40287420-2CDF-4A42-B0D8-DA717BE1E6E0}"/>
    <cellStyle name="Normal 6" xfId="19" xr:uid="{B3544A13-5A93-4B63-B6C9-BBCBD921C017}"/>
    <cellStyle name="Normal 6 10" xfId="2919" xr:uid="{F88D42A8-DDDF-4543-ABAC-EFD0F5C31685}"/>
    <cellStyle name="Normal 6 10 2" xfId="3865" xr:uid="{3F4FFA2D-3741-463D-9A65-84E15AA06772}"/>
    <cellStyle name="Normal 6 10 3" xfId="5965" xr:uid="{89DF2E6A-5980-43C1-BF39-11949918C6AD}"/>
    <cellStyle name="Normal 6 11" xfId="2921" xr:uid="{E6A17A1F-7CEE-4FF7-9037-9053736B570B}"/>
    <cellStyle name="Normal 6 11 2" xfId="3867" xr:uid="{99EC4311-19AA-4B04-A11C-983767EE77A2}"/>
    <cellStyle name="Normal 6 11 3" xfId="5967" xr:uid="{8DA8D9C2-62C2-4F33-93C6-B5083F6EA969}"/>
    <cellStyle name="Normal 6 12" xfId="2923" xr:uid="{76AA187E-1AB4-46A6-8B4B-3E371B4EDA4A}"/>
    <cellStyle name="Normal 6 12 2" xfId="3869" xr:uid="{79686707-258E-4076-AD0C-3C970CBFB11A}"/>
    <cellStyle name="Normal 6 12 3" xfId="5969" xr:uid="{CFEA416F-0E58-48F9-A072-DB296FD7CD13}"/>
    <cellStyle name="Normal 6 13" xfId="2925" xr:uid="{D9CF098B-63B2-4994-924B-C9D45DA9F71E}"/>
    <cellStyle name="Normal 6 13 2" xfId="3871" xr:uid="{C99C19F2-5952-445D-BEBD-D728B8E43757}"/>
    <cellStyle name="Normal 6 13 3" xfId="5971" xr:uid="{B1610525-8203-4B37-A53E-6A55ED90E565}"/>
    <cellStyle name="Normal 6 14" xfId="2927" xr:uid="{E3D14421-D467-4647-BC37-734060CAF31C}"/>
    <cellStyle name="Normal 6 14 2" xfId="3873" xr:uid="{D3BE6A0D-4B1B-42B0-8E7F-63867E4A9ACF}"/>
    <cellStyle name="Normal 6 14 3" xfId="5973" xr:uid="{ED943833-E5A0-4EE4-890D-861A5A2118E9}"/>
    <cellStyle name="Normal 6 15" xfId="2929" xr:uid="{181846C9-5251-4E30-8EC1-BB6363ED1B6E}"/>
    <cellStyle name="Normal 6 15 2" xfId="3875" xr:uid="{4ABD9FF7-93C2-475A-A5DC-B3D95E45879D}"/>
    <cellStyle name="Normal 6 15 3" xfId="5975" xr:uid="{0994F577-86F3-4F61-AFAA-57EE756E8710}"/>
    <cellStyle name="Normal 6 16" xfId="2902" xr:uid="{831EA698-F5B9-4031-B4D1-3E7E3EA5AE5B}"/>
    <cellStyle name="Normal 6 16 2" xfId="3848" xr:uid="{0E367843-D585-44C0-92ED-D56372063268}"/>
    <cellStyle name="Normal 6 16 3" xfId="5948" xr:uid="{9B408EFD-100A-4BB4-8A7A-3F6DBBBE8039}"/>
    <cellStyle name="Normal 6 2" xfId="136" xr:uid="{09B36372-9E9D-4BE8-A8C8-86C521AE0FA9}"/>
    <cellStyle name="Normal 6 2 2" xfId="929" xr:uid="{C3154D09-35F8-42BD-842B-778149B36B4B}"/>
    <cellStyle name="Normal 6 2 3" xfId="2903" xr:uid="{758CEC4C-9E23-4EF8-9ADE-6CF5610187D9}"/>
    <cellStyle name="Normal 6 2 3 2" xfId="3849" xr:uid="{D39CB12D-BDD3-4079-A57C-C01D71FAF871}"/>
    <cellStyle name="Normal 6 2 3 2 2" xfId="7313" xr:uid="{60427506-9C79-4D6D-B657-B74DBC6AE40B}"/>
    <cellStyle name="Normal 6 2 3 3" xfId="5949" xr:uid="{5A088502-2A36-4CEA-89B6-F57EB27C1C45}"/>
    <cellStyle name="Normal 6 2 4" xfId="7314" xr:uid="{5D6CC365-86E1-4370-AA96-C1BADD128C7B}"/>
    <cellStyle name="Normal 6 2 5" xfId="7315" xr:uid="{FA917B6F-7A55-407E-8220-9018F1E992C2}"/>
    <cellStyle name="Normal 6 2 6" xfId="7312" xr:uid="{19BEBB15-5376-44C9-A46F-940E84BFEF5B}"/>
    <cellStyle name="Normal 6 3" xfId="137" xr:uid="{3BA74261-1F3F-4C0E-95D9-39CF468FB5F5}"/>
    <cellStyle name="Normal 6 3 10" xfId="1461" xr:uid="{58D5F2CC-8F00-4C70-94FC-F79816E319B9}"/>
    <cellStyle name="Normal 6 3 10 2" xfId="3851" xr:uid="{0E47FC9B-2BDE-4411-BF87-8AF7E7DC4A35}"/>
    <cellStyle name="Normal 6 3 10 2 2" xfId="5735" xr:uid="{FDEE5105-44E3-4667-B27F-207F7DC986CB}"/>
    <cellStyle name="Normal 6 3 10 3" xfId="2905" xr:uid="{37683D19-B379-4A1C-880F-61BB57853605}"/>
    <cellStyle name="Normal 6 3 10 4" xfId="4596" xr:uid="{85504017-8235-4522-B829-EC55AEC06745}"/>
    <cellStyle name="Normal 6 3 11" xfId="1764" xr:uid="{04B89172-FBBD-44A6-B811-34212BAEEB93}"/>
    <cellStyle name="Normal 6 3 11 2" xfId="3091" xr:uid="{E6C9FAE7-B4F9-4FD8-9261-70E0B2528AC9}"/>
    <cellStyle name="Normal 6 3 11 3" xfId="4782" xr:uid="{4D7215A3-111E-43C4-8C90-54E0E956AEB5}"/>
    <cellStyle name="Normal 6 3 12" xfId="496" xr:uid="{BB733DE5-5A1E-4DBE-9874-8EAC3AA68276}"/>
    <cellStyle name="Normal 6 3 12 2" xfId="5014" xr:uid="{DEC3C6C6-5098-4898-9474-BD8528581CBE}"/>
    <cellStyle name="Normal 6 3 13" xfId="2165" xr:uid="{D52FEC56-118F-4FB8-B656-E6961B2422FA}"/>
    <cellStyle name="Normal 6 3 13 2" xfId="5951" xr:uid="{C9F1949A-E9B2-450D-A7EA-AB8FF0DB9FF6}"/>
    <cellStyle name="Normal 6 3 14" xfId="2213" xr:uid="{A8A80AB6-331A-4301-A9D6-BA05D8CA289D}"/>
    <cellStyle name="Normal 6 3 14 2" xfId="7316" xr:uid="{69792093-0A76-4AE6-BAEB-601B09A09F24}"/>
    <cellStyle name="Normal 6 3 15" xfId="3884" xr:uid="{C519A2F9-2777-48C7-B28A-0F6351206FBF}"/>
    <cellStyle name="Normal 6 3 2" xfId="138" xr:uid="{C6D48181-1119-4CF5-B755-8DFEA2F6C5F2}"/>
    <cellStyle name="Normal 6 3 2 10" xfId="1765" xr:uid="{E54AB0F6-FB34-4B7B-A5E2-9F434888E8DC}"/>
    <cellStyle name="Normal 6 3 2 10 2" xfId="4783" xr:uid="{A4FB1D72-3601-47C6-965C-F454644A4F7C}"/>
    <cellStyle name="Normal 6 3 2 11" xfId="510" xr:uid="{9C437841-1D1B-487B-97A5-33D37E23EDCF}"/>
    <cellStyle name="Normal 6 3 2 11 2" xfId="5026" xr:uid="{D96E2FC7-D5C0-442C-9B1E-AE920B065371}"/>
    <cellStyle name="Normal 6 3 2 12" xfId="2166" xr:uid="{8EC01B44-9D39-4311-A46B-1A323A6414F8}"/>
    <cellStyle name="Normal 6 3 2 12 2" xfId="7317" xr:uid="{6E0616C2-3439-4813-AC5F-60BE5ABDD0F9}"/>
    <cellStyle name="Normal 6 3 2 13" xfId="2225" xr:uid="{236CBA0B-ED33-4F5F-8EB8-C54746C05D88}"/>
    <cellStyle name="Normal 6 3 2 14" xfId="3896" xr:uid="{994D17CD-2B2A-4437-A9C6-B2DB1253F00C}"/>
    <cellStyle name="Normal 6 3 2 2" xfId="139" xr:uid="{B19CFAC6-BA15-4C4C-A7D3-84310880E275}"/>
    <cellStyle name="Normal 6 3 2 2 10" xfId="530" xr:uid="{024D3788-E1CC-45BE-8FAE-9C908697552D}"/>
    <cellStyle name="Normal 6 3 2 2 10 2" xfId="5042" xr:uid="{24BF7B46-B1CF-48FA-9FA6-5964D9BB68EF}"/>
    <cellStyle name="Normal 6 3 2 2 11" xfId="2167" xr:uid="{7FDA1CAB-ABAE-4A82-8A34-E1D0DF902BAD}"/>
    <cellStyle name="Normal 6 3 2 2 11 2" xfId="7318" xr:uid="{98FE8E8F-7155-46B4-88E7-0DC382656007}"/>
    <cellStyle name="Normal 6 3 2 2 12" xfId="2241" xr:uid="{393FA746-FCF7-418D-A0DC-6CC7B4906856}"/>
    <cellStyle name="Normal 6 3 2 2 13" xfId="3912" xr:uid="{37C6E7E5-2392-4348-8ECD-A615C1768B1F}"/>
    <cellStyle name="Normal 6 3 2 2 2" xfId="250" xr:uid="{BBDD8BAA-0216-4E73-A6B4-FCE7F31BF8FC}"/>
    <cellStyle name="Normal 6 3 2 2 2 2" xfId="1053" xr:uid="{60689ABC-FD8F-47A1-844A-09CDEACA4488}"/>
    <cellStyle name="Normal 6 3 2 2 2 2 2" xfId="3541" xr:uid="{B668D29C-245E-413E-8935-E91592945D70}"/>
    <cellStyle name="Normal 6 3 2 2 2 2 2 2" xfId="5426" xr:uid="{50912D44-290D-407C-8865-792C2FF70F41}"/>
    <cellStyle name="Normal 6 3 2 2 2 2 3" xfId="2625" xr:uid="{CC378D3C-AC9F-47C5-8E70-463C6E255959}"/>
    <cellStyle name="Normal 6 3 2 2 2 2 4" xfId="4296" xr:uid="{D5ECF882-F4BC-4FB0-BEE6-7D5DF88F68E1}"/>
    <cellStyle name="Normal 6 3 2 2 2 3" xfId="1564" xr:uid="{0E30D32F-8EFC-413B-AA89-5E9DE08AA4F7}"/>
    <cellStyle name="Normal 6 3 2 2 2 3 2" xfId="3131" xr:uid="{D482C3B7-372B-436B-BCEC-0004C787C427}"/>
    <cellStyle name="Normal 6 3 2 2 2 3 2 2" xfId="5830" xr:uid="{2B292E66-5229-4734-97B0-1E232D643009}"/>
    <cellStyle name="Normal 6 3 2 2 2 3 3" xfId="4659" xr:uid="{D1986387-F5E9-4104-AD66-3DF14C3CD380}"/>
    <cellStyle name="Normal 6 3 2 2 2 4" xfId="1866" xr:uid="{C9A51FF1-41CA-4B08-AE0D-B42C6DBD48E9}"/>
    <cellStyle name="Normal 6 3 2 2 2 4 2" xfId="4845" xr:uid="{CC0FA6F9-BAFB-4AAC-8D00-5B2F246E6861}"/>
    <cellStyle name="Normal 6 3 2 2 2 5" xfId="575" xr:uid="{3D0C5F21-A22E-4202-A671-8633EFF45789}"/>
    <cellStyle name="Normal 6 3 2 2 2 5 2" xfId="5078" xr:uid="{FBDCED27-42DF-4B2D-885A-603182C50965}"/>
    <cellStyle name="Normal 6 3 2 2 2 6" xfId="2277" xr:uid="{01E0540C-F828-4072-BB68-958B77CBC406}"/>
    <cellStyle name="Normal 6 3 2 2 2 6 2" xfId="7319" xr:uid="{D40EB18E-2BFA-4273-8F6B-2E5489F9760F}"/>
    <cellStyle name="Normal 6 3 2 2 2 7" xfId="3948" xr:uid="{7969C244-B587-48F4-9ABD-5FD060CE8184}"/>
    <cellStyle name="Normal 6 3 2 2 3" xfId="350" xr:uid="{223E30C2-354B-4550-9C56-01E1C697A8B7}"/>
    <cellStyle name="Normal 6 3 2 2 3 2" xfId="1117" xr:uid="{F6B82018-8A02-492B-A85A-4C24FDDC428A}"/>
    <cellStyle name="Normal 6 3 2 2 3 2 2" xfId="3596" xr:uid="{AEACD0BD-0C61-4E9F-B74D-A52F34D53BD7}"/>
    <cellStyle name="Normal 6 3 2 2 3 2 2 2" xfId="5481" xr:uid="{BD3403FC-4693-4BCB-AF51-F6E113D77A7A}"/>
    <cellStyle name="Normal 6 3 2 2 3 2 3" xfId="2680" xr:uid="{7B0A9949-8E10-4873-BB82-15F3E030C11D}"/>
    <cellStyle name="Normal 6 3 2 2 3 2 4" xfId="4351" xr:uid="{3B018AAA-1139-4B43-94A5-0A76A90CACF0}"/>
    <cellStyle name="Normal 6 3 2 2 3 3" xfId="1663" xr:uid="{2F1DB23E-8A79-4072-8561-4D925A2FBA27}"/>
    <cellStyle name="Normal 6 3 2 2 3 3 2" xfId="3207" xr:uid="{AB688704-EE1B-4FEA-A1D3-3806A4A787D2}"/>
    <cellStyle name="Normal 6 3 2 2 3 3 2 2" xfId="5907" xr:uid="{FE1B78C4-8D39-435F-8C89-6847A330648D}"/>
    <cellStyle name="Normal 6 3 2 2 3 3 3" xfId="4720" xr:uid="{ED639032-E816-42A8-9EE1-08FB5F8E546A}"/>
    <cellStyle name="Normal 6 3 2 2 3 4" xfId="1965" xr:uid="{9312D983-F6E5-4CA4-9A21-C35846B2F986}"/>
    <cellStyle name="Normal 6 3 2 2 3 4 2" xfId="4906" xr:uid="{41270474-1BBB-4B86-9818-3631E1FB4CE3}"/>
    <cellStyle name="Normal 6 3 2 2 3 5" xfId="639" xr:uid="{67480BD6-919C-4556-860E-8F7F7EBD9687}"/>
    <cellStyle name="Normal 6 3 2 2 3 5 2" xfId="5133" xr:uid="{6300D658-720F-4AEB-97D8-3E5AF418747F}"/>
    <cellStyle name="Normal 6 3 2 2 3 6" xfId="2332" xr:uid="{3D45E63D-439A-4B07-B3D1-CED589748F31}"/>
    <cellStyle name="Normal 6 3 2 2 3 6 2" xfId="7320" xr:uid="{F1159054-7233-4028-B78E-55083CC30942}"/>
    <cellStyle name="Normal 6 3 2 2 3 7" xfId="4003" xr:uid="{8631FA60-E9D0-4159-B662-20AF4D9BA933}"/>
    <cellStyle name="Normal 6 3 2 2 4" xfId="450" xr:uid="{570666BF-2A42-4A2F-871B-6C8851C0BA89}"/>
    <cellStyle name="Normal 6 3 2 2 4 2" xfId="1181" xr:uid="{C74AAAEF-468D-426D-8490-9DC0E11E5E3D}"/>
    <cellStyle name="Normal 6 3 2 2 4 2 2" xfId="3657" xr:uid="{19BCF8CA-47EC-469F-B958-89852A0EB546}"/>
    <cellStyle name="Normal 6 3 2 2 4 2 2 2" xfId="5536" xr:uid="{8AED51CE-A834-4658-87EA-FF8BC64DA465}"/>
    <cellStyle name="Normal 6 3 2 2 4 2 3" xfId="2735" xr:uid="{C9ABC29A-4A69-450D-802C-4919CB0B221B}"/>
    <cellStyle name="Normal 6 3 2 2 4 2 4" xfId="4406" xr:uid="{2A1B68D3-7293-4829-8CD1-D87AFA535F80}"/>
    <cellStyle name="Normal 6 3 2 2 4 3" xfId="2065" xr:uid="{82EA0A9A-B492-49E9-9160-C4EB15B70F73}"/>
    <cellStyle name="Normal 6 3 2 2 4 3 2" xfId="3262" xr:uid="{509665E1-558C-4D59-AE15-5B18A6F76BAB}"/>
    <cellStyle name="Normal 6 3 2 2 4 3 3" xfId="4968" xr:uid="{8111DBD5-0A7A-4E98-A2CC-2857E8721CD3}"/>
    <cellStyle name="Normal 6 3 2 2 4 4" xfId="703" xr:uid="{34129ABB-52CA-4040-8116-B6845957514F}"/>
    <cellStyle name="Normal 6 3 2 2 4 4 2" xfId="5188" xr:uid="{CA9E3F47-70AC-4BAF-9862-BA0E505F4AF9}"/>
    <cellStyle name="Normal 6 3 2 2 4 5" xfId="2387" xr:uid="{D8F58629-6632-4877-A495-223CA0B4CCF0}"/>
    <cellStyle name="Normal 6 3 2 2 4 5 2" xfId="7321" xr:uid="{6E86B45B-ED5A-435F-AA3D-C8BDAE80B5F8}"/>
    <cellStyle name="Normal 6 3 2 2 4 6" xfId="4058" xr:uid="{263FF9B4-8DE2-43DF-97FC-CA3447DBCE5D}"/>
    <cellStyle name="Normal 6 3 2 2 5" xfId="767" xr:uid="{25200306-D025-40BF-9A81-73CD6032CC8C}"/>
    <cellStyle name="Normal 6 3 2 2 5 2" xfId="1246" xr:uid="{60749174-D3CC-4B08-8866-A2C3335B4151}"/>
    <cellStyle name="Normal 6 3 2 2 5 2 2" xfId="3720" xr:uid="{7878B1DF-E75C-4E5C-8D6E-4DE80D808F39}"/>
    <cellStyle name="Normal 6 3 2 2 5 2 2 2" xfId="5591" xr:uid="{29023C17-C117-4D3A-BFE4-49677CB7B392}"/>
    <cellStyle name="Normal 6 3 2 2 5 2 3" xfId="2790" xr:uid="{E95BA30A-75B7-42F1-841F-6D55616373D2}"/>
    <cellStyle name="Normal 6 3 2 2 5 2 4" xfId="4461" xr:uid="{CE1B4E47-B941-4D14-9260-CA3926A5AA98}"/>
    <cellStyle name="Normal 6 3 2 2 5 3" xfId="3317" xr:uid="{555A7387-AD9C-45E6-8DE4-4F37576180E9}"/>
    <cellStyle name="Normal 6 3 2 2 5 3 2" xfId="5243" xr:uid="{977285C3-D8F6-4367-86D8-E7F49DC93DFF}"/>
    <cellStyle name="Normal 6 3 2 2 5 4" xfId="2442" xr:uid="{D3515CF9-CE33-45DE-8375-418C5D09EFF7}"/>
    <cellStyle name="Normal 6 3 2 2 5 4 2" xfId="7322" xr:uid="{468558CC-90F5-4430-A251-C59123840EC9}"/>
    <cellStyle name="Normal 6 3 2 2 5 5" xfId="4113" xr:uid="{ADC140FD-0977-4A0E-92A3-DC4AA468BB39}"/>
    <cellStyle name="Normal 6 3 2 2 6" xfId="831" xr:uid="{92EFBBC5-31C1-4DF0-95CC-C5F7A68D5ED2}"/>
    <cellStyle name="Normal 6 3 2 2 6 2" xfId="1310" xr:uid="{C055E99C-C15B-4475-A067-3267B81CEF1B}"/>
    <cellStyle name="Normal 6 3 2 2 6 2 2" xfId="3784" xr:uid="{418E5F08-C1E5-40B7-B25B-976706CB00B8}"/>
    <cellStyle name="Normal 6 3 2 2 6 2 2 2" xfId="5646" xr:uid="{77DB0065-9C4B-4334-9DF2-8A2FCBB55390}"/>
    <cellStyle name="Normal 6 3 2 2 6 2 3" xfId="2845" xr:uid="{8D4E4702-12BB-4047-91D9-0BD371D4C745}"/>
    <cellStyle name="Normal 6 3 2 2 6 2 4" xfId="4516" xr:uid="{FAE6F305-24F1-45AF-9CC7-F570D62F7D2D}"/>
    <cellStyle name="Normal 6 3 2 2 6 3" xfId="3372" xr:uid="{4A24F5F9-B5C3-4FDE-8471-F68C8ACEFABF}"/>
    <cellStyle name="Normal 6 3 2 2 6 3 2" xfId="5298" xr:uid="{B01F6658-E4E7-405A-92AB-DBF7127624D2}"/>
    <cellStyle name="Normal 6 3 2 2 6 4" xfId="2497" xr:uid="{9EE7F41C-1324-42E7-B99C-39705BE90266}"/>
    <cellStyle name="Normal 6 3 2 2 6 4 2" xfId="7323" xr:uid="{3B49FFE8-51AE-4BAC-B135-23DD834AE69D}"/>
    <cellStyle name="Normal 6 3 2 2 6 5" xfId="4168" xr:uid="{2C13C82E-8D54-40B0-8158-4D324B3D2352}"/>
    <cellStyle name="Normal 6 3 2 2 7" xfId="1008" xr:uid="{834DC0D0-8AD5-453F-8DED-BE6480859393}"/>
    <cellStyle name="Normal 6 3 2 2 7 2" xfId="3505" xr:uid="{4BF3453D-E918-4C5E-A5E4-7B1915F9123E}"/>
    <cellStyle name="Normal 6 3 2 2 7 2 2" xfId="5390" xr:uid="{52F8338D-6D7E-4EC1-A143-A6EA418282E6}"/>
    <cellStyle name="Normal 6 3 2 2 7 3" xfId="2589" xr:uid="{0FB0413B-C4FA-41D8-B6E0-A626AD995FD7}"/>
    <cellStyle name="Normal 6 3 2 2 7 4" xfId="4260" xr:uid="{3A6C7947-7B8F-4773-89F4-D67EF241322D}"/>
    <cellStyle name="Normal 6 3 2 2 8" xfId="1463" xr:uid="{A59F215F-B726-4368-9703-2A32D14AD1D3}"/>
    <cellStyle name="Normal 6 3 2 2 8 2" xfId="3093" xr:uid="{205FDC58-589B-4DAD-9327-0262876396D1}"/>
    <cellStyle name="Normal 6 3 2 2 8 2 2" xfId="5737" xr:uid="{DC419F1E-FC51-4FFB-9900-06591522CACA}"/>
    <cellStyle name="Normal 6 3 2 2 8 3" xfId="4598" xr:uid="{514DCD62-63BE-487A-9E4A-C6D3B0BC033E}"/>
    <cellStyle name="Normal 6 3 2 2 9" xfId="1766" xr:uid="{6A89F70C-923D-45BE-AFB8-2F2FF9FF24F7}"/>
    <cellStyle name="Normal 6 3 2 2 9 2" xfId="4784" xr:uid="{CF5965AE-9932-4882-935C-8D1DF2453D20}"/>
    <cellStyle name="Normal 6 3 2 3" xfId="249" xr:uid="{AF37F82B-F666-49DC-AF95-E395E08897B2}"/>
    <cellStyle name="Normal 6 3 2 3 2" xfId="1052" xr:uid="{E3923E9E-5422-4EB9-B17A-ED77EE20D5A9}"/>
    <cellStyle name="Normal 6 3 2 3 2 2" xfId="3540" xr:uid="{EE7CC553-FDE2-41F5-A68B-F791F816BBD3}"/>
    <cellStyle name="Normal 6 3 2 3 2 2 2" xfId="5425" xr:uid="{9A17F9B6-2524-4EEA-BA6E-FD9C4D3807ED}"/>
    <cellStyle name="Normal 6 3 2 3 2 3" xfId="2624" xr:uid="{0B1BC089-0661-4D82-A589-5C3867E1C2DC}"/>
    <cellStyle name="Normal 6 3 2 3 2 4" xfId="4295" xr:uid="{60C52EEA-A6C1-4CCD-AA95-4C595FB4FEC0}"/>
    <cellStyle name="Normal 6 3 2 3 3" xfId="1563" xr:uid="{892FCF7E-98C5-4160-80ED-93FF1A5C5C9C}"/>
    <cellStyle name="Normal 6 3 2 3 3 2" xfId="3148" xr:uid="{4E34CECA-9F5D-4EEC-84D8-211724530A20}"/>
    <cellStyle name="Normal 6 3 2 3 3 2 2" xfId="5829" xr:uid="{10C22C09-DF93-47B2-87AC-633845BD621C}"/>
    <cellStyle name="Normal 6 3 2 3 3 3" xfId="4658" xr:uid="{BB382D36-A089-4A55-9EE3-3437228F9869}"/>
    <cellStyle name="Normal 6 3 2 3 4" xfId="1865" xr:uid="{E8D107D4-A522-4FC1-A96E-0EABDCBD22B6}"/>
    <cellStyle name="Normal 6 3 2 3 4 2" xfId="4844" xr:uid="{236822D5-A569-43B0-9654-325087EE8569}"/>
    <cellStyle name="Normal 6 3 2 3 5" xfId="574" xr:uid="{DCFB4D9E-4850-417A-81C5-3EDB086A14F0}"/>
    <cellStyle name="Normal 6 3 2 3 5 2" xfId="5077" xr:uid="{ACD4ACC7-AFA4-41F4-B836-5B2B71DA4262}"/>
    <cellStyle name="Normal 6 3 2 3 6" xfId="2276" xr:uid="{4A3F0B7B-0F8A-4309-BAFE-720D8022D24B}"/>
    <cellStyle name="Normal 6 3 2 3 6 2" xfId="7324" xr:uid="{2BA90540-2429-4837-B007-E06527CA57FF}"/>
    <cellStyle name="Normal 6 3 2 3 7" xfId="3947" xr:uid="{6C68C04F-7C16-490C-868B-1562C65E5B7D}"/>
    <cellStyle name="Normal 6 3 2 4" xfId="349" xr:uid="{0617A521-9B4C-4F6B-A535-2174879C405C}"/>
    <cellStyle name="Normal 6 3 2 4 2" xfId="1116" xr:uid="{B6BAD7A3-0B34-4A32-A2D5-A665B14A6945}"/>
    <cellStyle name="Normal 6 3 2 4 2 2" xfId="3595" xr:uid="{AE9E4CB5-0637-4F6E-AE69-8C3A3C15DE44}"/>
    <cellStyle name="Normal 6 3 2 4 2 2 2" xfId="5480" xr:uid="{54E97CC5-C38A-4E7A-9A8F-2F567AE64C12}"/>
    <cellStyle name="Normal 6 3 2 4 2 3" xfId="2679" xr:uid="{01696610-D57E-4E40-AD2E-8D587B64D40E}"/>
    <cellStyle name="Normal 6 3 2 4 2 4" xfId="4350" xr:uid="{B5993C0B-78C7-4232-B02C-E2F6122B6E61}"/>
    <cellStyle name="Normal 6 3 2 4 3" xfId="1662" xr:uid="{086E5897-62E6-44B8-9FBA-878FB803DBF3}"/>
    <cellStyle name="Normal 6 3 2 4 3 2" xfId="3206" xr:uid="{B7132213-B43B-4D1D-BEDA-0D6DAEFD67ED}"/>
    <cellStyle name="Normal 6 3 2 4 3 2 2" xfId="5906" xr:uid="{353CAB68-CBD0-4706-AE63-753408AB2437}"/>
    <cellStyle name="Normal 6 3 2 4 3 3" xfId="4719" xr:uid="{905224DD-1132-45C9-9A7A-73C1A05A2F81}"/>
    <cellStyle name="Normal 6 3 2 4 4" xfId="1964" xr:uid="{AE15FAA9-B8D3-4449-AB36-E8F32D389253}"/>
    <cellStyle name="Normal 6 3 2 4 4 2" xfId="4905" xr:uid="{BF014B2F-18F3-42EA-AD39-6F613195D43B}"/>
    <cellStyle name="Normal 6 3 2 4 5" xfId="638" xr:uid="{856D277A-5311-4A44-A587-9DACCA4F6C8D}"/>
    <cellStyle name="Normal 6 3 2 4 5 2" xfId="5132" xr:uid="{A89254DA-5D07-42CD-8D70-A7AE15B3BC54}"/>
    <cellStyle name="Normal 6 3 2 4 6" xfId="2331" xr:uid="{C3078520-B14E-45BC-8F0A-B764CD1D1706}"/>
    <cellStyle name="Normal 6 3 2 4 6 2" xfId="7325" xr:uid="{DED9F071-19F3-40C9-9091-3AD15862626B}"/>
    <cellStyle name="Normal 6 3 2 4 7" xfId="4002" xr:uid="{34AC8147-F4AD-4B06-8844-C0DEBD050015}"/>
    <cellStyle name="Normal 6 3 2 5" xfId="449" xr:uid="{3846E261-EC33-4614-9096-6B6AA9971F67}"/>
    <cellStyle name="Normal 6 3 2 5 2" xfId="1180" xr:uid="{0103C63D-3AB3-47CD-89D9-9727EE728C48}"/>
    <cellStyle name="Normal 6 3 2 5 2 2" xfId="3656" xr:uid="{8A4CE0EB-FF2D-4C26-A5DF-82CC7E08A6A8}"/>
    <cellStyle name="Normal 6 3 2 5 2 2 2" xfId="5535" xr:uid="{AC73B7EE-92D2-4E60-9AC5-FC52A6912D02}"/>
    <cellStyle name="Normal 6 3 2 5 2 3" xfId="2734" xr:uid="{FBF4F54C-FEC0-4959-A338-D38658357AC4}"/>
    <cellStyle name="Normal 6 3 2 5 2 4" xfId="4405" xr:uid="{70D04485-7F97-4D36-ABA5-C1EAD1843562}"/>
    <cellStyle name="Normal 6 3 2 5 3" xfId="2064" xr:uid="{3B8D7F2E-150B-45F6-AA94-5CA4CCA1B69E}"/>
    <cellStyle name="Normal 6 3 2 5 3 2" xfId="3261" xr:uid="{55D1F178-5460-45B8-BC7E-5631937C97B9}"/>
    <cellStyle name="Normal 6 3 2 5 3 3" xfId="4967" xr:uid="{93B88D86-0EAD-4D46-B0DD-D11075F38E2E}"/>
    <cellStyle name="Normal 6 3 2 5 4" xfId="702" xr:uid="{2493D378-4923-481F-B83C-DD0D598FAC2F}"/>
    <cellStyle name="Normal 6 3 2 5 4 2" xfId="5187" xr:uid="{FF244564-2366-44C1-BC82-FEC82D7B4262}"/>
    <cellStyle name="Normal 6 3 2 5 5" xfId="2386" xr:uid="{B6BFFCF9-60E2-4412-8F66-AB5051692C71}"/>
    <cellStyle name="Normal 6 3 2 5 5 2" xfId="7326" xr:uid="{D4D95E8A-7DBF-4E4D-AAA9-118345F62B72}"/>
    <cellStyle name="Normal 6 3 2 5 6" xfId="4057" xr:uid="{ABA3ABF0-3D71-4E1D-B213-5EC7CE2218DA}"/>
    <cellStyle name="Normal 6 3 2 6" xfId="766" xr:uid="{472E71A7-B7D1-4607-8EB5-08B4DA543550}"/>
    <cellStyle name="Normal 6 3 2 6 2" xfId="1245" xr:uid="{D0152E50-2687-4579-A18D-A1255717BED7}"/>
    <cellStyle name="Normal 6 3 2 6 2 2" xfId="3719" xr:uid="{6B9557CD-AC35-4915-ACE1-91D8239BA584}"/>
    <cellStyle name="Normal 6 3 2 6 2 2 2" xfId="5590" xr:uid="{257D0F43-7A89-4712-94FF-711D1D911C93}"/>
    <cellStyle name="Normal 6 3 2 6 2 3" xfId="2789" xr:uid="{0F4BA463-6F6F-4704-ABC3-C8DFFDE4716E}"/>
    <cellStyle name="Normal 6 3 2 6 2 4" xfId="4460" xr:uid="{374DBABF-3290-4126-9214-AB2635228C5A}"/>
    <cellStyle name="Normal 6 3 2 6 3" xfId="3316" xr:uid="{64C23AEA-FC80-4DF6-881D-03679BC6FA4D}"/>
    <cellStyle name="Normal 6 3 2 6 3 2" xfId="5242" xr:uid="{7921CFBA-07DC-44BB-81EA-54085686D2A4}"/>
    <cellStyle name="Normal 6 3 2 6 4" xfId="2441" xr:uid="{065BB12D-E0DC-4C3F-867F-9067061ACF30}"/>
    <cellStyle name="Normal 6 3 2 6 4 2" xfId="7327" xr:uid="{B2222529-B782-47C8-825C-0D7172363E8F}"/>
    <cellStyle name="Normal 6 3 2 6 5" xfId="4112" xr:uid="{DFF83FCF-C9CE-4E6E-A836-9C3E5B30796E}"/>
    <cellStyle name="Normal 6 3 2 7" xfId="830" xr:uid="{C7A84062-0E00-41CC-B0B3-5E2D27608C68}"/>
    <cellStyle name="Normal 6 3 2 7 2" xfId="1309" xr:uid="{8745C39A-A350-48DC-8180-53E34F3BD566}"/>
    <cellStyle name="Normal 6 3 2 7 2 2" xfId="3783" xr:uid="{11886AFD-DE3C-4D8E-A020-CC65C9DD2A39}"/>
    <cellStyle name="Normal 6 3 2 7 2 2 2" xfId="5645" xr:uid="{EA2C05EC-89A3-4DDF-9236-9DDF67E3CD97}"/>
    <cellStyle name="Normal 6 3 2 7 2 3" xfId="2844" xr:uid="{DCBE453C-B203-49D9-A352-E7E0951BF74A}"/>
    <cellStyle name="Normal 6 3 2 7 2 4" xfId="4515" xr:uid="{BBAF71B8-C37A-410D-866A-C53018D6A34F}"/>
    <cellStyle name="Normal 6 3 2 7 3" xfId="3371" xr:uid="{02486A14-635D-4979-9DFC-DD118E092176}"/>
    <cellStyle name="Normal 6 3 2 7 3 2" xfId="5297" xr:uid="{D4F1E433-0449-430C-B93C-F0968E221929}"/>
    <cellStyle name="Normal 6 3 2 7 4" xfId="2496" xr:uid="{6725456B-A25B-46B3-9825-DEA39CDA5AAB}"/>
    <cellStyle name="Normal 6 3 2 7 4 2" xfId="7328" xr:uid="{6AB1336C-C0F5-4894-B9B6-AFE2310F80B1}"/>
    <cellStyle name="Normal 6 3 2 7 5" xfId="4167" xr:uid="{6C7F29E1-0645-40F5-84C7-0CC3CF2B6C4F}"/>
    <cellStyle name="Normal 6 3 2 8" xfId="988" xr:uid="{30FF1282-A216-470B-A4E8-740397A8CC99}"/>
    <cellStyle name="Normal 6 3 2 8 2" xfId="3485" xr:uid="{08BCAF48-5603-468A-8E1A-5EBE27250AFE}"/>
    <cellStyle name="Normal 6 3 2 8 2 2" xfId="5374" xr:uid="{C82E4DD9-B47D-449A-8F59-E4D463F87B11}"/>
    <cellStyle name="Normal 6 3 2 8 3" xfId="2573" xr:uid="{BB763B00-6FC5-4B47-AACC-857BFF28483E}"/>
    <cellStyle name="Normal 6 3 2 8 4" xfId="4244" xr:uid="{6BD9184C-2FA9-4660-9F3C-C13502FC9C45}"/>
    <cellStyle name="Normal 6 3 2 9" xfId="1462" xr:uid="{C95F0C31-163A-4F46-B951-6A8D1FE5BE27}"/>
    <cellStyle name="Normal 6 3 2 9 2" xfId="3092" xr:uid="{D8A8C77E-7A2D-483C-8874-7383377C33AE}"/>
    <cellStyle name="Normal 6 3 2 9 2 2" xfId="5736" xr:uid="{B20493D4-7C0E-4272-8693-AF1A312D26C4}"/>
    <cellStyle name="Normal 6 3 2 9 3" xfId="4597" xr:uid="{499EAE7C-80EC-40C2-88D2-CDC5F80A9D09}"/>
    <cellStyle name="Normal 6 3 3" xfId="140" xr:uid="{BEAE294B-23A3-4980-806A-6431D0E063DE}"/>
    <cellStyle name="Normal 6 3 3 10" xfId="529" xr:uid="{F9622C65-BE03-4B49-A7FB-FE5D1C6D85CC}"/>
    <cellStyle name="Normal 6 3 3 10 2" xfId="5041" xr:uid="{5DE81944-F071-4D30-A540-27864E258744}"/>
    <cellStyle name="Normal 6 3 3 11" xfId="2168" xr:uid="{01040AD9-9A9C-4F30-B237-80D37D0E2D42}"/>
    <cellStyle name="Normal 6 3 3 11 2" xfId="7329" xr:uid="{5A18F8FD-80D9-4955-A275-8AEA1FF61F18}"/>
    <cellStyle name="Normal 6 3 3 12" xfId="2240" xr:uid="{D57AE9D8-ECEE-453A-894F-F21007554B31}"/>
    <cellStyle name="Normal 6 3 3 13" xfId="3911" xr:uid="{85E1249B-7969-45E0-91E9-C67092E40F62}"/>
    <cellStyle name="Normal 6 3 3 2" xfId="251" xr:uid="{5D3EE6A3-5485-426E-84B1-CCCD12E7569D}"/>
    <cellStyle name="Normal 6 3 3 2 2" xfId="1054" xr:uid="{F527200A-4218-45AC-8DA7-6E98E4CA5EC5}"/>
    <cellStyle name="Normal 6 3 3 2 2 2" xfId="3542" xr:uid="{63FFF863-BAFB-42B0-9426-9095F74C34DE}"/>
    <cellStyle name="Normal 6 3 3 2 2 2 2" xfId="5427" xr:uid="{CC43C91C-1826-4876-A3F4-66C1B253B74F}"/>
    <cellStyle name="Normal 6 3 3 2 2 3" xfId="2626" xr:uid="{6591F391-4E12-49C7-8054-9549945103C2}"/>
    <cellStyle name="Normal 6 3 3 2 2 4" xfId="4297" xr:uid="{FE305B87-27FD-4D59-9B47-FDE9B9EDF7B2}"/>
    <cellStyle name="Normal 6 3 3 2 3" xfId="1565" xr:uid="{B712C409-7268-47DC-9562-A451452E2C2A}"/>
    <cellStyle name="Normal 6 3 3 2 3 2" xfId="3132" xr:uid="{146B2E77-5389-4C32-ADA7-E529AB527136}"/>
    <cellStyle name="Normal 6 3 3 2 3 2 2" xfId="5831" xr:uid="{3273D813-798C-4B78-872B-5D6847AD8831}"/>
    <cellStyle name="Normal 6 3 3 2 3 3" xfId="4660" xr:uid="{F6AA724F-776D-4340-8262-70ECD9F42240}"/>
    <cellStyle name="Normal 6 3 3 2 4" xfId="1867" xr:uid="{16E26754-8955-48EA-88BD-606D5DE8EEE8}"/>
    <cellStyle name="Normal 6 3 3 2 4 2" xfId="4846" xr:uid="{3E2A7EF1-9FC0-43C9-A619-BCF794A1E06F}"/>
    <cellStyle name="Normal 6 3 3 2 5" xfId="576" xr:uid="{F3F366C4-1DF4-4F2E-943E-DF4DC22EBA41}"/>
    <cellStyle name="Normal 6 3 3 2 5 2" xfId="5079" xr:uid="{7197CDD5-AD42-4893-8C45-A5248F2D2ED6}"/>
    <cellStyle name="Normal 6 3 3 2 6" xfId="2278" xr:uid="{E92C5F7E-7A04-4DE2-B186-6716FC8451C4}"/>
    <cellStyle name="Normal 6 3 3 2 6 2" xfId="7330" xr:uid="{117062EC-B999-423B-BB86-B47C13ECA4CC}"/>
    <cellStyle name="Normal 6 3 3 2 7" xfId="3949" xr:uid="{E3503028-1FCB-416C-A830-AAB30EE4F296}"/>
    <cellStyle name="Normal 6 3 3 3" xfId="351" xr:uid="{2ADE2552-168C-4227-9B17-159A516A1130}"/>
    <cellStyle name="Normal 6 3 3 3 2" xfId="1118" xr:uid="{9F477E61-AA23-44C0-9922-9B28DD8F8DD1}"/>
    <cellStyle name="Normal 6 3 3 3 2 2" xfId="3597" xr:uid="{9F0E1A93-0435-4B37-A5C4-9FED3E036FC8}"/>
    <cellStyle name="Normal 6 3 3 3 2 2 2" xfId="5482" xr:uid="{83697D4F-26BE-42C6-9959-801C53419608}"/>
    <cellStyle name="Normal 6 3 3 3 2 3" xfId="2681" xr:uid="{5CDD3304-3C88-4AC9-952E-78A2B1170F92}"/>
    <cellStyle name="Normal 6 3 3 3 2 4" xfId="4352" xr:uid="{855D9F3E-A54A-4B83-993B-84042595EADC}"/>
    <cellStyle name="Normal 6 3 3 3 3" xfId="1664" xr:uid="{87539071-FF00-4B5D-B739-DFA12E2E2825}"/>
    <cellStyle name="Normal 6 3 3 3 3 2" xfId="3208" xr:uid="{B65A309F-C42A-43AD-A49E-6E7CF60DFF02}"/>
    <cellStyle name="Normal 6 3 3 3 3 2 2" xfId="5908" xr:uid="{2B2BD6C1-945E-4C68-B17B-86F69022FC32}"/>
    <cellStyle name="Normal 6 3 3 3 3 3" xfId="4721" xr:uid="{F3959AB8-0EDA-407E-8418-65CEA2FB6B33}"/>
    <cellStyle name="Normal 6 3 3 3 4" xfId="1966" xr:uid="{CB1BC530-9FFB-40B3-8CBC-4AA37172E5CF}"/>
    <cellStyle name="Normal 6 3 3 3 4 2" xfId="4907" xr:uid="{5458128D-4CAB-4577-9573-4731979B995B}"/>
    <cellStyle name="Normal 6 3 3 3 5" xfId="640" xr:uid="{059BB1DA-185D-499B-9A72-D96CE2051353}"/>
    <cellStyle name="Normal 6 3 3 3 5 2" xfId="5134" xr:uid="{D00DF358-909B-4F5C-8BC1-E7F91A87EB6D}"/>
    <cellStyle name="Normal 6 3 3 3 6" xfId="2333" xr:uid="{AC8B34B8-07DE-4803-92CE-6F118283E143}"/>
    <cellStyle name="Normal 6 3 3 3 6 2" xfId="7331" xr:uid="{6CA19D58-C563-4693-8C99-3C5A8BA758E1}"/>
    <cellStyle name="Normal 6 3 3 3 7" xfId="4004" xr:uid="{CBCD7690-8E32-4E1A-83B6-6DFD27199F86}"/>
    <cellStyle name="Normal 6 3 3 4" xfId="451" xr:uid="{E2441323-1EF6-4E08-BEF8-C22244E08180}"/>
    <cellStyle name="Normal 6 3 3 4 2" xfId="1182" xr:uid="{FBDFE698-2038-4785-8050-A7081D606803}"/>
    <cellStyle name="Normal 6 3 3 4 2 2" xfId="3658" xr:uid="{F0A69DAB-CF2E-486E-8988-EBB758B68846}"/>
    <cellStyle name="Normal 6 3 3 4 2 2 2" xfId="5537" xr:uid="{3446A0DC-81F5-422B-A22F-E65DC5A3B69E}"/>
    <cellStyle name="Normal 6 3 3 4 2 3" xfId="2736" xr:uid="{AF5A6FBA-B1FB-4201-B2E9-6102624D1DA4}"/>
    <cellStyle name="Normal 6 3 3 4 2 4" xfId="4407" xr:uid="{FE79B92B-93E6-417E-B43F-4842A857E508}"/>
    <cellStyle name="Normal 6 3 3 4 3" xfId="2066" xr:uid="{A4BFAAA2-CA44-4AC1-BC5B-C1DE9609F11C}"/>
    <cellStyle name="Normal 6 3 3 4 3 2" xfId="3263" xr:uid="{B505A4BC-83CC-43C0-82CB-1216337ED08F}"/>
    <cellStyle name="Normal 6 3 3 4 3 3" xfId="4969" xr:uid="{97D41ABC-1E2D-4D92-B231-D73C330F0E6E}"/>
    <cellStyle name="Normal 6 3 3 4 4" xfId="704" xr:uid="{6E585F85-590D-4833-BD64-DE59C3B24C6C}"/>
    <cellStyle name="Normal 6 3 3 4 4 2" xfId="5189" xr:uid="{01412ADB-C0AE-47F0-BC1B-51B88005E0B7}"/>
    <cellStyle name="Normal 6 3 3 4 5" xfId="2388" xr:uid="{F71BD12A-85B7-48E6-86A1-B30B421F0CE2}"/>
    <cellStyle name="Normal 6 3 3 4 5 2" xfId="7332" xr:uid="{F3CA66AE-8C62-45B0-953E-3062E4E852FD}"/>
    <cellStyle name="Normal 6 3 3 4 6" xfId="4059" xr:uid="{448B0DBA-AD3D-4EE0-804B-028630C57F3E}"/>
    <cellStyle name="Normal 6 3 3 5" xfId="768" xr:uid="{2D08D18F-46C1-4850-96F2-64C4CAE9BE35}"/>
    <cellStyle name="Normal 6 3 3 5 2" xfId="1247" xr:uid="{4DCC00D7-558E-49CB-9140-5CF2E36DB7D2}"/>
    <cellStyle name="Normal 6 3 3 5 2 2" xfId="3721" xr:uid="{416D5BD0-5308-472C-BA67-3865E631F92C}"/>
    <cellStyle name="Normal 6 3 3 5 2 2 2" xfId="5592" xr:uid="{04F94C7B-C9A6-44E8-AE93-9758C18E0B56}"/>
    <cellStyle name="Normal 6 3 3 5 2 3" xfId="2791" xr:uid="{23A119CF-05EC-4135-B8DD-A5C3796DD93E}"/>
    <cellStyle name="Normal 6 3 3 5 2 4" xfId="4462" xr:uid="{06833864-6C95-4137-B862-45EBE6A816A6}"/>
    <cellStyle name="Normal 6 3 3 5 3" xfId="3318" xr:uid="{27E0D2A3-926E-4BD2-8DF3-CAD373855188}"/>
    <cellStyle name="Normal 6 3 3 5 3 2" xfId="5244" xr:uid="{FBD664DB-4F11-473E-8704-14674DFED412}"/>
    <cellStyle name="Normal 6 3 3 5 4" xfId="2443" xr:uid="{A3E141EF-AA3A-406C-A467-C12C75BF91A5}"/>
    <cellStyle name="Normal 6 3 3 5 4 2" xfId="7333" xr:uid="{A8A31FDF-F604-4050-8DDF-08456A1CD3C7}"/>
    <cellStyle name="Normal 6 3 3 5 5" xfId="4114" xr:uid="{58284CD8-26DE-4756-BF5C-1EEBFFC9957C}"/>
    <cellStyle name="Normal 6 3 3 6" xfId="832" xr:uid="{7441C603-8E50-47AD-8613-3EA9C7F2C484}"/>
    <cellStyle name="Normal 6 3 3 6 2" xfId="1311" xr:uid="{747F7FDB-FDAC-4096-ADA4-BABF5F69E2D1}"/>
    <cellStyle name="Normal 6 3 3 6 2 2" xfId="3785" xr:uid="{376B2A5F-7117-4544-9EC7-75DC6ED802BE}"/>
    <cellStyle name="Normal 6 3 3 6 2 2 2" xfId="5647" xr:uid="{219BC0B2-941C-4465-A259-FD25C3638C4C}"/>
    <cellStyle name="Normal 6 3 3 6 2 3" xfId="2846" xr:uid="{0D3783C3-4C3E-43DE-933E-52E8249EADAA}"/>
    <cellStyle name="Normal 6 3 3 6 2 4" xfId="4517" xr:uid="{C7E7D7E5-E08C-4D37-915A-94CBA8E272D3}"/>
    <cellStyle name="Normal 6 3 3 6 3" xfId="3373" xr:uid="{F0ABE0D9-E827-4B95-A26C-13124390DF08}"/>
    <cellStyle name="Normal 6 3 3 6 3 2" xfId="5299" xr:uid="{4A317D0B-CCE6-4E7B-8C4D-B0FD7F4FAEA6}"/>
    <cellStyle name="Normal 6 3 3 6 4" xfId="2498" xr:uid="{ED5B2EC6-22D2-43AE-AF8A-84E53DD8CC3D}"/>
    <cellStyle name="Normal 6 3 3 6 4 2" xfId="7334" xr:uid="{94A6B137-3495-4849-9818-7B76C5CE8288}"/>
    <cellStyle name="Normal 6 3 3 6 5" xfId="4169" xr:uid="{3BD32CA3-13E7-44A6-A05D-8B8D2EB425C8}"/>
    <cellStyle name="Normal 6 3 3 7" xfId="1007" xr:uid="{03EFD6F7-21DE-4E0F-A24F-9118046CF73B}"/>
    <cellStyle name="Normal 6 3 3 7 2" xfId="3504" xr:uid="{9AF7B60A-C38A-4D09-B801-8EEEEB46DE43}"/>
    <cellStyle name="Normal 6 3 3 7 2 2" xfId="5389" xr:uid="{A188136E-EDD9-4A6E-8E04-5A6AC3A36039}"/>
    <cellStyle name="Normal 6 3 3 7 3" xfId="2588" xr:uid="{0E06876F-C4D2-4C3A-A279-F2508168162C}"/>
    <cellStyle name="Normal 6 3 3 7 4" xfId="4259" xr:uid="{D897C24D-D5C0-456A-BC2D-1FEDCFF67B2B}"/>
    <cellStyle name="Normal 6 3 3 8" xfId="1464" xr:uid="{56EFFA17-FD82-492E-94DE-48E11DE9C7DE}"/>
    <cellStyle name="Normal 6 3 3 8 2" xfId="3094" xr:uid="{35CEBF3E-AB7A-49E9-A9F7-9A2BAA9D19E9}"/>
    <cellStyle name="Normal 6 3 3 8 2 2" xfId="5738" xr:uid="{19DE66C7-A83B-43F9-8CD3-E78B5A51F7A8}"/>
    <cellStyle name="Normal 6 3 3 8 3" xfId="4599" xr:uid="{C1FE0D0C-7971-48DE-83DA-C3DB42D19105}"/>
    <cellStyle name="Normal 6 3 3 9" xfId="1767" xr:uid="{3875AA11-4F92-4EAF-BAE0-419F1097FCA0}"/>
    <cellStyle name="Normal 6 3 3 9 2" xfId="4785" xr:uid="{BBA4B431-8C1E-42B4-864D-8740734D5621}"/>
    <cellStyle name="Normal 6 3 4" xfId="248" xr:uid="{947B045D-0BD9-44D3-8EF2-C39349BCCDF3}"/>
    <cellStyle name="Normal 6 3 4 2" xfId="1051" xr:uid="{388A14F2-5CD0-4C80-B6F8-71382F6AE6AA}"/>
    <cellStyle name="Normal 6 3 4 2 2" xfId="3539" xr:uid="{6A919C00-F38B-44C3-9041-41B4298A4D6C}"/>
    <cellStyle name="Normal 6 3 4 2 2 2" xfId="5424" xr:uid="{638B3AA8-606D-49C7-ABEE-661244374ECF}"/>
    <cellStyle name="Normal 6 3 4 2 3" xfId="2623" xr:uid="{DEC98534-4DD4-4CC1-9B8A-2F6FD64E0C5E}"/>
    <cellStyle name="Normal 6 3 4 2 4" xfId="4294" xr:uid="{FE7F57C6-108C-4F06-82B0-253764334072}"/>
    <cellStyle name="Normal 6 3 4 3" xfId="1562" xr:uid="{736E5F1C-2BBA-4DB9-B99F-74BBF09FAA56}"/>
    <cellStyle name="Normal 6 3 4 3 2" xfId="3152" xr:uid="{88C1BA9E-F2A2-44A8-9D00-4625BA562D79}"/>
    <cellStyle name="Normal 6 3 4 3 2 2" xfId="5828" xr:uid="{65DE38A0-E9E9-4DF4-8BF3-20E6C37F3A41}"/>
    <cellStyle name="Normal 6 3 4 3 3" xfId="4657" xr:uid="{FF25292E-9F1A-44BD-B8DA-FB17E0F11CAC}"/>
    <cellStyle name="Normal 6 3 4 4" xfId="1864" xr:uid="{12FD13FD-F6EA-40B1-834D-2545D9D25C0A}"/>
    <cellStyle name="Normal 6 3 4 4 2" xfId="4843" xr:uid="{7B50FB1D-A31A-448E-964F-54EBB445938C}"/>
    <cellStyle name="Normal 6 3 4 5" xfId="573" xr:uid="{D9C5C618-D26B-4742-9E16-402B3AC7BBB6}"/>
    <cellStyle name="Normal 6 3 4 5 2" xfId="5076" xr:uid="{A5D575CD-AC6C-464C-BFB5-68A2217881C5}"/>
    <cellStyle name="Normal 6 3 4 6" xfId="2275" xr:uid="{FD593AA3-6C92-412F-918B-618EB6690651}"/>
    <cellStyle name="Normal 6 3 4 6 2" xfId="7335" xr:uid="{23F50FB5-3C82-4055-AAA8-96DB86ADF06C}"/>
    <cellStyle name="Normal 6 3 4 7" xfId="3946" xr:uid="{8F1949E0-E0F8-42FF-AA0A-6024372DC250}"/>
    <cellStyle name="Normal 6 3 5" xfId="348" xr:uid="{CD43347D-3C34-491D-B904-21DD16FFFF36}"/>
    <cellStyle name="Normal 6 3 5 2" xfId="1115" xr:uid="{5AA60197-B57F-481B-8E01-75DBF08A0AAB}"/>
    <cellStyle name="Normal 6 3 5 2 2" xfId="3594" xr:uid="{F55C2946-3244-44F3-8E69-EEC00296A943}"/>
    <cellStyle name="Normal 6 3 5 2 2 2" xfId="5479" xr:uid="{64255662-8911-4DEA-9EAB-521A31F75BE9}"/>
    <cellStyle name="Normal 6 3 5 2 3" xfId="2678" xr:uid="{C7C75826-6179-4685-8A2A-00588D1D164A}"/>
    <cellStyle name="Normal 6 3 5 2 4" xfId="4349" xr:uid="{08D1F0FA-58C0-4D84-BBAF-BB3752AD2965}"/>
    <cellStyle name="Normal 6 3 5 3" xfId="1661" xr:uid="{B42CFB2C-C5F3-43B7-9801-2EE9E15A660E}"/>
    <cellStyle name="Normal 6 3 5 3 2" xfId="3205" xr:uid="{8C62AD2F-9AE5-4EF0-A564-C3008286C071}"/>
    <cellStyle name="Normal 6 3 5 3 2 2" xfId="5905" xr:uid="{BD73FCAF-53EC-4B6F-9CFD-2BD6F5ABCB48}"/>
    <cellStyle name="Normal 6 3 5 3 3" xfId="4718" xr:uid="{AAC30A60-BCFC-41A0-B401-4EA62B665697}"/>
    <cellStyle name="Normal 6 3 5 4" xfId="1963" xr:uid="{B4AE5BAB-FCF7-4363-93B6-BD6D9BE81BF4}"/>
    <cellStyle name="Normal 6 3 5 4 2" xfId="4904" xr:uid="{9AB37EEB-2A93-46C9-99FE-BF6D31222644}"/>
    <cellStyle name="Normal 6 3 5 5" xfId="637" xr:uid="{18809EF9-8CAD-463C-8A03-0D0B4A4AEF5C}"/>
    <cellStyle name="Normal 6 3 5 5 2" xfId="5131" xr:uid="{D3970D75-4543-435A-9AC3-EA90CE7F0C97}"/>
    <cellStyle name="Normal 6 3 5 6" xfId="2330" xr:uid="{A9A72F8D-DC04-4695-A379-ED418726F551}"/>
    <cellStyle name="Normal 6 3 5 6 2" xfId="7336" xr:uid="{8C551B5B-5269-4D3E-9388-2C65568E6E65}"/>
    <cellStyle name="Normal 6 3 5 7" xfId="4001" xr:uid="{284EC08D-F15A-4C81-8DCF-4326A49BA4C6}"/>
    <cellStyle name="Normal 6 3 6" xfId="448" xr:uid="{11A9D4E4-C020-403D-A7FB-38C3330778C0}"/>
    <cellStyle name="Normal 6 3 6 2" xfId="1179" xr:uid="{269E31F3-3DE0-4317-9AD3-8A2A2D35877F}"/>
    <cellStyle name="Normal 6 3 6 2 2" xfId="3655" xr:uid="{47E3761E-9767-4A5C-89AE-AC5F55BD5800}"/>
    <cellStyle name="Normal 6 3 6 2 2 2" xfId="5534" xr:uid="{CC61761B-EBCF-4FCE-B351-13B48DBE8A6A}"/>
    <cellStyle name="Normal 6 3 6 2 3" xfId="2733" xr:uid="{9178803A-1FA7-4FE9-8BC3-A8B31A118CFA}"/>
    <cellStyle name="Normal 6 3 6 2 4" xfId="4404" xr:uid="{1F05D896-E8FA-4C64-B6D6-9880278A8FFD}"/>
    <cellStyle name="Normal 6 3 6 3" xfId="2063" xr:uid="{A31A5C3D-6824-45E4-A497-4FB43D0DE39F}"/>
    <cellStyle name="Normal 6 3 6 3 2" xfId="3260" xr:uid="{6F15796A-1EC6-4537-A5F7-2DEE44B0EBD4}"/>
    <cellStyle name="Normal 6 3 6 3 3" xfId="4966" xr:uid="{702FD838-8D2D-408C-9F05-F010ECCECC52}"/>
    <cellStyle name="Normal 6 3 6 4" xfId="701" xr:uid="{A567A09D-9182-48D9-B969-D0A97E078BFA}"/>
    <cellStyle name="Normal 6 3 6 4 2" xfId="5186" xr:uid="{147A7431-1231-41F3-9A9B-F7FBB8993A5E}"/>
    <cellStyle name="Normal 6 3 6 5" xfId="2385" xr:uid="{614E0672-2FD7-4E60-95CC-66F0719AA11A}"/>
    <cellStyle name="Normal 6 3 6 5 2" xfId="7337" xr:uid="{590FC620-FBAF-4856-82ED-44E2272C9C0D}"/>
    <cellStyle name="Normal 6 3 6 6" xfId="4056" xr:uid="{9632673F-EAEF-4247-859D-07EB1ECC5C0C}"/>
    <cellStyle name="Normal 6 3 7" xfId="765" xr:uid="{58F22A5B-2655-48D0-B41C-9C0CEFC6456C}"/>
    <cellStyle name="Normal 6 3 7 2" xfId="1244" xr:uid="{E3607619-1065-4950-BC4E-ED8228EE24DA}"/>
    <cellStyle name="Normal 6 3 7 2 2" xfId="3718" xr:uid="{5E2374F0-560A-4011-970C-4629D0A54B46}"/>
    <cellStyle name="Normal 6 3 7 2 2 2" xfId="5589" xr:uid="{1BC234D4-A00A-4F44-BC10-0258FFD7E67E}"/>
    <cellStyle name="Normal 6 3 7 2 3" xfId="2788" xr:uid="{D06AF53C-E351-4331-AB80-FE110EFF1741}"/>
    <cellStyle name="Normal 6 3 7 2 4" xfId="4459" xr:uid="{2F500E5A-72BC-4696-8599-129DEA0693C9}"/>
    <cellStyle name="Normal 6 3 7 3" xfId="3315" xr:uid="{A58E09DF-1254-44EB-B601-B5B663F5EE94}"/>
    <cellStyle name="Normal 6 3 7 3 2" xfId="5241" xr:uid="{B39619E6-6DAB-4A01-BEE2-4AD3A3FEF041}"/>
    <cellStyle name="Normal 6 3 7 4" xfId="2440" xr:uid="{8FE98F6A-6842-4BFC-926A-A1833F3B5358}"/>
    <cellStyle name="Normal 6 3 7 4 2" xfId="7338" xr:uid="{B82D4564-1541-45AA-9263-D98721C9D919}"/>
    <cellStyle name="Normal 6 3 7 5" xfId="4111" xr:uid="{63A9723F-7665-4803-80BD-287BF28A62D2}"/>
    <cellStyle name="Normal 6 3 8" xfId="829" xr:uid="{A13E5DE7-2F27-48FE-B4AE-45F04EFDE724}"/>
    <cellStyle name="Normal 6 3 8 2" xfId="1308" xr:uid="{B1F74DCB-9E99-44DC-A6DC-686EC2CB513B}"/>
    <cellStyle name="Normal 6 3 8 2 2" xfId="3782" xr:uid="{6CE4A23C-E9CA-40D2-AA2A-CC41CA5F91C9}"/>
    <cellStyle name="Normal 6 3 8 2 2 2" xfId="5644" xr:uid="{45C4B5E2-1A83-4C69-8544-8D3D1B21EEA5}"/>
    <cellStyle name="Normal 6 3 8 2 3" xfId="2843" xr:uid="{9BF3DF5A-38B4-4387-85EC-BE1D37A289EC}"/>
    <cellStyle name="Normal 6 3 8 2 4" xfId="4514" xr:uid="{1C2108E9-2AFA-414E-8DFF-904973C86C47}"/>
    <cellStyle name="Normal 6 3 8 3" xfId="3370" xr:uid="{3118F836-26DF-4941-8E24-0591DB97244E}"/>
    <cellStyle name="Normal 6 3 8 3 2" xfId="5296" xr:uid="{322F33A1-669A-474B-9410-99210835A7EF}"/>
    <cellStyle name="Normal 6 3 8 4" xfId="2495" xr:uid="{E65CFD42-0C86-4A23-A268-B7B6D1BCB715}"/>
    <cellStyle name="Normal 6 3 8 4 2" xfId="7339" xr:uid="{692104DE-3D13-4378-99EB-9A12B642D68F}"/>
    <cellStyle name="Normal 6 3 8 5" xfId="4166" xr:uid="{13117F2D-B45A-4187-A757-BE37E7A8668C}"/>
    <cellStyle name="Normal 6 3 9" xfId="973" xr:uid="{F53FF30B-ECD5-4E78-9B6E-5CCE180B01DE}"/>
    <cellStyle name="Normal 6 3 9 2" xfId="3470" xr:uid="{AF39C9DA-9BB0-4F56-97BE-F7A37F942211}"/>
    <cellStyle name="Normal 6 3 9 2 2" xfId="5362" xr:uid="{4E093563-85E6-4411-94F7-3CEF2B11A1C3}"/>
    <cellStyle name="Normal 6 3 9 3" xfId="2561" xr:uid="{29D8D75C-26C6-425E-8EAB-9E1B9CC4DF96}"/>
    <cellStyle name="Normal 6 3 9 4" xfId="4232" xr:uid="{D3AC598E-24E4-4740-A886-7A80E52AFD03}"/>
    <cellStyle name="Normal 6 4" xfId="141" xr:uid="{5881EB26-4728-4489-96E9-2DE5822D607A}"/>
    <cellStyle name="Normal 6 4 10" xfId="1465" xr:uid="{3031CF9F-E919-4985-9E7E-7734D1A164E4}"/>
    <cellStyle name="Normal 6 4 10 2" xfId="3853" xr:uid="{041E5B2F-C020-4047-A259-40D25EE28AD2}"/>
    <cellStyle name="Normal 6 4 10 2 2" xfId="5739" xr:uid="{C26C711C-6543-4A4B-8C41-ACD65DD31A55}"/>
    <cellStyle name="Normal 6 4 10 3" xfId="2907" xr:uid="{8CB5585C-D655-48B8-B154-D2E39B163286}"/>
    <cellStyle name="Normal 6 4 10 4" xfId="4600" xr:uid="{9228C629-A155-495B-8AB0-9ADBDD176FBB}"/>
    <cellStyle name="Normal 6 4 11" xfId="1768" xr:uid="{96BE8DD4-9CF2-4980-B15B-177F82623975}"/>
    <cellStyle name="Normal 6 4 11 2" xfId="3095" xr:uid="{AA714CE7-4954-48D3-8DCE-B7A7FBA9F2D6}"/>
    <cellStyle name="Normal 6 4 11 3" xfId="4786" xr:uid="{9809F735-63B2-42B8-989C-1C6F71ECC856}"/>
    <cellStyle name="Normal 6 4 12" xfId="497" xr:uid="{4113AD6C-A21A-4D7F-A53D-2C6F2E11338D}"/>
    <cellStyle name="Normal 6 4 12 2" xfId="5015" xr:uid="{E797FDD6-22E8-425E-8D6B-8216FEC3A7FC}"/>
    <cellStyle name="Normal 6 4 13" xfId="2169" xr:uid="{FC0DB2D6-5338-4FE5-BE99-AD1DD122CB6A}"/>
    <cellStyle name="Normal 6 4 13 2" xfId="5953" xr:uid="{932A15BF-FC6E-40E3-A4C3-31EA85667439}"/>
    <cellStyle name="Normal 6 4 14" xfId="2214" xr:uid="{F44711C0-934E-4C9C-95C0-3BE7543AFA2C}"/>
    <cellStyle name="Normal 6 4 14 2" xfId="7340" xr:uid="{5BF46D28-62C7-4BEE-8212-B9D4A8498CFE}"/>
    <cellStyle name="Normal 6 4 15" xfId="3885" xr:uid="{E2D4BBF4-9750-4B47-87C4-C34E23E58755}"/>
    <cellStyle name="Normal 6 4 2" xfId="142" xr:uid="{EAA0BBD3-D5C2-4F96-946C-287E0FE5105E}"/>
    <cellStyle name="Normal 6 4 2 10" xfId="1769" xr:uid="{1A319B9C-1FA6-4557-8D27-6561BE6293F4}"/>
    <cellStyle name="Normal 6 4 2 10 2" xfId="4787" xr:uid="{CA3A95D6-7CF1-42EF-9AF1-78A85440F005}"/>
    <cellStyle name="Normal 6 4 2 11" xfId="511" xr:uid="{ABAD0041-0EEF-4703-A4F0-C10F3C8B7751}"/>
    <cellStyle name="Normal 6 4 2 11 2" xfId="5027" xr:uid="{CD65546E-BA21-4356-9ECF-F1BF7313B240}"/>
    <cellStyle name="Normal 6 4 2 12" xfId="2170" xr:uid="{996834A1-626A-4896-A050-F3CA7F11EB33}"/>
    <cellStyle name="Normal 6 4 2 12 2" xfId="7341" xr:uid="{08C8A684-47E3-4411-B4D4-2F7359CDF6DC}"/>
    <cellStyle name="Normal 6 4 2 13" xfId="2226" xr:uid="{1A45BE7E-D81A-494B-B21D-34707A673B8F}"/>
    <cellStyle name="Normal 6 4 2 14" xfId="3897" xr:uid="{1AB20E18-ECCE-4DB5-AAA8-52EBB7311FD8}"/>
    <cellStyle name="Normal 6 4 2 2" xfId="143" xr:uid="{113A1E37-5942-4537-9D50-C6E9FF11CD69}"/>
    <cellStyle name="Normal 6 4 2 2 10" xfId="532" xr:uid="{EF686B74-18AE-4CF5-82DC-6686AB809936}"/>
    <cellStyle name="Normal 6 4 2 2 10 2" xfId="5044" xr:uid="{515710E1-1A5B-4836-BC8A-ED4E611165BB}"/>
    <cellStyle name="Normal 6 4 2 2 11" xfId="2171" xr:uid="{540E3567-B780-4441-BCF1-BE19F305801A}"/>
    <cellStyle name="Normal 6 4 2 2 11 2" xfId="7342" xr:uid="{D25B2AAD-925E-41DD-9A4D-F1CB0870D36F}"/>
    <cellStyle name="Normal 6 4 2 2 12" xfId="2243" xr:uid="{ECA27154-1DF4-476C-BAE7-A5967C489C85}"/>
    <cellStyle name="Normal 6 4 2 2 13" xfId="3914" xr:uid="{D6A8DBD2-85F0-44D2-B93C-961DB6BBC84C}"/>
    <cellStyle name="Normal 6 4 2 2 2" xfId="254" xr:uid="{E0BB1BE2-44F1-4018-A268-F1360DAF6057}"/>
    <cellStyle name="Normal 6 4 2 2 2 2" xfId="1057" xr:uid="{09F6C540-48A7-4477-9003-40C7DDBEC293}"/>
    <cellStyle name="Normal 6 4 2 2 2 2 2" xfId="3545" xr:uid="{0ADC5F2E-A770-4D1A-8F1F-7F1791DBD820}"/>
    <cellStyle name="Normal 6 4 2 2 2 2 2 2" xfId="5430" xr:uid="{93CF1221-B6A8-4236-BDB2-704A3E4F4E5A}"/>
    <cellStyle name="Normal 6 4 2 2 2 2 3" xfId="2629" xr:uid="{D2F132C3-44E3-47AA-BDED-C27F328A77BF}"/>
    <cellStyle name="Normal 6 4 2 2 2 2 4" xfId="4300" xr:uid="{05C3522A-238F-48B4-8ACF-BC396A24A340}"/>
    <cellStyle name="Normal 6 4 2 2 2 3" xfId="1568" xr:uid="{B38AE8F3-3951-4634-8F41-8087F33623DA}"/>
    <cellStyle name="Normal 6 4 2 2 2 3 2" xfId="3133" xr:uid="{9149C873-FD0C-4E33-A523-A91528B8E37F}"/>
    <cellStyle name="Normal 6 4 2 2 2 3 2 2" xfId="5834" xr:uid="{1782902F-4CD3-49BD-9AC0-3FE593FAF7BD}"/>
    <cellStyle name="Normal 6 4 2 2 2 3 3" xfId="4663" xr:uid="{DE4664C5-2B66-41C7-AA50-4331BA0840BF}"/>
    <cellStyle name="Normal 6 4 2 2 2 4" xfId="1870" xr:uid="{B49B04B2-AB21-4852-B549-C1C0DDA552CE}"/>
    <cellStyle name="Normal 6 4 2 2 2 4 2" xfId="4849" xr:uid="{C3BE2937-01EE-4767-9A40-17B37E1EDACE}"/>
    <cellStyle name="Normal 6 4 2 2 2 5" xfId="579" xr:uid="{1E85C136-CA30-4036-9CDA-B61147C15FB9}"/>
    <cellStyle name="Normal 6 4 2 2 2 5 2" xfId="5082" xr:uid="{65B9C5F8-B318-46DB-A8C1-FAE27C11337B}"/>
    <cellStyle name="Normal 6 4 2 2 2 6" xfId="2281" xr:uid="{AB8F837B-9947-4FC5-A330-FC05AB72DC1E}"/>
    <cellStyle name="Normal 6 4 2 2 2 6 2" xfId="7343" xr:uid="{15483433-5F52-440E-8E28-0C07A975D087}"/>
    <cellStyle name="Normal 6 4 2 2 2 7" xfId="3952" xr:uid="{62511DAD-D92E-48F6-834E-ADBC332E258E}"/>
    <cellStyle name="Normal 6 4 2 2 3" xfId="354" xr:uid="{0DF170F8-7CDB-45F1-9643-56987AC27A01}"/>
    <cellStyle name="Normal 6 4 2 2 3 2" xfId="1121" xr:uid="{A7B36728-92BE-4BE8-972D-0ABC30265D99}"/>
    <cellStyle name="Normal 6 4 2 2 3 2 2" xfId="3600" xr:uid="{A92339C1-2898-419C-AFE6-EC867DB8EDDD}"/>
    <cellStyle name="Normal 6 4 2 2 3 2 2 2" xfId="5485" xr:uid="{6A277534-30D7-49CE-8A0F-8FCB1B736D02}"/>
    <cellStyle name="Normal 6 4 2 2 3 2 3" xfId="2684" xr:uid="{09B65355-D71A-40A9-AF5D-F0B08F17FBD9}"/>
    <cellStyle name="Normal 6 4 2 2 3 2 4" xfId="4355" xr:uid="{924F6018-4357-4F32-A518-2E8252F3E96A}"/>
    <cellStyle name="Normal 6 4 2 2 3 3" xfId="1667" xr:uid="{0290FBC3-AE38-4B2B-B8A6-F7F886EDD43A}"/>
    <cellStyle name="Normal 6 4 2 2 3 3 2" xfId="3211" xr:uid="{FD1B773B-D651-4B04-AB30-B4EDB4364A71}"/>
    <cellStyle name="Normal 6 4 2 2 3 3 2 2" xfId="5911" xr:uid="{EC3E7C7F-1832-4842-BED6-C85E4B35630B}"/>
    <cellStyle name="Normal 6 4 2 2 3 3 3" xfId="4724" xr:uid="{FC559A10-6E13-48BF-A7B3-4A30E14147DF}"/>
    <cellStyle name="Normal 6 4 2 2 3 4" xfId="1969" xr:uid="{91646251-EDB2-427D-9359-2936CA859D61}"/>
    <cellStyle name="Normal 6 4 2 2 3 4 2" xfId="4910" xr:uid="{B88B17D2-E6B0-4719-9C24-B09BC84C3200}"/>
    <cellStyle name="Normal 6 4 2 2 3 5" xfId="643" xr:uid="{CFFAC187-DB12-4062-8533-A6D34D27945C}"/>
    <cellStyle name="Normal 6 4 2 2 3 5 2" xfId="5137" xr:uid="{7CDADB8B-D3C8-43C3-B563-10F538B20F19}"/>
    <cellStyle name="Normal 6 4 2 2 3 6" xfId="2336" xr:uid="{21C5D938-4828-45D1-9D93-836A33439B92}"/>
    <cellStyle name="Normal 6 4 2 2 3 6 2" xfId="7344" xr:uid="{56F29BDA-CF1B-4FB7-B203-DE1677FBE682}"/>
    <cellStyle name="Normal 6 4 2 2 3 7" xfId="4007" xr:uid="{3459357E-7AF9-4DE8-8503-AC2FB66AA114}"/>
    <cellStyle name="Normal 6 4 2 2 4" xfId="454" xr:uid="{B3CFFA9C-9D29-4FA1-BEC2-692836CFE2D4}"/>
    <cellStyle name="Normal 6 4 2 2 4 2" xfId="1185" xr:uid="{FD7A65F9-4F97-4A38-A236-BDDE48848F27}"/>
    <cellStyle name="Normal 6 4 2 2 4 2 2" xfId="3661" xr:uid="{91D7AA29-00D1-40EA-9273-08D329067A91}"/>
    <cellStyle name="Normal 6 4 2 2 4 2 2 2" xfId="5540" xr:uid="{ED381C27-8080-4BC9-92FA-A1917E8E36FE}"/>
    <cellStyle name="Normal 6 4 2 2 4 2 3" xfId="2739" xr:uid="{50D39B0F-10F1-44A1-AFE0-80040F143DE1}"/>
    <cellStyle name="Normal 6 4 2 2 4 2 4" xfId="4410" xr:uid="{8994400D-8EC9-4B62-8028-D7D6CA95124C}"/>
    <cellStyle name="Normal 6 4 2 2 4 3" xfId="2069" xr:uid="{7C0EF14C-EE17-401C-B12C-D7FDCFD30553}"/>
    <cellStyle name="Normal 6 4 2 2 4 3 2" xfId="3266" xr:uid="{9876E7BE-882E-4A30-BDE2-60FF4184A790}"/>
    <cellStyle name="Normal 6 4 2 2 4 3 3" xfId="4972" xr:uid="{C7C97CD5-C013-490C-AAE0-501F2A42B3D2}"/>
    <cellStyle name="Normal 6 4 2 2 4 4" xfId="707" xr:uid="{8DF643B4-1721-44FA-BF7B-DAFBD04F2B29}"/>
    <cellStyle name="Normal 6 4 2 2 4 4 2" xfId="5192" xr:uid="{00FC4F6B-C903-455D-B1ED-7DD011CEDF8E}"/>
    <cellStyle name="Normal 6 4 2 2 4 5" xfId="2391" xr:uid="{23459424-5213-4258-9731-495EF14671CD}"/>
    <cellStyle name="Normal 6 4 2 2 4 5 2" xfId="7345" xr:uid="{D3C20420-63BA-4B30-A6AA-9621266C8D89}"/>
    <cellStyle name="Normal 6 4 2 2 4 6" xfId="4062" xr:uid="{BD43CDA8-432C-4E17-B4B7-7F732591EDBD}"/>
    <cellStyle name="Normal 6 4 2 2 5" xfId="771" xr:uid="{D54AD56C-BE87-4271-956D-1D5E96BA2E3F}"/>
    <cellStyle name="Normal 6 4 2 2 5 2" xfId="1250" xr:uid="{64FC9C87-FA73-420B-BE11-70C587E0E481}"/>
    <cellStyle name="Normal 6 4 2 2 5 2 2" xfId="3724" xr:uid="{20AEA387-745B-446B-8165-C85A32308A9E}"/>
    <cellStyle name="Normal 6 4 2 2 5 2 2 2" xfId="5595" xr:uid="{C95FD500-DD21-4E59-853A-F1FDEE303681}"/>
    <cellStyle name="Normal 6 4 2 2 5 2 3" xfId="2794" xr:uid="{517855A7-6320-4794-A09A-DC2E637A8290}"/>
    <cellStyle name="Normal 6 4 2 2 5 2 4" xfId="4465" xr:uid="{F0DD10CD-F913-4385-ADF9-D77B194A546A}"/>
    <cellStyle name="Normal 6 4 2 2 5 3" xfId="3321" xr:uid="{0DE4A084-E7EC-4DF3-AFEB-E1DC5B906618}"/>
    <cellStyle name="Normal 6 4 2 2 5 3 2" xfId="5247" xr:uid="{DAAB19EA-7E72-424A-A69B-FD920ADB2F5C}"/>
    <cellStyle name="Normal 6 4 2 2 5 4" xfId="2446" xr:uid="{610229E1-CEE6-4B3D-98C5-A7CC739EC42A}"/>
    <cellStyle name="Normal 6 4 2 2 5 4 2" xfId="7346" xr:uid="{03D100D8-1571-4874-BE9B-C3FF40765A1A}"/>
    <cellStyle name="Normal 6 4 2 2 5 5" xfId="4117" xr:uid="{810E2E43-5964-4A1B-9301-D5F9204BF1DD}"/>
    <cellStyle name="Normal 6 4 2 2 6" xfId="835" xr:uid="{4F6620D9-DC06-4AD1-8401-302E2372E068}"/>
    <cellStyle name="Normal 6 4 2 2 6 2" xfId="1314" xr:uid="{474D6184-68AC-4E61-83BD-E40518C3D404}"/>
    <cellStyle name="Normal 6 4 2 2 6 2 2" xfId="3788" xr:uid="{4BB8F443-776E-4763-B714-AEE107B8D131}"/>
    <cellStyle name="Normal 6 4 2 2 6 2 2 2" xfId="5650" xr:uid="{555AE8EE-3FE6-443F-88AE-BDDF1D291866}"/>
    <cellStyle name="Normal 6 4 2 2 6 2 3" xfId="2849" xr:uid="{AC1DB728-71C8-4494-BFF4-90209D42FDE0}"/>
    <cellStyle name="Normal 6 4 2 2 6 2 4" xfId="4520" xr:uid="{061E5069-F1F1-4392-AE9C-5BE3E540AEA0}"/>
    <cellStyle name="Normal 6 4 2 2 6 3" xfId="3376" xr:uid="{FCCD300D-95EE-4EBC-A00A-6555A47006DE}"/>
    <cellStyle name="Normal 6 4 2 2 6 3 2" xfId="5302" xr:uid="{6D537AB3-8C2E-4304-ADA7-5321F05CE15A}"/>
    <cellStyle name="Normal 6 4 2 2 6 4" xfId="2501" xr:uid="{D79F4EC7-64E3-47BE-9F8A-D34E4B66B7A0}"/>
    <cellStyle name="Normal 6 4 2 2 6 4 2" xfId="7347" xr:uid="{5A6D9732-3E32-4FD2-82D7-35C114706713}"/>
    <cellStyle name="Normal 6 4 2 2 6 5" xfId="4172" xr:uid="{35193280-51F1-4D55-B96C-BC1D829E7C69}"/>
    <cellStyle name="Normal 6 4 2 2 7" xfId="1010" xr:uid="{3E1A04BC-4A2F-4099-91A1-50C1960DC748}"/>
    <cellStyle name="Normal 6 4 2 2 7 2" xfId="3507" xr:uid="{32469846-CEF2-421A-850C-1B48C75C9D71}"/>
    <cellStyle name="Normal 6 4 2 2 7 2 2" xfId="5392" xr:uid="{830ED39A-913B-43F0-BF4D-3C53B1C574F9}"/>
    <cellStyle name="Normal 6 4 2 2 7 3" xfId="2591" xr:uid="{4DDF0646-AA65-4397-9E12-9A17AD955ABB}"/>
    <cellStyle name="Normal 6 4 2 2 7 4" xfId="4262" xr:uid="{2DED031B-5328-4109-A7C3-A92CF2089A90}"/>
    <cellStyle name="Normal 6 4 2 2 8" xfId="1467" xr:uid="{A12B9AE3-C7A7-4283-A4ED-CDE37071F018}"/>
    <cellStyle name="Normal 6 4 2 2 8 2" xfId="3097" xr:uid="{C906BCA6-6D7A-4048-AEB8-FB477705F291}"/>
    <cellStyle name="Normal 6 4 2 2 8 2 2" xfId="5741" xr:uid="{96A016B3-3083-4844-816C-FC80157767F0}"/>
    <cellStyle name="Normal 6 4 2 2 8 3" xfId="4602" xr:uid="{CFCE3818-490D-46E6-BD46-7A3D9E446BEC}"/>
    <cellStyle name="Normal 6 4 2 2 9" xfId="1770" xr:uid="{380B6482-66BC-488C-B936-A1084F737766}"/>
    <cellStyle name="Normal 6 4 2 2 9 2" xfId="4788" xr:uid="{B75555EF-A9F4-44EB-8F78-DCF967E7A1FE}"/>
    <cellStyle name="Normal 6 4 2 3" xfId="253" xr:uid="{B4D40D11-7E37-4A39-8DC4-234217912BC5}"/>
    <cellStyle name="Normal 6 4 2 3 2" xfId="1056" xr:uid="{3987A104-59C9-4680-8092-245C94BF8A0F}"/>
    <cellStyle name="Normal 6 4 2 3 2 2" xfId="3544" xr:uid="{6F21095A-5DEC-46D5-98C4-AE01AC92BC25}"/>
    <cellStyle name="Normal 6 4 2 3 2 2 2" xfId="5429" xr:uid="{84BFF067-313C-481B-94D2-1BAEB86B1FBF}"/>
    <cellStyle name="Normal 6 4 2 3 2 3" xfId="2628" xr:uid="{89DF914C-DF96-47D1-8D36-BEB284F35406}"/>
    <cellStyle name="Normal 6 4 2 3 2 4" xfId="4299" xr:uid="{B0CB91C0-E8F3-4B50-B6FA-D61FC2E4FE02}"/>
    <cellStyle name="Normal 6 4 2 3 3" xfId="1567" xr:uid="{F49C6E4C-7683-41BE-A5CA-7D20A8BFFBB5}"/>
    <cellStyle name="Normal 6 4 2 3 3 2" xfId="3149" xr:uid="{6E771C7B-C884-488E-B385-9868F143C091}"/>
    <cellStyle name="Normal 6 4 2 3 3 2 2" xfId="5833" xr:uid="{996DC6A2-C4A1-4B7A-951F-91E6166B8B6F}"/>
    <cellStyle name="Normal 6 4 2 3 3 3" xfId="4662" xr:uid="{E0A2937F-5E4E-4A80-843E-A893F7383A83}"/>
    <cellStyle name="Normal 6 4 2 3 4" xfId="1869" xr:uid="{2D1BCF2D-9F51-4B1C-9956-2ACAC6D2A163}"/>
    <cellStyle name="Normal 6 4 2 3 4 2" xfId="4848" xr:uid="{A189DF6C-2FB3-435A-8423-FF876B4D9794}"/>
    <cellStyle name="Normal 6 4 2 3 5" xfId="578" xr:uid="{CE3E7C50-8421-4EA6-BA90-CA70DFADB058}"/>
    <cellStyle name="Normal 6 4 2 3 5 2" xfId="5081" xr:uid="{F375EEAE-6045-4104-BA09-CE3770139513}"/>
    <cellStyle name="Normal 6 4 2 3 6" xfId="2280" xr:uid="{2B019900-88FC-4DD6-A5A0-C8FDEA7734F3}"/>
    <cellStyle name="Normal 6 4 2 3 6 2" xfId="7348" xr:uid="{7FB7CE79-E94F-4C4E-813C-F65BEB546951}"/>
    <cellStyle name="Normal 6 4 2 3 7" xfId="3951" xr:uid="{757F0EE2-A16F-455C-BD34-1258EAC40669}"/>
    <cellStyle name="Normal 6 4 2 4" xfId="353" xr:uid="{7D1DC73C-4C27-40F1-A3ED-BC5850564AD2}"/>
    <cellStyle name="Normal 6 4 2 4 2" xfId="1120" xr:uid="{54FC697F-C256-4262-B8A2-42FA9FD011FF}"/>
    <cellStyle name="Normal 6 4 2 4 2 2" xfId="3599" xr:uid="{9CE91B94-7A1E-4328-BFD1-FF031DDAE4D6}"/>
    <cellStyle name="Normal 6 4 2 4 2 2 2" xfId="5484" xr:uid="{7D155064-1D59-4E61-95AE-91072645CA86}"/>
    <cellStyle name="Normal 6 4 2 4 2 3" xfId="2683" xr:uid="{5D4D5706-F854-4EA5-99C4-C89C17978C4B}"/>
    <cellStyle name="Normal 6 4 2 4 2 4" xfId="4354" xr:uid="{F6B5082F-CCEB-4B72-AE2F-60E7D52F9BC5}"/>
    <cellStyle name="Normal 6 4 2 4 3" xfId="1666" xr:uid="{035E4496-F702-4389-B4C5-0D04D0615424}"/>
    <cellStyle name="Normal 6 4 2 4 3 2" xfId="3210" xr:uid="{AC70ED40-FF72-416A-B1F6-6EA9DCB017F3}"/>
    <cellStyle name="Normal 6 4 2 4 3 2 2" xfId="5910" xr:uid="{D9C865DC-A6B0-40A8-9C5C-70C65DE95ECD}"/>
    <cellStyle name="Normal 6 4 2 4 3 3" xfId="4723" xr:uid="{A98C6A22-FEF8-405A-83AC-F6DD3D53AC39}"/>
    <cellStyle name="Normal 6 4 2 4 4" xfId="1968" xr:uid="{75BC3504-C22D-4671-A5E7-5F331D8E9BC6}"/>
    <cellStyle name="Normal 6 4 2 4 4 2" xfId="4909" xr:uid="{1E0A5BAD-53CB-43A2-93F0-143714590C30}"/>
    <cellStyle name="Normal 6 4 2 4 5" xfId="642" xr:uid="{5EDA2062-0EB1-4F03-9E10-7E6D5D1C1B84}"/>
    <cellStyle name="Normal 6 4 2 4 5 2" xfId="5136" xr:uid="{17E24496-B5BF-47D6-AA7D-3E1CAD8FA3B1}"/>
    <cellStyle name="Normal 6 4 2 4 6" xfId="2335" xr:uid="{1E0658C6-5E93-4277-B231-154291AF8830}"/>
    <cellStyle name="Normal 6 4 2 4 6 2" xfId="7349" xr:uid="{77DA0923-5844-4934-9277-AA2551B35542}"/>
    <cellStyle name="Normal 6 4 2 4 7" xfId="4006" xr:uid="{1F43DBD3-4D5E-4E90-A470-2F0BB131A4C6}"/>
    <cellStyle name="Normal 6 4 2 5" xfId="453" xr:uid="{25CDA5A0-7302-40F6-B40E-62B95868DFB9}"/>
    <cellStyle name="Normal 6 4 2 5 2" xfId="1184" xr:uid="{972FC91E-83CC-4691-BB96-84C64D4CCC56}"/>
    <cellStyle name="Normal 6 4 2 5 2 2" xfId="3660" xr:uid="{BE338BBF-9F5D-4D9E-9E4B-55982B9676FB}"/>
    <cellStyle name="Normal 6 4 2 5 2 2 2" xfId="5539" xr:uid="{048135CA-F025-4C80-BBC4-05A44A792874}"/>
    <cellStyle name="Normal 6 4 2 5 2 3" xfId="2738" xr:uid="{7E975027-6F36-4FE3-8E5C-886CEC930AD0}"/>
    <cellStyle name="Normal 6 4 2 5 2 4" xfId="4409" xr:uid="{286B9911-37F8-4B27-9D84-407CFBDEC529}"/>
    <cellStyle name="Normal 6 4 2 5 3" xfId="2068" xr:uid="{E08F48D4-1A02-4754-BC4D-6955E692D00E}"/>
    <cellStyle name="Normal 6 4 2 5 3 2" xfId="3265" xr:uid="{7551B1F2-9718-4667-B747-24F034B814BB}"/>
    <cellStyle name="Normal 6 4 2 5 3 3" xfId="4971" xr:uid="{10A5852D-8AB7-4129-8281-ADA083506130}"/>
    <cellStyle name="Normal 6 4 2 5 4" xfId="706" xr:uid="{83FC9DAB-A7AF-4880-8EEA-6ACAD8135472}"/>
    <cellStyle name="Normal 6 4 2 5 4 2" xfId="5191" xr:uid="{B1F51864-131D-445B-BADB-0AC507F732AA}"/>
    <cellStyle name="Normal 6 4 2 5 5" xfId="2390" xr:uid="{0C0661A8-72A7-40F8-ACE5-5080257AC9E3}"/>
    <cellStyle name="Normal 6 4 2 5 5 2" xfId="7350" xr:uid="{BEE73C77-F8C6-4862-8436-EF3E798CE103}"/>
    <cellStyle name="Normal 6 4 2 5 6" xfId="4061" xr:uid="{BD7E838E-CC9F-40C9-AB74-8FF33265DF98}"/>
    <cellStyle name="Normal 6 4 2 6" xfId="770" xr:uid="{7710DDE7-C072-4DBC-B2FF-7D6F3187009A}"/>
    <cellStyle name="Normal 6 4 2 6 2" xfId="1249" xr:uid="{A0D6B727-E699-481D-897A-E74CFF86D80F}"/>
    <cellStyle name="Normal 6 4 2 6 2 2" xfId="3723" xr:uid="{36E12AF7-15AC-4A28-BA71-018D3E0A6940}"/>
    <cellStyle name="Normal 6 4 2 6 2 2 2" xfId="5594" xr:uid="{BF37096F-FBCA-490E-B71F-7ED3DD0990FC}"/>
    <cellStyle name="Normal 6 4 2 6 2 3" xfId="2793" xr:uid="{6500376B-13E2-442D-8CAA-C5932942B4A3}"/>
    <cellStyle name="Normal 6 4 2 6 2 4" xfId="4464" xr:uid="{4390BF7C-14F3-4E92-B688-3F79F6CA7A1C}"/>
    <cellStyle name="Normal 6 4 2 6 3" xfId="3320" xr:uid="{9FE68A59-9B4D-4C47-BF90-7ADB97745882}"/>
    <cellStyle name="Normal 6 4 2 6 3 2" xfId="5246" xr:uid="{653AE907-CDF4-44C9-AE8E-9911619505DC}"/>
    <cellStyle name="Normal 6 4 2 6 4" xfId="2445" xr:uid="{1F66D09E-C6DA-4179-AE75-7BE247E38C15}"/>
    <cellStyle name="Normal 6 4 2 6 4 2" xfId="7351" xr:uid="{2E00D922-9030-425D-9574-C2F0B66712BC}"/>
    <cellStyle name="Normal 6 4 2 6 5" xfId="4116" xr:uid="{415295A4-2BC6-4EC6-92A8-742EA737047B}"/>
    <cellStyle name="Normal 6 4 2 7" xfId="834" xr:uid="{15AF795C-1EFD-4B0F-B15B-B3EF9A1700A4}"/>
    <cellStyle name="Normal 6 4 2 7 2" xfId="1313" xr:uid="{5EDEF601-0D32-4216-84F6-839D4E5ED2FB}"/>
    <cellStyle name="Normal 6 4 2 7 2 2" xfId="3787" xr:uid="{56CF7AA2-22D3-4606-BB38-F6A58BA02707}"/>
    <cellStyle name="Normal 6 4 2 7 2 2 2" xfId="5649" xr:uid="{CBF8785A-AF63-4C73-9093-2EC108668CB6}"/>
    <cellStyle name="Normal 6 4 2 7 2 3" xfId="2848" xr:uid="{F6651FA3-2207-4D1B-8059-6ABE5221D6ED}"/>
    <cellStyle name="Normal 6 4 2 7 2 4" xfId="4519" xr:uid="{83747B73-3266-4387-A3E8-DB9ADBAA99BE}"/>
    <cellStyle name="Normal 6 4 2 7 3" xfId="3375" xr:uid="{FE17C6DD-38C2-48C7-9D68-74510D2D9EB0}"/>
    <cellStyle name="Normal 6 4 2 7 3 2" xfId="5301" xr:uid="{00DC8B49-487A-4D5D-97C3-7AB7A0E2AB6A}"/>
    <cellStyle name="Normal 6 4 2 7 4" xfId="2500" xr:uid="{48A5A875-B8DB-405D-A4AA-6A4CF130578B}"/>
    <cellStyle name="Normal 6 4 2 7 4 2" xfId="7352" xr:uid="{484504E6-EABA-4978-A6D9-5E7A23567642}"/>
    <cellStyle name="Normal 6 4 2 7 5" xfId="4171" xr:uid="{960BEDBD-BB2D-4BC4-BA75-7F7C5566B43A}"/>
    <cellStyle name="Normal 6 4 2 8" xfId="989" xr:uid="{2A11C134-E6C4-4477-8B10-4B48A5A48BB3}"/>
    <cellStyle name="Normal 6 4 2 8 2" xfId="3486" xr:uid="{C4879079-A71E-4B97-8CFF-761D4C3DE325}"/>
    <cellStyle name="Normal 6 4 2 8 2 2" xfId="5375" xr:uid="{9EA486BE-E7E3-4E37-8541-67D0CCA3D43A}"/>
    <cellStyle name="Normal 6 4 2 8 3" xfId="2574" xr:uid="{04048BB1-FAA6-401E-97DE-2D7EDB05E2F8}"/>
    <cellStyle name="Normal 6 4 2 8 4" xfId="4245" xr:uid="{B4F5C4BE-8734-47EA-870A-EF34704299C7}"/>
    <cellStyle name="Normal 6 4 2 9" xfId="1466" xr:uid="{D60FD25E-D996-4D82-9B16-5BC3D1EA5824}"/>
    <cellStyle name="Normal 6 4 2 9 2" xfId="3096" xr:uid="{DEEE58D6-BF7B-444B-A4A4-9D71635F0B5B}"/>
    <cellStyle name="Normal 6 4 2 9 2 2" xfId="5740" xr:uid="{187C8135-2D6F-4688-959D-27315CD4E3F5}"/>
    <cellStyle name="Normal 6 4 2 9 3" xfId="4601" xr:uid="{79EA8BC7-C965-434F-811E-8A86643AB317}"/>
    <cellStyle name="Normal 6 4 3" xfId="144" xr:uid="{024BD7E0-9BAF-4E0D-A548-9C752393E6E3}"/>
    <cellStyle name="Normal 6 4 3 10" xfId="531" xr:uid="{C4E0C9EC-5F1B-46C4-AB49-0A64446056FE}"/>
    <cellStyle name="Normal 6 4 3 10 2" xfId="5043" xr:uid="{0C55DF3D-DEE9-43E1-B680-E2CFD9F91008}"/>
    <cellStyle name="Normal 6 4 3 11" xfId="2172" xr:uid="{53E191FB-637E-4AE5-ADD9-19334EBE8633}"/>
    <cellStyle name="Normal 6 4 3 11 2" xfId="7353" xr:uid="{95A02195-D5EF-476C-A0E5-D698B6ED6F2C}"/>
    <cellStyle name="Normal 6 4 3 12" xfId="2242" xr:uid="{6E6862FA-DFE5-497B-AD8E-DF2053D9B575}"/>
    <cellStyle name="Normal 6 4 3 13" xfId="3913" xr:uid="{0FE198D9-38A6-4DFB-8C77-A3A119D08253}"/>
    <cellStyle name="Normal 6 4 3 2" xfId="255" xr:uid="{292EB464-3DBB-4E28-B684-3C6A615FA48E}"/>
    <cellStyle name="Normal 6 4 3 2 2" xfId="1058" xr:uid="{464023A8-E305-4978-B513-EBD3EF853FCC}"/>
    <cellStyle name="Normal 6 4 3 2 2 2" xfId="3546" xr:uid="{C6E329A8-5663-47AB-9C81-C4847AB6D351}"/>
    <cellStyle name="Normal 6 4 3 2 2 2 2" xfId="5431" xr:uid="{E23784FC-2396-49CC-80C9-40DAA0A93374}"/>
    <cellStyle name="Normal 6 4 3 2 2 3" xfId="2630" xr:uid="{455CB2EB-2B11-40D9-83F0-2193ECF49477}"/>
    <cellStyle name="Normal 6 4 3 2 2 4" xfId="4301" xr:uid="{2B57427B-0590-4B92-AE6B-5C06F7A28A71}"/>
    <cellStyle name="Normal 6 4 3 2 3" xfId="1569" xr:uid="{A984864F-561C-4900-99A5-A80AB876AFEC}"/>
    <cellStyle name="Normal 6 4 3 2 3 2" xfId="3130" xr:uid="{77AC9951-8934-440B-AA59-B27ED95CE415}"/>
    <cellStyle name="Normal 6 4 3 2 3 2 2" xfId="5835" xr:uid="{8DAAC719-44CF-420A-90FE-C1F9EE85AEAA}"/>
    <cellStyle name="Normal 6 4 3 2 3 3" xfId="4664" xr:uid="{0AE6B436-8B1C-4C46-9C8E-8942507CB91B}"/>
    <cellStyle name="Normal 6 4 3 2 4" xfId="1871" xr:uid="{5F0FF20B-5983-46B8-B8D9-86B9100C34E8}"/>
    <cellStyle name="Normal 6 4 3 2 4 2" xfId="4850" xr:uid="{DE1CB275-C36D-4107-97EB-C8E501910580}"/>
    <cellStyle name="Normal 6 4 3 2 5" xfId="580" xr:uid="{F0BA53F8-012C-4B45-A25F-FD1D597E25CB}"/>
    <cellStyle name="Normal 6 4 3 2 5 2" xfId="5083" xr:uid="{F7337C00-3AD9-4BAE-BC60-92BAA9E1BBF1}"/>
    <cellStyle name="Normal 6 4 3 2 6" xfId="2282" xr:uid="{B07A8AF3-6F04-4474-A5F3-9C4A38842FEB}"/>
    <cellStyle name="Normal 6 4 3 2 6 2" xfId="7354" xr:uid="{ECD61D14-ECFF-40A7-BF5E-94834258A77F}"/>
    <cellStyle name="Normal 6 4 3 2 7" xfId="3953" xr:uid="{5FACDEAB-FE6D-46BC-85FD-E8FFC89514B4}"/>
    <cellStyle name="Normal 6 4 3 3" xfId="355" xr:uid="{CF0279FB-4722-4640-977B-1D9E4E271927}"/>
    <cellStyle name="Normal 6 4 3 3 2" xfId="1122" xr:uid="{AA3EDF6E-C1D9-41F0-83D0-298A5EE342FE}"/>
    <cellStyle name="Normal 6 4 3 3 2 2" xfId="3601" xr:uid="{15AD9866-7044-49CF-BCF9-E9D9253B9309}"/>
    <cellStyle name="Normal 6 4 3 3 2 2 2" xfId="5486" xr:uid="{22060396-4A9F-446C-84A0-6113B8D1562B}"/>
    <cellStyle name="Normal 6 4 3 3 2 3" xfId="2685" xr:uid="{2932E0A4-8582-4C53-9C9E-2A57774E38E4}"/>
    <cellStyle name="Normal 6 4 3 3 2 4" xfId="4356" xr:uid="{34977A30-4939-46C8-8E59-2D9DDC2E8F47}"/>
    <cellStyle name="Normal 6 4 3 3 3" xfId="1668" xr:uid="{9297AD81-E36B-44D1-938A-2501549250DF}"/>
    <cellStyle name="Normal 6 4 3 3 3 2" xfId="3212" xr:uid="{7260F676-28CB-4AC8-9A8E-58F90F52CF45}"/>
    <cellStyle name="Normal 6 4 3 3 3 2 2" xfId="5912" xr:uid="{1CD0D844-D492-4497-9CAD-4A72F795B4C4}"/>
    <cellStyle name="Normal 6 4 3 3 3 3" xfId="4725" xr:uid="{F546733C-AB28-4108-9C68-0002EBED5612}"/>
    <cellStyle name="Normal 6 4 3 3 4" xfId="1970" xr:uid="{4CB2FE76-5868-4BBD-BFE2-31A906C30565}"/>
    <cellStyle name="Normal 6 4 3 3 4 2" xfId="4911" xr:uid="{C1C7967E-DC44-4E63-9554-081C1737EC19}"/>
    <cellStyle name="Normal 6 4 3 3 5" xfId="644" xr:uid="{3215F7CD-B43E-4E8D-B939-311454DCCC9F}"/>
    <cellStyle name="Normal 6 4 3 3 5 2" xfId="5138" xr:uid="{1DEB7AF6-FD1D-457C-8DA1-EF19CA772B46}"/>
    <cellStyle name="Normal 6 4 3 3 6" xfId="2337" xr:uid="{B459507D-F446-406B-9CB8-582B2A055C4F}"/>
    <cellStyle name="Normal 6 4 3 3 6 2" xfId="7355" xr:uid="{70C518B3-15FE-4895-BB97-D6C2B8A24C1A}"/>
    <cellStyle name="Normal 6 4 3 3 7" xfId="4008" xr:uid="{E4F918BC-04FB-4E25-8D3C-ED97703202E7}"/>
    <cellStyle name="Normal 6 4 3 4" xfId="455" xr:uid="{2A05D8D2-CE2E-45D0-B995-A9693D08E474}"/>
    <cellStyle name="Normal 6 4 3 4 2" xfId="1186" xr:uid="{C9DDFACA-1101-4A02-A012-5B3AEE8EE4DE}"/>
    <cellStyle name="Normal 6 4 3 4 2 2" xfId="3662" xr:uid="{1D8F0AED-C097-413D-8B0C-C4DA993B9A08}"/>
    <cellStyle name="Normal 6 4 3 4 2 2 2" xfId="5541" xr:uid="{190ADFE9-F5E0-4E19-BB12-8A587B8CFD39}"/>
    <cellStyle name="Normal 6 4 3 4 2 3" xfId="2740" xr:uid="{E50D7702-2FAB-44E0-8092-FA06F3B7B8FE}"/>
    <cellStyle name="Normal 6 4 3 4 2 4" xfId="4411" xr:uid="{D63CCB72-1427-4FE3-8A0F-EA316067AC19}"/>
    <cellStyle name="Normal 6 4 3 4 3" xfId="2070" xr:uid="{07155AC0-803E-41FE-AD3B-AE95F2D3F811}"/>
    <cellStyle name="Normal 6 4 3 4 3 2" xfId="3267" xr:uid="{33FD9189-E703-4082-945A-A1143BA6BA85}"/>
    <cellStyle name="Normal 6 4 3 4 3 3" xfId="4973" xr:uid="{566071DE-132B-414C-AB0B-02FA117395BF}"/>
    <cellStyle name="Normal 6 4 3 4 4" xfId="708" xr:uid="{B021E9FC-F9D6-4209-AC06-2FD035AE8E03}"/>
    <cellStyle name="Normal 6 4 3 4 4 2" xfId="5193" xr:uid="{EAB51A55-5B0D-4A10-A029-26DBDEA8CBC2}"/>
    <cellStyle name="Normal 6 4 3 4 5" xfId="2392" xr:uid="{68478988-BC6E-44E5-8E2D-E67E8E7060CF}"/>
    <cellStyle name="Normal 6 4 3 4 5 2" xfId="7356" xr:uid="{7BEB56F4-01F6-4D0A-BD96-9F47D3CAE1B4}"/>
    <cellStyle name="Normal 6 4 3 4 6" xfId="4063" xr:uid="{5B8DD68C-6CF2-4111-B0F3-369CB24181DE}"/>
    <cellStyle name="Normal 6 4 3 5" xfId="772" xr:uid="{E2781142-2600-4E7D-AE94-3CA98FF464D2}"/>
    <cellStyle name="Normal 6 4 3 5 2" xfId="1251" xr:uid="{EF5C0645-61F5-40AD-82BB-E1A279788605}"/>
    <cellStyle name="Normal 6 4 3 5 2 2" xfId="3725" xr:uid="{EA4A8BF2-071B-4B93-983D-92EECFD6C267}"/>
    <cellStyle name="Normal 6 4 3 5 2 2 2" xfId="5596" xr:uid="{7968EF27-3B08-4121-A054-6E24A3EE144F}"/>
    <cellStyle name="Normal 6 4 3 5 2 3" xfId="2795" xr:uid="{9F2A333F-137A-4F97-BA10-D825CA8097AB}"/>
    <cellStyle name="Normal 6 4 3 5 2 4" xfId="4466" xr:uid="{DEE037B5-244D-4112-9E88-4D2F5178BB3F}"/>
    <cellStyle name="Normal 6 4 3 5 3" xfId="3322" xr:uid="{519002C4-DF60-4A42-B722-48F9B52560F2}"/>
    <cellStyle name="Normal 6 4 3 5 3 2" xfId="5248" xr:uid="{3FA928DE-D088-4E6C-9913-BD43EDD64DE1}"/>
    <cellStyle name="Normal 6 4 3 5 4" xfId="2447" xr:uid="{C31A237B-F0DD-48EE-A688-F3E9519CD4A3}"/>
    <cellStyle name="Normal 6 4 3 5 4 2" xfId="7357" xr:uid="{F3B01344-C0F4-4130-A70F-31BFD155FC3E}"/>
    <cellStyle name="Normal 6 4 3 5 5" xfId="4118" xr:uid="{3E7B9ABF-DBEA-4138-A97E-DE9415F0F2AF}"/>
    <cellStyle name="Normal 6 4 3 6" xfId="836" xr:uid="{46AA57B2-CE46-48FB-A4DB-0EB5303AAF82}"/>
    <cellStyle name="Normal 6 4 3 6 2" xfId="1315" xr:uid="{A4874AB1-5EFB-4697-8C51-785734755B82}"/>
    <cellStyle name="Normal 6 4 3 6 2 2" xfId="3789" xr:uid="{379B132E-524A-4148-8CC6-4D34A97D4CED}"/>
    <cellStyle name="Normal 6 4 3 6 2 2 2" xfId="5651" xr:uid="{3C5C542E-0860-4B84-94FA-60D7985D326B}"/>
    <cellStyle name="Normal 6 4 3 6 2 3" xfId="2850" xr:uid="{81B4BF2A-B463-4A1F-B3CF-B851ABA010D4}"/>
    <cellStyle name="Normal 6 4 3 6 2 4" xfId="4521" xr:uid="{B89277CA-2E9C-4DB4-9C0F-A2B1629E131A}"/>
    <cellStyle name="Normal 6 4 3 6 3" xfId="3377" xr:uid="{DFD1D455-8450-43B1-8AEE-B89CFD44D21B}"/>
    <cellStyle name="Normal 6 4 3 6 3 2" xfId="5303" xr:uid="{2248BA98-293A-4521-87CD-2237FDED0358}"/>
    <cellStyle name="Normal 6 4 3 6 4" xfId="2502" xr:uid="{09D8C709-8751-4BC1-B4DE-AA8474B9E161}"/>
    <cellStyle name="Normal 6 4 3 6 4 2" xfId="7358" xr:uid="{3FF61D8A-2DEB-4FA3-B8F5-6B197AE05C77}"/>
    <cellStyle name="Normal 6 4 3 6 5" xfId="4173" xr:uid="{43E87AFA-8056-4982-8CEB-E9ED37C833A2}"/>
    <cellStyle name="Normal 6 4 3 7" xfId="1009" xr:uid="{5EA271EE-4FE0-4D84-94B1-46434FDD7443}"/>
    <cellStyle name="Normal 6 4 3 7 2" xfId="3506" xr:uid="{A5C1B382-8B3B-4DC7-AFA1-619484C05CF5}"/>
    <cellStyle name="Normal 6 4 3 7 2 2" xfId="5391" xr:uid="{94A56C75-8F73-4273-AC4C-04FB7ED09AA4}"/>
    <cellStyle name="Normal 6 4 3 7 3" xfId="2590" xr:uid="{91749FFB-A534-4720-9B94-7E8B4CE7C623}"/>
    <cellStyle name="Normal 6 4 3 7 4" xfId="4261" xr:uid="{015E4811-17C3-4AAA-AD3E-09D6E87058DB}"/>
    <cellStyle name="Normal 6 4 3 8" xfId="1468" xr:uid="{565A7B3F-3FBA-418B-85F9-B66BCE2C06E3}"/>
    <cellStyle name="Normal 6 4 3 8 2" xfId="3098" xr:uid="{EA013BCD-AA2B-49E9-A56D-76D1B300D947}"/>
    <cellStyle name="Normal 6 4 3 8 2 2" xfId="5742" xr:uid="{32D10FEE-55B4-4B82-A286-DCA7A670A0F3}"/>
    <cellStyle name="Normal 6 4 3 8 3" xfId="4603" xr:uid="{F969EB61-A793-4BA5-AFDB-992DDF8BD852}"/>
    <cellStyle name="Normal 6 4 3 9" xfId="1771" xr:uid="{0911364B-0933-4F57-8DCA-2F7BA0FA6E9F}"/>
    <cellStyle name="Normal 6 4 3 9 2" xfId="4789" xr:uid="{C7EA0F45-0576-493B-B869-2B302FA6D8CB}"/>
    <cellStyle name="Normal 6 4 4" xfId="252" xr:uid="{A35FE05A-85C6-41DD-B529-18F19D8B96D0}"/>
    <cellStyle name="Normal 6 4 4 2" xfId="1055" xr:uid="{B897A48B-3D03-4D5B-B4FD-690AD7CC5FC8}"/>
    <cellStyle name="Normal 6 4 4 2 2" xfId="3543" xr:uid="{6681FA5C-7A94-4928-A24D-DEF82CBD4010}"/>
    <cellStyle name="Normal 6 4 4 2 2 2" xfId="5428" xr:uid="{09C285B6-D3AD-4688-A7A6-382212F01999}"/>
    <cellStyle name="Normal 6 4 4 2 3" xfId="2627" xr:uid="{4F692167-8703-4718-B7DA-480743B6D5FB}"/>
    <cellStyle name="Normal 6 4 4 2 4" xfId="4298" xr:uid="{DE103E81-79FE-4E8D-8820-FFD8687989FF}"/>
    <cellStyle name="Normal 6 4 4 3" xfId="1566" xr:uid="{4293C6E2-4601-44A6-8EA8-2CFEC27ED336}"/>
    <cellStyle name="Normal 6 4 4 3 2" xfId="3146" xr:uid="{5C633066-10E7-48A0-8C11-F370E858628A}"/>
    <cellStyle name="Normal 6 4 4 3 2 2" xfId="5832" xr:uid="{9F4CDBD3-86D9-4154-9526-2CBF73BCBEE6}"/>
    <cellStyle name="Normal 6 4 4 3 3" xfId="4661" xr:uid="{FF988B34-9F20-4DBF-ABD3-21E78C205334}"/>
    <cellStyle name="Normal 6 4 4 4" xfId="1868" xr:uid="{4C51BE9E-7C78-4043-A2A9-8154ACC38481}"/>
    <cellStyle name="Normal 6 4 4 4 2" xfId="4847" xr:uid="{91DC123C-AF6D-4D62-9093-75757DCB070C}"/>
    <cellStyle name="Normal 6 4 4 5" xfId="577" xr:uid="{70ADF803-B310-446B-879C-8709F3C04BEC}"/>
    <cellStyle name="Normal 6 4 4 5 2" xfId="5080" xr:uid="{A14B3FED-8CBF-4831-9DBC-EB7ECF3F7DF9}"/>
    <cellStyle name="Normal 6 4 4 6" xfId="2279" xr:uid="{62E4C27A-BFDD-4253-A3D1-3EFD6879C89C}"/>
    <cellStyle name="Normal 6 4 4 6 2" xfId="7359" xr:uid="{CE060740-EF2F-41BE-AF6F-1499D09EE458}"/>
    <cellStyle name="Normal 6 4 4 7" xfId="3950" xr:uid="{5F4D4207-5EBC-49C4-BC97-8E9EB36FEA86}"/>
    <cellStyle name="Normal 6 4 5" xfId="352" xr:uid="{C7B79542-9286-4435-B94E-35F0500AC9B6}"/>
    <cellStyle name="Normal 6 4 5 2" xfId="1119" xr:uid="{51C35255-6DDA-49FF-A96F-50EFB551E643}"/>
    <cellStyle name="Normal 6 4 5 2 2" xfId="3598" xr:uid="{6C14E735-3E28-4361-97F9-87E52B99A6ED}"/>
    <cellStyle name="Normal 6 4 5 2 2 2" xfId="5483" xr:uid="{497016E3-28FC-4D6C-BA1C-BB074598E236}"/>
    <cellStyle name="Normal 6 4 5 2 3" xfId="2682" xr:uid="{F252718D-8A4C-48BE-BF2F-E7A489E19062}"/>
    <cellStyle name="Normal 6 4 5 2 4" xfId="4353" xr:uid="{FFAF0230-F929-4F58-8EE3-1CAEC896FA90}"/>
    <cellStyle name="Normal 6 4 5 3" xfId="1665" xr:uid="{F6A237BF-A23C-4BAC-94C3-7745B48383AA}"/>
    <cellStyle name="Normal 6 4 5 3 2" xfId="3209" xr:uid="{4FF25003-083C-41ED-A932-AA972E403E3D}"/>
    <cellStyle name="Normal 6 4 5 3 2 2" xfId="5909" xr:uid="{2585D58A-D33F-4F76-97E0-DF2CE71BBDC8}"/>
    <cellStyle name="Normal 6 4 5 3 3" xfId="4722" xr:uid="{E1723B72-CC31-4A1A-BB80-2280126CECE1}"/>
    <cellStyle name="Normal 6 4 5 4" xfId="1967" xr:uid="{57416019-4F89-4297-AA5E-504EFE1C84AC}"/>
    <cellStyle name="Normal 6 4 5 4 2" xfId="4908" xr:uid="{CB532B7E-B162-4D05-8807-888B390138B7}"/>
    <cellStyle name="Normal 6 4 5 5" xfId="641" xr:uid="{A64B1E96-A118-4016-993E-47F8E1909F44}"/>
    <cellStyle name="Normal 6 4 5 5 2" xfId="5135" xr:uid="{8E99F2A0-E6CF-4CBC-8FE4-5D6C1681AB53}"/>
    <cellStyle name="Normal 6 4 5 6" xfId="2334" xr:uid="{1A26222B-77B7-4885-98AA-5FCD82B35D97}"/>
    <cellStyle name="Normal 6 4 5 6 2" xfId="7360" xr:uid="{A804A0B4-A28D-4275-8EF5-CEB59225E87F}"/>
    <cellStyle name="Normal 6 4 5 7" xfId="4005" xr:uid="{79FF87F1-BADF-43C9-896B-4EA260BCF76D}"/>
    <cellStyle name="Normal 6 4 6" xfId="452" xr:uid="{B34C48E3-4610-4E2E-BE9C-31B07EA11D3E}"/>
    <cellStyle name="Normal 6 4 6 2" xfId="1183" xr:uid="{239294EA-BEBD-4D6F-BAFE-211ECDE13CFA}"/>
    <cellStyle name="Normal 6 4 6 2 2" xfId="3659" xr:uid="{19AF52F3-A380-4E8E-8391-6C6BB8B780C8}"/>
    <cellStyle name="Normal 6 4 6 2 2 2" xfId="5538" xr:uid="{87B4BBCD-8E0B-4102-91FF-EE6DC4787E17}"/>
    <cellStyle name="Normal 6 4 6 2 3" xfId="2737" xr:uid="{88BE0E0A-292B-490D-B931-6B203B5B37E1}"/>
    <cellStyle name="Normal 6 4 6 2 4" xfId="4408" xr:uid="{082FD7F0-0EFA-4C7C-BDA1-0224EB5B3C0D}"/>
    <cellStyle name="Normal 6 4 6 3" xfId="2067" xr:uid="{AEFE2785-4148-4656-8A6D-474F8F58F7F2}"/>
    <cellStyle name="Normal 6 4 6 3 2" xfId="3264" xr:uid="{7C82F18E-D6D8-49EE-ABC2-470628B4CE98}"/>
    <cellStyle name="Normal 6 4 6 3 3" xfId="4970" xr:uid="{4FFF841A-F70E-43AA-AEC5-FF35BF49CDCB}"/>
    <cellStyle name="Normal 6 4 6 4" xfId="705" xr:uid="{9A4A0486-ECA3-4D76-AFAF-5038C1923AA7}"/>
    <cellStyle name="Normal 6 4 6 4 2" xfId="5190" xr:uid="{38394ACD-9642-4F1A-96D0-3C704488C7BE}"/>
    <cellStyle name="Normal 6 4 6 5" xfId="2389" xr:uid="{A554CCBB-AAEB-47DE-BADD-E5FA8CFFEF0B}"/>
    <cellStyle name="Normal 6 4 6 5 2" xfId="7361" xr:uid="{D195A385-7695-43F6-A0EA-2F9C0F8748D9}"/>
    <cellStyle name="Normal 6 4 6 6" xfId="4060" xr:uid="{BCFD7AD7-9788-4C58-ABA6-B24E79DBD3B7}"/>
    <cellStyle name="Normal 6 4 7" xfId="769" xr:uid="{0997A96C-29D0-4815-9123-210CBEB34AC6}"/>
    <cellStyle name="Normal 6 4 7 2" xfId="1248" xr:uid="{600DF0C8-D8D5-47B0-B03D-DE579B223D12}"/>
    <cellStyle name="Normal 6 4 7 2 2" xfId="3722" xr:uid="{B487D5E1-D589-4C95-80D5-BF719D50118C}"/>
    <cellStyle name="Normal 6 4 7 2 2 2" xfId="5593" xr:uid="{D5262C1A-B43E-4341-ABC9-129B0C1A143B}"/>
    <cellStyle name="Normal 6 4 7 2 3" xfId="2792" xr:uid="{64BDE4E5-1AEF-4236-92F4-CB6F162F724F}"/>
    <cellStyle name="Normal 6 4 7 2 4" xfId="4463" xr:uid="{1DB8CFC1-8CE2-43D4-9AD7-F1114E298BC7}"/>
    <cellStyle name="Normal 6 4 7 3" xfId="3319" xr:uid="{F6209EF9-3589-4564-9D9A-FF7BC029AD45}"/>
    <cellStyle name="Normal 6 4 7 3 2" xfId="5245" xr:uid="{5A931243-8B6E-4BFF-B56A-FEE77D687794}"/>
    <cellStyle name="Normal 6 4 7 4" xfId="2444" xr:uid="{CBD1ECA8-13FC-42E7-9799-5801DEBA5915}"/>
    <cellStyle name="Normal 6 4 7 4 2" xfId="7362" xr:uid="{B142CD2B-4803-4527-9722-6EE0F1041645}"/>
    <cellStyle name="Normal 6 4 7 5" xfId="4115" xr:uid="{AF0428F0-BDB4-4AE0-90CF-2ED63665BBAC}"/>
    <cellStyle name="Normal 6 4 8" xfId="833" xr:uid="{714097EC-DC90-4149-B459-03D746F2BEB4}"/>
    <cellStyle name="Normal 6 4 8 2" xfId="1312" xr:uid="{C8000E7E-58F8-432D-B935-1542FAA6F994}"/>
    <cellStyle name="Normal 6 4 8 2 2" xfId="3786" xr:uid="{52821045-4078-4262-9DBB-45FD86087B76}"/>
    <cellStyle name="Normal 6 4 8 2 2 2" xfId="5648" xr:uid="{0ED5810E-8F55-4D4D-ADAA-3B642CF0F0ED}"/>
    <cellStyle name="Normal 6 4 8 2 3" xfId="2847" xr:uid="{D349168D-D51D-4961-AE21-5155384B86CF}"/>
    <cellStyle name="Normal 6 4 8 2 4" xfId="4518" xr:uid="{55192179-A8C3-439C-8D04-04C17E06A1EA}"/>
    <cellStyle name="Normal 6 4 8 3" xfId="3374" xr:uid="{061297A4-DA65-4E19-9FE4-F544545A6C57}"/>
    <cellStyle name="Normal 6 4 8 3 2" xfId="5300" xr:uid="{B8E4A5BB-AEF9-4713-8B2C-1286369AE29F}"/>
    <cellStyle name="Normal 6 4 8 4" xfId="2499" xr:uid="{28C618D4-0838-498C-A5ED-2DFF0887447D}"/>
    <cellStyle name="Normal 6 4 8 4 2" xfId="7363" xr:uid="{13D2D783-B3A4-4897-8AD0-D15ADF23B1D8}"/>
    <cellStyle name="Normal 6 4 8 5" xfId="4170" xr:uid="{FE9F33BF-BFC4-465C-96A3-6BEE9C9D72B2}"/>
    <cellStyle name="Normal 6 4 9" xfId="974" xr:uid="{6AB5A04E-AAEF-47F1-A9F8-9F042EC42A81}"/>
    <cellStyle name="Normal 6 4 9 2" xfId="3471" xr:uid="{467E9D1F-9408-43FD-AE1D-80BFBBAC1D7F}"/>
    <cellStyle name="Normal 6 4 9 2 2" xfId="5363" xr:uid="{E676E6CB-499F-4D5F-871E-3ED2338048ED}"/>
    <cellStyle name="Normal 6 4 9 3" xfId="2562" xr:uid="{872EBD00-8696-409F-89EC-5CA7804E2501}"/>
    <cellStyle name="Normal 6 4 9 4" xfId="4233" xr:uid="{E2EEAA13-2454-4BE8-938C-20C9FD651D76}"/>
    <cellStyle name="Normal 6 5" xfId="145" xr:uid="{30C60E15-29DA-4482-B419-F27CE41558B4}"/>
    <cellStyle name="Normal 6 5 10" xfId="1469" xr:uid="{39FF2B1C-F581-4D6E-80AC-7CD430FB034E}"/>
    <cellStyle name="Normal 6 5 10 2" xfId="3855" xr:uid="{DE22A74F-C12F-408E-9511-D554C227377A}"/>
    <cellStyle name="Normal 6 5 10 2 2" xfId="5743" xr:uid="{16EC5F29-AEFC-4E8D-B90E-12E9CC9CE777}"/>
    <cellStyle name="Normal 6 5 10 3" xfId="2909" xr:uid="{A7324E70-5599-41A4-BAEF-DE153EEFF20D}"/>
    <cellStyle name="Normal 6 5 10 4" xfId="4604" xr:uid="{A1143286-B650-4380-A4C2-C255385F43EF}"/>
    <cellStyle name="Normal 6 5 11" xfId="1772" xr:uid="{425C07F8-FA5F-46D3-BAEE-2D0125082997}"/>
    <cellStyle name="Normal 6 5 11 2" xfId="3099" xr:uid="{E423519C-55FE-4915-B7AF-3C77F81A7C58}"/>
    <cellStyle name="Normal 6 5 11 3" xfId="4790" xr:uid="{97FFA2FF-F795-4259-8FB2-4352D51BEB61}"/>
    <cellStyle name="Normal 6 5 12" xfId="498" xr:uid="{C976E194-B574-446F-B6BB-0FE8F64990C6}"/>
    <cellStyle name="Normal 6 5 12 2" xfId="5016" xr:uid="{467FBB00-CE39-49FF-8A7E-2AFAF5B06881}"/>
    <cellStyle name="Normal 6 5 13" xfId="2173" xr:uid="{25018F2D-600E-486A-BA97-BEF455F61FC9}"/>
    <cellStyle name="Normal 6 5 13 2" xfId="5955" xr:uid="{B4A298B8-A306-420E-A9C6-2A3181F8554D}"/>
    <cellStyle name="Normal 6 5 14" xfId="2215" xr:uid="{50AE510F-AD08-4A91-B316-11BE39373FC3}"/>
    <cellStyle name="Normal 6 5 14 2" xfId="7364" xr:uid="{951DC8CB-8704-4756-9987-0F1396CFF422}"/>
    <cellStyle name="Normal 6 5 15" xfId="3886" xr:uid="{A18BB2A8-82B1-43B6-99C0-1BF056EE0A69}"/>
    <cellStyle name="Normal 6 5 2" xfId="146" xr:uid="{F0B478B2-7539-4A3D-8D90-B181F1022DCD}"/>
    <cellStyle name="Normal 6 5 2 10" xfId="1773" xr:uid="{D8CFCF44-7F6C-4A08-8E76-50C53BFF4242}"/>
    <cellStyle name="Normal 6 5 2 10 2" xfId="4791" xr:uid="{5C23E00A-6D83-4C24-89C5-A49EAB311FCE}"/>
    <cellStyle name="Normal 6 5 2 11" xfId="512" xr:uid="{8F2696F6-E083-4BF8-8E3A-209E26616D40}"/>
    <cellStyle name="Normal 6 5 2 11 2" xfId="5028" xr:uid="{E2D9208D-438E-4861-85AC-DA0C24080998}"/>
    <cellStyle name="Normal 6 5 2 12" xfId="2174" xr:uid="{B8E7B100-4528-4E6A-8E0B-3CDDC7DB5FCF}"/>
    <cellStyle name="Normal 6 5 2 12 2" xfId="7365" xr:uid="{336FBDF8-665B-4508-B8EB-74F220F0A527}"/>
    <cellStyle name="Normal 6 5 2 13" xfId="2227" xr:uid="{4C5D8766-9A51-4523-B10B-87E4606905A4}"/>
    <cellStyle name="Normal 6 5 2 14" xfId="3898" xr:uid="{FAA33000-6C8A-4BE8-8CFE-322C9528C0DD}"/>
    <cellStyle name="Normal 6 5 2 2" xfId="147" xr:uid="{9D81007C-53BE-4435-93C6-341442A2D12C}"/>
    <cellStyle name="Normal 6 5 2 2 10" xfId="534" xr:uid="{96C1C5A5-DEF6-49D2-B6CB-9F04CB72EE44}"/>
    <cellStyle name="Normal 6 5 2 2 10 2" xfId="5046" xr:uid="{882E8A50-2749-4C9F-9E81-3CB5CA2A723C}"/>
    <cellStyle name="Normal 6 5 2 2 11" xfId="2175" xr:uid="{B0983BC9-26CC-4425-9B76-CDF0A8E83D69}"/>
    <cellStyle name="Normal 6 5 2 2 11 2" xfId="7366" xr:uid="{07EE6270-4C9F-428F-9807-BED9465FBF6B}"/>
    <cellStyle name="Normal 6 5 2 2 12" xfId="2245" xr:uid="{C3E3A282-0943-4E8A-85A0-578323E24AED}"/>
    <cellStyle name="Normal 6 5 2 2 13" xfId="3916" xr:uid="{195C05E4-EC66-4C12-B21F-82F584E90BA0}"/>
    <cellStyle name="Normal 6 5 2 2 2" xfId="258" xr:uid="{B6088C59-9783-4272-B915-DE44F2F05170}"/>
    <cellStyle name="Normal 6 5 2 2 2 2" xfId="1061" xr:uid="{B3AA1C37-731C-4A82-8091-7187F305F549}"/>
    <cellStyle name="Normal 6 5 2 2 2 2 2" xfId="3549" xr:uid="{A1B485E3-6B98-45C2-8282-1401D3FFABDF}"/>
    <cellStyle name="Normal 6 5 2 2 2 2 2 2" xfId="5434" xr:uid="{522C8162-D076-4CDD-8C10-907971E5A470}"/>
    <cellStyle name="Normal 6 5 2 2 2 2 3" xfId="2633" xr:uid="{00271EE3-B49A-492F-8038-2AD1CD76D839}"/>
    <cellStyle name="Normal 6 5 2 2 2 2 4" xfId="4304" xr:uid="{EBB23A07-89D6-45A4-9201-7FD93A00DE6D}"/>
    <cellStyle name="Normal 6 5 2 2 2 3" xfId="1572" xr:uid="{3AAC3343-11FA-408F-B2DC-9F38D638B1E7}"/>
    <cellStyle name="Normal 6 5 2 2 2 3 2" xfId="3162" xr:uid="{0042832E-8F61-4162-B17D-B6B3F3AE93EF}"/>
    <cellStyle name="Normal 6 5 2 2 2 3 2 2" xfId="5838" xr:uid="{37ADA8D1-D1FB-4889-834F-D1D98F1CC615}"/>
    <cellStyle name="Normal 6 5 2 2 2 3 3" xfId="4667" xr:uid="{31AA0CBD-7D90-4723-9268-71C2E3033D0F}"/>
    <cellStyle name="Normal 6 5 2 2 2 4" xfId="1874" xr:uid="{B1A17030-9FE4-4B33-BF06-1570755C86EB}"/>
    <cellStyle name="Normal 6 5 2 2 2 4 2" xfId="4853" xr:uid="{D1428A0B-43D7-41B3-B29D-1B3E10C57FE2}"/>
    <cellStyle name="Normal 6 5 2 2 2 5" xfId="583" xr:uid="{AB320863-7EA0-408B-B564-FC9B8B30793D}"/>
    <cellStyle name="Normal 6 5 2 2 2 5 2" xfId="5086" xr:uid="{5A11CC7A-1FB1-4661-93F9-160224C4A02C}"/>
    <cellStyle name="Normal 6 5 2 2 2 6" xfId="2285" xr:uid="{F671A4CC-17FF-4AFB-BD1E-23FF629A68B0}"/>
    <cellStyle name="Normal 6 5 2 2 2 6 2" xfId="7367" xr:uid="{EE14C94D-AA1D-46CE-8DE9-9B19520B94F8}"/>
    <cellStyle name="Normal 6 5 2 2 2 7" xfId="3956" xr:uid="{BBB3C616-16DD-451B-BB73-1F90D60BFDD0}"/>
    <cellStyle name="Normal 6 5 2 2 3" xfId="358" xr:uid="{F6894D03-1FA8-47C7-A11C-E88C9C3F93D2}"/>
    <cellStyle name="Normal 6 5 2 2 3 2" xfId="1125" xr:uid="{8F802F13-21A3-481A-9424-7F7F2403D634}"/>
    <cellStyle name="Normal 6 5 2 2 3 2 2" xfId="3604" xr:uid="{85A4AAAE-6534-462E-A22B-97899A0AB7BC}"/>
    <cellStyle name="Normal 6 5 2 2 3 2 2 2" xfId="5489" xr:uid="{9C6A6F0D-9174-4188-9CEA-A229BEF23458}"/>
    <cellStyle name="Normal 6 5 2 2 3 2 3" xfId="2688" xr:uid="{84E1F5AC-A48B-4456-96DC-4DD476BBBC56}"/>
    <cellStyle name="Normal 6 5 2 2 3 2 4" xfId="4359" xr:uid="{91D4E52B-FAF1-400F-BEE7-F129AE3A83E1}"/>
    <cellStyle name="Normal 6 5 2 2 3 3" xfId="1671" xr:uid="{A253DAFD-B4B0-4076-A9EE-83B60B2BB0DC}"/>
    <cellStyle name="Normal 6 5 2 2 3 3 2" xfId="3215" xr:uid="{2298AB76-F401-4FB9-8C3B-EF1F9D763EB1}"/>
    <cellStyle name="Normal 6 5 2 2 3 3 2 2" xfId="5915" xr:uid="{9BE134BB-1433-4272-B8C6-0D36E9ECC264}"/>
    <cellStyle name="Normal 6 5 2 2 3 3 3" xfId="4728" xr:uid="{A03BB281-EBAD-4945-9E6F-8C7AC72828AE}"/>
    <cellStyle name="Normal 6 5 2 2 3 4" xfId="1973" xr:uid="{B531093A-C050-47A3-A3EC-BF7D26F55C2D}"/>
    <cellStyle name="Normal 6 5 2 2 3 4 2" xfId="4914" xr:uid="{46AAFAC1-B282-401B-AAFC-847815698E58}"/>
    <cellStyle name="Normal 6 5 2 2 3 5" xfId="647" xr:uid="{93C68D3B-D0F3-4C20-BD56-C58326D59990}"/>
    <cellStyle name="Normal 6 5 2 2 3 5 2" xfId="5141" xr:uid="{0C1ECB50-798A-40FB-931C-2559EB200008}"/>
    <cellStyle name="Normal 6 5 2 2 3 6" xfId="2340" xr:uid="{F4379665-9722-44BE-A47E-AEF7B132C451}"/>
    <cellStyle name="Normal 6 5 2 2 3 6 2" xfId="7368" xr:uid="{AC9B5480-311B-484F-B18E-70B41E239A2C}"/>
    <cellStyle name="Normal 6 5 2 2 3 7" xfId="4011" xr:uid="{F60131CF-73BF-4312-9512-286FABDC13B6}"/>
    <cellStyle name="Normal 6 5 2 2 4" xfId="458" xr:uid="{EB66B7A7-2B7E-41BF-8B34-BB236C56DFDF}"/>
    <cellStyle name="Normal 6 5 2 2 4 2" xfId="1189" xr:uid="{F870357C-B72D-4DDA-9A7C-E35093584987}"/>
    <cellStyle name="Normal 6 5 2 2 4 2 2" xfId="3665" xr:uid="{C3C94D95-CF96-4C67-A095-EA3761C21B8A}"/>
    <cellStyle name="Normal 6 5 2 2 4 2 2 2" xfId="5544" xr:uid="{F843AEBD-3B80-4B37-914A-14B689AA12CF}"/>
    <cellStyle name="Normal 6 5 2 2 4 2 3" xfId="2743" xr:uid="{6B1AF0D4-1C47-4E47-8B53-61B304387B7E}"/>
    <cellStyle name="Normal 6 5 2 2 4 2 4" xfId="4414" xr:uid="{14DF250D-663A-48D0-A80D-3007CF654CA6}"/>
    <cellStyle name="Normal 6 5 2 2 4 3" xfId="2073" xr:uid="{252FD4B0-6D01-4228-96C2-C02B0C40FE94}"/>
    <cellStyle name="Normal 6 5 2 2 4 3 2" xfId="3270" xr:uid="{715A8EBE-3FDA-42F6-AE94-941BD9BD13CC}"/>
    <cellStyle name="Normal 6 5 2 2 4 3 3" xfId="4976" xr:uid="{C19452C5-EE76-4828-A1FD-03970EB45B7A}"/>
    <cellStyle name="Normal 6 5 2 2 4 4" xfId="711" xr:uid="{6D5A8EBF-AF3A-4FBE-91E9-CD824A260ACE}"/>
    <cellStyle name="Normal 6 5 2 2 4 4 2" xfId="5196" xr:uid="{479E655A-FCD6-4ADB-897E-D55CDFB8C9C5}"/>
    <cellStyle name="Normal 6 5 2 2 4 5" xfId="2395" xr:uid="{F3DD2B2E-9ABC-4599-946C-709A1A141ECB}"/>
    <cellStyle name="Normal 6 5 2 2 4 5 2" xfId="7369" xr:uid="{705E8815-6067-46E2-84E0-5A8C2D6B2C74}"/>
    <cellStyle name="Normal 6 5 2 2 4 6" xfId="4066" xr:uid="{D525E4AE-3EBB-45A5-BE29-2D03A22A414C}"/>
    <cellStyle name="Normal 6 5 2 2 5" xfId="775" xr:uid="{60763583-D63C-47A9-9F68-83C788E3818A}"/>
    <cellStyle name="Normal 6 5 2 2 5 2" xfId="1254" xr:uid="{5C0262E9-E91F-4C1C-9782-5EFA4AB59624}"/>
    <cellStyle name="Normal 6 5 2 2 5 2 2" xfId="3728" xr:uid="{37A35C2B-3197-4BA8-BD0A-11FCFB2A0D06}"/>
    <cellStyle name="Normal 6 5 2 2 5 2 2 2" xfId="5599" xr:uid="{0DF3E377-E680-43A9-86DD-27C4264EC859}"/>
    <cellStyle name="Normal 6 5 2 2 5 2 3" xfId="2798" xr:uid="{C54E220D-CD76-483D-94C2-485EABE3DEAC}"/>
    <cellStyle name="Normal 6 5 2 2 5 2 4" xfId="4469" xr:uid="{D4CBBF7D-7FD1-4E80-A3A0-E5A6574BC55A}"/>
    <cellStyle name="Normal 6 5 2 2 5 3" xfId="3325" xr:uid="{0C3727E8-84D9-40E6-9CBF-C6A37F10A6BB}"/>
    <cellStyle name="Normal 6 5 2 2 5 3 2" xfId="5251" xr:uid="{F1835ED3-C725-43E3-9168-92B31483845A}"/>
    <cellStyle name="Normal 6 5 2 2 5 4" xfId="2450" xr:uid="{2DEB1B95-0486-4206-97E3-F581D96350BB}"/>
    <cellStyle name="Normal 6 5 2 2 5 4 2" xfId="7370" xr:uid="{2CCC6843-17A8-49A9-A276-68B0D99F133E}"/>
    <cellStyle name="Normal 6 5 2 2 5 5" xfId="4121" xr:uid="{B3AC3A98-2563-4542-8CD7-904C62D17237}"/>
    <cellStyle name="Normal 6 5 2 2 6" xfId="839" xr:uid="{A47E9FCD-441C-4912-9041-05F4A7987CAA}"/>
    <cellStyle name="Normal 6 5 2 2 6 2" xfId="1318" xr:uid="{9153712E-8E90-4CE4-8EB4-99C84A5FCB7A}"/>
    <cellStyle name="Normal 6 5 2 2 6 2 2" xfId="3792" xr:uid="{A8BF997A-A01F-4EEB-92A1-E970743B5DB8}"/>
    <cellStyle name="Normal 6 5 2 2 6 2 2 2" xfId="5654" xr:uid="{7655186E-D244-4A06-B347-2C7501B1277D}"/>
    <cellStyle name="Normal 6 5 2 2 6 2 3" xfId="2853" xr:uid="{3E63D6C5-A2B6-40EA-BD28-ACCB2464DBA3}"/>
    <cellStyle name="Normal 6 5 2 2 6 2 4" xfId="4524" xr:uid="{EFC651D5-A59A-4155-BD30-19F48E4EA354}"/>
    <cellStyle name="Normal 6 5 2 2 6 3" xfId="3380" xr:uid="{88F7A4B6-4F24-4A53-B3DA-992175CF45C4}"/>
    <cellStyle name="Normal 6 5 2 2 6 3 2" xfId="5306" xr:uid="{57282AB7-7B5D-4864-945C-FB1A32C3C13A}"/>
    <cellStyle name="Normal 6 5 2 2 6 4" xfId="2505" xr:uid="{8C369E87-67F4-46C3-B49E-911F84F2389E}"/>
    <cellStyle name="Normal 6 5 2 2 6 4 2" xfId="7371" xr:uid="{413B9E76-69D6-42D9-9F9E-74C84310231C}"/>
    <cellStyle name="Normal 6 5 2 2 6 5" xfId="4176" xr:uid="{E85605B4-9E78-4BBB-B64C-AF14CCF4FA27}"/>
    <cellStyle name="Normal 6 5 2 2 7" xfId="1012" xr:uid="{12352494-F1BA-43E2-9E01-6BBEC996804C}"/>
    <cellStyle name="Normal 6 5 2 2 7 2" xfId="3509" xr:uid="{6D5C49F3-E3AB-47CB-A709-3BDB753F6D39}"/>
    <cellStyle name="Normal 6 5 2 2 7 2 2" xfId="5394" xr:uid="{2D34C291-51C2-4C3A-8618-3DD196C5ADDD}"/>
    <cellStyle name="Normal 6 5 2 2 7 3" xfId="2593" xr:uid="{70E39A23-23AE-4109-BF30-FD28C88E6026}"/>
    <cellStyle name="Normal 6 5 2 2 7 4" xfId="4264" xr:uid="{16A203A0-12EC-45F6-854F-4039952736C9}"/>
    <cellStyle name="Normal 6 5 2 2 8" xfId="1471" xr:uid="{ADC6DFE4-CB2B-480D-993E-94B6798C2ED1}"/>
    <cellStyle name="Normal 6 5 2 2 8 2" xfId="3061" xr:uid="{BAA61D3D-3CDD-4B06-9054-A476CAC8E920}"/>
    <cellStyle name="Normal 6 5 2 2 8 2 2" xfId="5745" xr:uid="{C3D030AC-EF2D-4434-BF80-098D2F53C0F4}"/>
    <cellStyle name="Normal 6 5 2 2 8 3" xfId="4606" xr:uid="{CF18C752-FEAE-4BA9-9552-0386183E09AB}"/>
    <cellStyle name="Normal 6 5 2 2 9" xfId="1774" xr:uid="{0204B57B-F255-482C-A93D-DB8B99D2745B}"/>
    <cellStyle name="Normal 6 5 2 2 9 2" xfId="4792" xr:uid="{2CF6737A-C2EB-4FC4-BFD7-C23C995E68E5}"/>
    <cellStyle name="Normal 6 5 2 3" xfId="257" xr:uid="{E517351E-CBD4-43DD-9458-006B7352848D}"/>
    <cellStyle name="Normal 6 5 2 3 2" xfId="1060" xr:uid="{8B912ADB-E398-47A1-B0F3-C51393B67AA9}"/>
    <cellStyle name="Normal 6 5 2 3 2 2" xfId="3548" xr:uid="{477DB84D-CEDE-4EE9-A05E-55CA1CDB883E}"/>
    <cellStyle name="Normal 6 5 2 3 2 2 2" xfId="5433" xr:uid="{3DCCC309-B99C-407B-8B40-BE5D571FD5A9}"/>
    <cellStyle name="Normal 6 5 2 3 2 3" xfId="2632" xr:uid="{5287B23E-F31A-4CD7-BFEE-4EA164F01B91}"/>
    <cellStyle name="Normal 6 5 2 3 2 4" xfId="4303" xr:uid="{E44A93D8-BF84-4160-B223-94DB34077610}"/>
    <cellStyle name="Normal 6 5 2 3 3" xfId="1571" xr:uid="{FED8A829-6CB0-4776-91B8-EB55DC22CF23}"/>
    <cellStyle name="Normal 6 5 2 3 3 2" xfId="3154" xr:uid="{5E6EF808-A933-44F1-8F9E-CCA759BE4E73}"/>
    <cellStyle name="Normal 6 5 2 3 3 2 2" xfId="5837" xr:uid="{3CE4849D-5970-4AB6-A566-4FD574358C70}"/>
    <cellStyle name="Normal 6 5 2 3 3 3" xfId="4666" xr:uid="{F6FB1D60-D50E-4759-BEEA-462E556C96C8}"/>
    <cellStyle name="Normal 6 5 2 3 4" xfId="1873" xr:uid="{C8E9F866-B7D2-4F82-9506-1A86124FBAB5}"/>
    <cellStyle name="Normal 6 5 2 3 4 2" xfId="4852" xr:uid="{263DD8AC-DE77-4F2F-BCCD-FBF456AB608C}"/>
    <cellStyle name="Normal 6 5 2 3 5" xfId="582" xr:uid="{C09B7FB5-6059-420A-9294-46041493AD34}"/>
    <cellStyle name="Normal 6 5 2 3 5 2" xfId="5085" xr:uid="{70B1581C-DCF4-495E-A777-675133EAE428}"/>
    <cellStyle name="Normal 6 5 2 3 6" xfId="2284" xr:uid="{45306401-9531-42A6-89F6-4A14BBA4813A}"/>
    <cellStyle name="Normal 6 5 2 3 6 2" xfId="7372" xr:uid="{8D76F876-693E-43F0-A60B-CF6BEAB96945}"/>
    <cellStyle name="Normal 6 5 2 3 7" xfId="3955" xr:uid="{97A1962A-68E1-4355-988F-89188628BABA}"/>
    <cellStyle name="Normal 6 5 2 4" xfId="357" xr:uid="{DA4AC95E-3CB5-473F-B2F6-26F58E6412E5}"/>
    <cellStyle name="Normal 6 5 2 4 2" xfId="1124" xr:uid="{EEEEA19A-A879-4B95-8677-68A8051CFD15}"/>
    <cellStyle name="Normal 6 5 2 4 2 2" xfId="3603" xr:uid="{2EF16763-3EC6-4BE1-A18A-1F44EE82C6AF}"/>
    <cellStyle name="Normal 6 5 2 4 2 2 2" xfId="5488" xr:uid="{4CABB134-C687-4981-8D0E-EF43DCC28151}"/>
    <cellStyle name="Normal 6 5 2 4 2 3" xfId="2687" xr:uid="{9B217B0A-08E2-4197-8904-6A2AA5073627}"/>
    <cellStyle name="Normal 6 5 2 4 2 4" xfId="4358" xr:uid="{88ADBBC0-B1B7-49BB-87A3-EB6BB4981318}"/>
    <cellStyle name="Normal 6 5 2 4 3" xfId="1670" xr:uid="{85F24D83-5AC0-4A5B-99F7-AA40F9C7EBA1}"/>
    <cellStyle name="Normal 6 5 2 4 3 2" xfId="3214" xr:uid="{38D9A19D-4AC8-4B1C-8801-AB4D110EFCCC}"/>
    <cellStyle name="Normal 6 5 2 4 3 2 2" xfId="5914" xr:uid="{491F05B7-1D88-4889-9D10-7F125CB241DC}"/>
    <cellStyle name="Normal 6 5 2 4 3 3" xfId="4727" xr:uid="{8F6EB45C-628E-4ED3-A451-32DBB5B27489}"/>
    <cellStyle name="Normal 6 5 2 4 4" xfId="1972" xr:uid="{F507F9FC-53A4-4734-82F8-A4FEBB8958CD}"/>
    <cellStyle name="Normal 6 5 2 4 4 2" xfId="4913" xr:uid="{3EC81089-62AC-41ED-9E2B-60B3847535BB}"/>
    <cellStyle name="Normal 6 5 2 4 5" xfId="646" xr:uid="{5AB22D25-A69F-4EC6-904C-D2221C01209E}"/>
    <cellStyle name="Normal 6 5 2 4 5 2" xfId="5140" xr:uid="{FCA433FC-4844-4FEA-BA71-DA01E2C4FC5D}"/>
    <cellStyle name="Normal 6 5 2 4 6" xfId="2339" xr:uid="{56F88409-F7B1-4F8D-95BD-A27EB2AF0F06}"/>
    <cellStyle name="Normal 6 5 2 4 6 2" xfId="7373" xr:uid="{9C060901-6A2A-48BB-87FE-72D7AA7332E2}"/>
    <cellStyle name="Normal 6 5 2 4 7" xfId="4010" xr:uid="{7844611B-02FD-4224-9EEE-9C5178C1AB2B}"/>
    <cellStyle name="Normal 6 5 2 5" xfId="457" xr:uid="{E65A6724-AB2B-4072-BF8B-859CDFD4BE4F}"/>
    <cellStyle name="Normal 6 5 2 5 2" xfId="1188" xr:uid="{0B2DE2B4-69CD-469F-A917-2A3077CA3A68}"/>
    <cellStyle name="Normal 6 5 2 5 2 2" xfId="3664" xr:uid="{9F02DA36-F421-4600-8324-B45CB339E6FB}"/>
    <cellStyle name="Normal 6 5 2 5 2 2 2" xfId="5543" xr:uid="{830B75D4-3E93-45D2-BE47-06D54B5EBDA4}"/>
    <cellStyle name="Normal 6 5 2 5 2 3" xfId="2742" xr:uid="{D3EA9BE8-5870-42B0-B464-A3D931ED7D3F}"/>
    <cellStyle name="Normal 6 5 2 5 2 4" xfId="4413" xr:uid="{E2A17EA3-7140-4959-9821-B19685AA4A46}"/>
    <cellStyle name="Normal 6 5 2 5 3" xfId="2072" xr:uid="{2A32F798-01E2-43AE-BB3D-E2131FBB029E}"/>
    <cellStyle name="Normal 6 5 2 5 3 2" xfId="3269" xr:uid="{F6A6417B-1255-46AA-A28A-91FF34A4E53E}"/>
    <cellStyle name="Normal 6 5 2 5 3 3" xfId="4975" xr:uid="{203DC56A-8ED7-4534-A056-0B236C5C6591}"/>
    <cellStyle name="Normal 6 5 2 5 4" xfId="710" xr:uid="{C34126FA-4399-47C7-8B0A-461B43AD6BDB}"/>
    <cellStyle name="Normal 6 5 2 5 4 2" xfId="5195" xr:uid="{0791CEBC-A778-4592-9420-C3998909B355}"/>
    <cellStyle name="Normal 6 5 2 5 5" xfId="2394" xr:uid="{6FA008EC-80E8-4C96-9F04-95711FEF5D95}"/>
    <cellStyle name="Normal 6 5 2 5 5 2" xfId="7374" xr:uid="{401712B2-2795-44F5-B072-24F448ABC5C9}"/>
    <cellStyle name="Normal 6 5 2 5 6" xfId="4065" xr:uid="{A37E18C1-9EC5-468E-8CE5-EC1AB1DEDD9D}"/>
    <cellStyle name="Normal 6 5 2 6" xfId="774" xr:uid="{FE9ABF67-522D-4ABE-AE88-3193D118F425}"/>
    <cellStyle name="Normal 6 5 2 6 2" xfId="1253" xr:uid="{527CC983-FC0B-433F-8D88-B30FB91FEB83}"/>
    <cellStyle name="Normal 6 5 2 6 2 2" xfId="3727" xr:uid="{BA30E08D-5865-4FC1-B28F-B4653CD19239}"/>
    <cellStyle name="Normal 6 5 2 6 2 2 2" xfId="5598" xr:uid="{2ACC236C-0085-4C2E-B988-FA685D9CF61C}"/>
    <cellStyle name="Normal 6 5 2 6 2 3" xfId="2797" xr:uid="{D23A804A-B363-4391-BA55-BC584E722C44}"/>
    <cellStyle name="Normal 6 5 2 6 2 4" xfId="4468" xr:uid="{B1E09147-FE95-40C9-AA5D-AB1E1DAB21C4}"/>
    <cellStyle name="Normal 6 5 2 6 3" xfId="3324" xr:uid="{F24D5570-4D72-4AC2-AE7C-C6050E908A5A}"/>
    <cellStyle name="Normal 6 5 2 6 3 2" xfId="5250" xr:uid="{43BA0580-E63C-43C2-884E-A2DD104D63A7}"/>
    <cellStyle name="Normal 6 5 2 6 4" xfId="2449" xr:uid="{EE117415-F208-4206-A996-B401E76D7147}"/>
    <cellStyle name="Normal 6 5 2 6 4 2" xfId="7375" xr:uid="{DF9734D2-1AA4-4A64-A3BE-EE052B9EE6D5}"/>
    <cellStyle name="Normal 6 5 2 6 5" xfId="4120" xr:uid="{0ABCC91F-C2FB-42A7-8A30-FCD161781AC4}"/>
    <cellStyle name="Normal 6 5 2 7" xfId="838" xr:uid="{0AD58589-8DBA-43B4-B027-F2F3B296CFE5}"/>
    <cellStyle name="Normal 6 5 2 7 2" xfId="1317" xr:uid="{687A5214-C2E9-4526-94ED-6A673C6C7954}"/>
    <cellStyle name="Normal 6 5 2 7 2 2" xfId="3791" xr:uid="{113A291A-EC1B-4C28-B1EA-99090A6535EB}"/>
    <cellStyle name="Normal 6 5 2 7 2 2 2" xfId="5653" xr:uid="{8EDB3D58-5A9C-4A61-B1EC-499A1E46BEE3}"/>
    <cellStyle name="Normal 6 5 2 7 2 3" xfId="2852" xr:uid="{7DA67FE2-D6B9-4D69-A723-6E74B002B0CC}"/>
    <cellStyle name="Normal 6 5 2 7 2 4" xfId="4523" xr:uid="{AF7E3FC4-7873-44BC-A246-CC94E04ED3E8}"/>
    <cellStyle name="Normal 6 5 2 7 3" xfId="3379" xr:uid="{BB316C4C-B73A-45D9-B3CF-91B3F34C89B8}"/>
    <cellStyle name="Normal 6 5 2 7 3 2" xfId="5305" xr:uid="{B77D79D1-7D68-4406-8320-F6F057F786A9}"/>
    <cellStyle name="Normal 6 5 2 7 4" xfId="2504" xr:uid="{D706ACA1-4D67-4389-8710-ADF8C452F41F}"/>
    <cellStyle name="Normal 6 5 2 7 4 2" xfId="7376" xr:uid="{32848CF7-9155-4846-83FB-B71921302538}"/>
    <cellStyle name="Normal 6 5 2 7 5" xfId="4175" xr:uid="{67E2807B-B496-4A85-BF5B-0C93BD760682}"/>
    <cellStyle name="Normal 6 5 2 8" xfId="990" xr:uid="{12FD1696-936A-43F2-B120-3B4420C1F591}"/>
    <cellStyle name="Normal 6 5 2 8 2" xfId="3487" xr:uid="{6EBA38BC-80F7-44F0-85A1-8BE23F8EEBF9}"/>
    <cellStyle name="Normal 6 5 2 8 2 2" xfId="5376" xr:uid="{55F6D634-FB27-4019-A479-B56CC0BA4B6F}"/>
    <cellStyle name="Normal 6 5 2 8 3" xfId="2575" xr:uid="{18E1D0A0-066F-4E44-8C49-47314C9F65C7}"/>
    <cellStyle name="Normal 6 5 2 8 4" xfId="4246" xr:uid="{3CA636CC-59B0-48C6-8E0C-1A9B873C530F}"/>
    <cellStyle name="Normal 6 5 2 9" xfId="1470" xr:uid="{A9983FAE-C983-403D-91F4-CF4B776E8F9A}"/>
    <cellStyle name="Normal 6 5 2 9 2" xfId="3100" xr:uid="{594AB01C-96DF-436E-A94A-0568F34F504E}"/>
    <cellStyle name="Normal 6 5 2 9 2 2" xfId="5744" xr:uid="{982BB990-B164-4C74-96AD-10E0496E56A5}"/>
    <cellStyle name="Normal 6 5 2 9 3" xfId="4605" xr:uid="{09343F56-B935-4E80-9E26-EC5EFBE264AB}"/>
    <cellStyle name="Normal 6 5 3" xfId="148" xr:uid="{5290E02F-F5EE-45FF-ABB2-4BBE2C976378}"/>
    <cellStyle name="Normal 6 5 3 10" xfId="533" xr:uid="{53A2A934-01BA-4536-A050-CEF157A90DD3}"/>
    <cellStyle name="Normal 6 5 3 10 2" xfId="5045" xr:uid="{61F0FCD4-1416-4A64-A779-4FEB879DFCCD}"/>
    <cellStyle name="Normal 6 5 3 11" xfId="2176" xr:uid="{3FF28FE0-9FB2-4C6A-B440-C6039D538FB7}"/>
    <cellStyle name="Normal 6 5 3 11 2" xfId="7377" xr:uid="{ED5145D7-005B-4F39-AF2A-37927631D448}"/>
    <cellStyle name="Normal 6 5 3 12" xfId="2244" xr:uid="{15431DCF-E65D-4EED-B930-0B98880A5DDD}"/>
    <cellStyle name="Normal 6 5 3 13" xfId="3915" xr:uid="{6126834D-A18C-4E68-8E49-09707E9A4D5B}"/>
    <cellStyle name="Normal 6 5 3 2" xfId="259" xr:uid="{5198F916-DCDE-47F1-98BB-EE9CFAEA7B68}"/>
    <cellStyle name="Normal 6 5 3 2 2" xfId="1062" xr:uid="{44F2230D-138F-4307-9208-E2F1827646AC}"/>
    <cellStyle name="Normal 6 5 3 2 2 2" xfId="3550" xr:uid="{E28F4908-9FCB-45CC-9C74-CDE2B0CA2B58}"/>
    <cellStyle name="Normal 6 5 3 2 2 2 2" xfId="5435" xr:uid="{262C5E94-F4AB-4C07-9639-77389DC29BD3}"/>
    <cellStyle name="Normal 6 5 3 2 2 3" xfId="2634" xr:uid="{1FD650BB-1722-4827-B467-95B0C7CCD8FC}"/>
    <cellStyle name="Normal 6 5 3 2 2 4" xfId="4305" xr:uid="{2526B833-2907-4DCB-941D-244A70A08E79}"/>
    <cellStyle name="Normal 6 5 3 2 3" xfId="1573" xr:uid="{68152E8F-F6DF-42C9-9095-753AAD4BDE65}"/>
    <cellStyle name="Normal 6 5 3 2 3 2" xfId="3163" xr:uid="{42ED0541-9F47-4CCC-A6A3-15BECFC7F3C5}"/>
    <cellStyle name="Normal 6 5 3 2 3 2 2" xfId="5839" xr:uid="{B09B0073-EE2C-45DF-907C-F773A950E552}"/>
    <cellStyle name="Normal 6 5 3 2 3 3" xfId="4668" xr:uid="{0FB6CBDC-6110-411F-9F48-78186F42B926}"/>
    <cellStyle name="Normal 6 5 3 2 4" xfId="1875" xr:uid="{F6138F2B-5BBB-43D4-A4CB-791BC85EADBA}"/>
    <cellStyle name="Normal 6 5 3 2 4 2" xfId="4854" xr:uid="{FE5EB1E0-1802-44F4-8AA2-EBDD055796AD}"/>
    <cellStyle name="Normal 6 5 3 2 5" xfId="584" xr:uid="{DFA256BB-DFB5-43EF-AF66-5108B56DC33E}"/>
    <cellStyle name="Normal 6 5 3 2 5 2" xfId="5087" xr:uid="{3C12DA97-8AB2-446B-892B-3E41DF0A69AC}"/>
    <cellStyle name="Normal 6 5 3 2 6" xfId="2286" xr:uid="{A1C7EA88-638C-46E6-9A53-621D2E3B7D54}"/>
    <cellStyle name="Normal 6 5 3 2 6 2" xfId="7378" xr:uid="{22D3DFC9-6CC2-4A4A-B20D-978E98606AAB}"/>
    <cellStyle name="Normal 6 5 3 2 7" xfId="3957" xr:uid="{320411E8-41DA-4C5B-9825-190B62DB5BAF}"/>
    <cellStyle name="Normal 6 5 3 3" xfId="359" xr:uid="{C3D52942-5883-4620-B960-7AEDC5F47403}"/>
    <cellStyle name="Normal 6 5 3 3 2" xfId="1126" xr:uid="{C7059C01-DE4E-4FA5-96B6-CB393F76B1DF}"/>
    <cellStyle name="Normal 6 5 3 3 2 2" xfId="3605" xr:uid="{E38E4FBC-EC21-4B2E-A69D-37BDE6477C44}"/>
    <cellStyle name="Normal 6 5 3 3 2 2 2" xfId="5490" xr:uid="{E0B12F78-15E1-4279-AF4B-4F8599228CD3}"/>
    <cellStyle name="Normal 6 5 3 3 2 3" xfId="2689" xr:uid="{1C984FB8-EAB1-4EDF-BA07-BE5C7F0BAAA2}"/>
    <cellStyle name="Normal 6 5 3 3 2 4" xfId="4360" xr:uid="{599E60CD-AF86-4580-BD8C-80211CB7C404}"/>
    <cellStyle name="Normal 6 5 3 3 3" xfId="1672" xr:uid="{30CE6F9A-048B-4713-913B-29A79AB7D170}"/>
    <cellStyle name="Normal 6 5 3 3 3 2" xfId="3216" xr:uid="{C20880D1-031C-4571-A3C8-770870777C8E}"/>
    <cellStyle name="Normal 6 5 3 3 3 2 2" xfId="5916" xr:uid="{626ACB4E-1C6B-4C7E-B1F9-D9D7F1BBD81A}"/>
    <cellStyle name="Normal 6 5 3 3 3 3" xfId="4729" xr:uid="{2B5355FC-6BC2-4B39-A6C8-285160CEA9B4}"/>
    <cellStyle name="Normal 6 5 3 3 4" xfId="1974" xr:uid="{76E65D83-BD08-498C-92DB-27C79A4C7FC6}"/>
    <cellStyle name="Normal 6 5 3 3 4 2" xfId="4915" xr:uid="{18A99683-B4C8-4A02-B9DA-953EA8039EF3}"/>
    <cellStyle name="Normal 6 5 3 3 5" xfId="648" xr:uid="{8EC7DA95-33A1-4E51-BCED-0742F178C8F5}"/>
    <cellStyle name="Normal 6 5 3 3 5 2" xfId="5142" xr:uid="{9C7A845F-E681-41B0-B05B-177A826871C7}"/>
    <cellStyle name="Normal 6 5 3 3 6" xfId="2341" xr:uid="{5915FE0B-4682-45DA-8FDF-ABD4DA112004}"/>
    <cellStyle name="Normal 6 5 3 3 6 2" xfId="7379" xr:uid="{E118EE56-4B35-4903-94F4-7BD3FA76AC27}"/>
    <cellStyle name="Normal 6 5 3 3 7" xfId="4012" xr:uid="{EC6E9B4E-68A9-4F43-9243-6A5B49D54ABB}"/>
    <cellStyle name="Normal 6 5 3 4" xfId="459" xr:uid="{09B2287D-CEFC-4F3D-9F0F-4C90AFF75C19}"/>
    <cellStyle name="Normal 6 5 3 4 2" xfId="1190" xr:uid="{942CD7C8-0EAF-4885-8F55-E29E6F4B8DEA}"/>
    <cellStyle name="Normal 6 5 3 4 2 2" xfId="3666" xr:uid="{D839587C-F82E-4F0F-98BE-23B967F98639}"/>
    <cellStyle name="Normal 6 5 3 4 2 2 2" xfId="5545" xr:uid="{7C5C6C9C-70AE-4AB8-B24E-9B31CA3296C6}"/>
    <cellStyle name="Normal 6 5 3 4 2 3" xfId="2744" xr:uid="{CA7D1D45-EC0C-4F76-854C-32E1197C84A4}"/>
    <cellStyle name="Normal 6 5 3 4 2 4" xfId="4415" xr:uid="{BCB188BC-6A25-41D7-BB4A-1641B40B5DDC}"/>
    <cellStyle name="Normal 6 5 3 4 3" xfId="2074" xr:uid="{3CFD12A2-6F8E-48DF-A71C-C66DFC68A8ED}"/>
    <cellStyle name="Normal 6 5 3 4 3 2" xfId="3271" xr:uid="{F79D3B08-1FF2-4E73-B48A-1FDA5157B3A2}"/>
    <cellStyle name="Normal 6 5 3 4 3 3" xfId="4977" xr:uid="{5C8A7171-9985-49AD-ADFA-4D0EDB682E69}"/>
    <cellStyle name="Normal 6 5 3 4 4" xfId="712" xr:uid="{911C1655-A94B-4132-9C40-F46B417947ED}"/>
    <cellStyle name="Normal 6 5 3 4 4 2" xfId="5197" xr:uid="{EA56249D-5FCC-4D52-9993-C6B5568DD192}"/>
    <cellStyle name="Normal 6 5 3 4 5" xfId="2396" xr:uid="{95CCA13B-E64D-4ACB-9BD3-80C7036A93B2}"/>
    <cellStyle name="Normal 6 5 3 4 5 2" xfId="7380" xr:uid="{C21B264F-DFEE-4E6D-8D31-119A96CCB4F7}"/>
    <cellStyle name="Normal 6 5 3 4 6" xfId="4067" xr:uid="{11F452E5-77D3-4B12-9EA2-54ED0AE8D685}"/>
    <cellStyle name="Normal 6 5 3 5" xfId="776" xr:uid="{9CB25CE6-28EC-40DF-A6B9-98C2968CE250}"/>
    <cellStyle name="Normal 6 5 3 5 2" xfId="1255" xr:uid="{3CCB6991-1FA8-4386-9BD9-E3EE0CF5DAFF}"/>
    <cellStyle name="Normal 6 5 3 5 2 2" xfId="3729" xr:uid="{AE17E5F3-6D02-415C-8B3E-7D6D9B96B788}"/>
    <cellStyle name="Normal 6 5 3 5 2 2 2" xfId="5600" xr:uid="{9F77BA8D-4819-4C71-8DDD-FF9696F4DC70}"/>
    <cellStyle name="Normal 6 5 3 5 2 3" xfId="2799" xr:uid="{EC3E99B4-9B40-4016-B8C4-2940373C1FFC}"/>
    <cellStyle name="Normal 6 5 3 5 2 4" xfId="4470" xr:uid="{275BB407-A00E-4F07-928C-396C020B7E42}"/>
    <cellStyle name="Normal 6 5 3 5 3" xfId="3326" xr:uid="{74A0D351-F23F-4849-BB4B-8DDEB82FFBE5}"/>
    <cellStyle name="Normal 6 5 3 5 3 2" xfId="5252" xr:uid="{79952127-8018-4D54-9008-E28ACD3D2A67}"/>
    <cellStyle name="Normal 6 5 3 5 4" xfId="2451" xr:uid="{3AF5376F-2A7B-474F-9835-A25B2C2C9BF7}"/>
    <cellStyle name="Normal 6 5 3 5 4 2" xfId="7381" xr:uid="{6EEE1FAB-1986-4D7C-9789-5ED0C047D1F0}"/>
    <cellStyle name="Normal 6 5 3 5 5" xfId="4122" xr:uid="{CE5C304D-D926-428C-AAA5-62D6D5EAA67B}"/>
    <cellStyle name="Normal 6 5 3 6" xfId="840" xr:uid="{1EF35933-F737-4E0E-AA76-26A537ED307F}"/>
    <cellStyle name="Normal 6 5 3 6 2" xfId="1319" xr:uid="{3E3910AC-4801-4036-B63C-94E5C287A125}"/>
    <cellStyle name="Normal 6 5 3 6 2 2" xfId="3793" xr:uid="{4B68347B-2B2F-4A2B-B9D8-4D79F89E7395}"/>
    <cellStyle name="Normal 6 5 3 6 2 2 2" xfId="5655" xr:uid="{5D3A610D-8394-41E0-955D-2CA90CE71F27}"/>
    <cellStyle name="Normal 6 5 3 6 2 3" xfId="2854" xr:uid="{86845783-FECF-4826-8F6C-371E73F4CE92}"/>
    <cellStyle name="Normal 6 5 3 6 2 4" xfId="4525" xr:uid="{FB8E430E-2E11-4439-B00C-319D17E05F94}"/>
    <cellStyle name="Normal 6 5 3 6 3" xfId="3381" xr:uid="{5D52B9DA-A2D5-42EE-B2DD-1FA439F781FD}"/>
    <cellStyle name="Normal 6 5 3 6 3 2" xfId="5307" xr:uid="{354928CC-C0A9-4485-A271-84A22E4FE878}"/>
    <cellStyle name="Normal 6 5 3 6 4" xfId="2506" xr:uid="{B3719990-FC52-4F27-B178-DF74DCC343A4}"/>
    <cellStyle name="Normal 6 5 3 6 4 2" xfId="7382" xr:uid="{9E4BFED1-ADBD-4A97-A33F-17AF0EBC69A0}"/>
    <cellStyle name="Normal 6 5 3 6 5" xfId="4177" xr:uid="{F815079D-C295-4E81-A527-2C958A1A386D}"/>
    <cellStyle name="Normal 6 5 3 7" xfId="1011" xr:uid="{49035D7D-62CB-4FAC-9D5B-F104A9CD8AA1}"/>
    <cellStyle name="Normal 6 5 3 7 2" xfId="3508" xr:uid="{D614B33D-3F4E-4ECC-8294-07440F3D6205}"/>
    <cellStyle name="Normal 6 5 3 7 2 2" xfId="5393" xr:uid="{D6C2ED52-8D83-4919-80EF-DFDCB534D370}"/>
    <cellStyle name="Normal 6 5 3 7 3" xfId="2592" xr:uid="{54F040AE-029E-4BC3-AACA-8BC940519C35}"/>
    <cellStyle name="Normal 6 5 3 7 4" xfId="4263" xr:uid="{DC53A205-2847-47DD-802B-119EF69E9B17}"/>
    <cellStyle name="Normal 6 5 3 8" xfId="1472" xr:uid="{398BE130-D07D-4924-8A19-0CCBDBD5C12E}"/>
    <cellStyle name="Normal 6 5 3 8 2" xfId="3101" xr:uid="{BB3E62E6-5C36-4ED1-941C-03D9CBD65A3B}"/>
    <cellStyle name="Normal 6 5 3 8 2 2" xfId="5746" xr:uid="{B5B8C994-457D-4A92-89F6-F650BBDE429A}"/>
    <cellStyle name="Normal 6 5 3 8 3" xfId="4607" xr:uid="{30BAE0CC-8B42-485A-9B77-A342A6104627}"/>
    <cellStyle name="Normal 6 5 3 9" xfId="1775" xr:uid="{17C97204-AC28-4D64-ABCB-B70C03F39063}"/>
    <cellStyle name="Normal 6 5 3 9 2" xfId="4793" xr:uid="{B8DE16AB-C22B-4F4D-A5FE-AE551CBCF703}"/>
    <cellStyle name="Normal 6 5 4" xfId="256" xr:uid="{920C0DB1-4335-4041-A828-01E3183ECF34}"/>
    <cellStyle name="Normal 6 5 4 2" xfId="1059" xr:uid="{CE5D6268-9415-4285-B955-8BB165189847}"/>
    <cellStyle name="Normal 6 5 4 2 2" xfId="3547" xr:uid="{B1EA9477-48F8-4754-88F9-1AE53DFFC6D4}"/>
    <cellStyle name="Normal 6 5 4 2 2 2" xfId="5432" xr:uid="{4608AC82-7CA1-4407-B568-D8A22791806E}"/>
    <cellStyle name="Normal 6 5 4 2 3" xfId="2631" xr:uid="{78BCC401-AF7C-4EBF-BBFF-61D6134B570D}"/>
    <cellStyle name="Normal 6 5 4 2 4" xfId="4302" xr:uid="{FD47F99F-66A5-4FA9-A630-F6A3DE497304}"/>
    <cellStyle name="Normal 6 5 4 3" xfId="1570" xr:uid="{3C3D29D1-86A1-4DEA-8967-4DB03B7C232C}"/>
    <cellStyle name="Normal 6 5 4 3 2" xfId="3137" xr:uid="{AB08B96B-A9B7-4D6A-A961-D73A3D7429A0}"/>
    <cellStyle name="Normal 6 5 4 3 2 2" xfId="5836" xr:uid="{9262E18C-6199-4A57-9875-73D4C269A4AA}"/>
    <cellStyle name="Normal 6 5 4 3 3" xfId="4665" xr:uid="{6A2A8BCE-C614-456C-B760-B0EE7AF17BED}"/>
    <cellStyle name="Normal 6 5 4 4" xfId="1872" xr:uid="{3482FE09-9786-40C0-8ADE-AD7AAF742303}"/>
    <cellStyle name="Normal 6 5 4 4 2" xfId="4851" xr:uid="{C2F19834-43C9-4EC6-A366-A99ED6E8FF88}"/>
    <cellStyle name="Normal 6 5 4 5" xfId="581" xr:uid="{25A1B7A3-6959-458A-BFA8-1B6D66B203CD}"/>
    <cellStyle name="Normal 6 5 4 5 2" xfId="5084" xr:uid="{46F80065-E02F-492D-A086-B47F05851526}"/>
    <cellStyle name="Normal 6 5 4 6" xfId="2283" xr:uid="{0264FE03-48B5-4159-BB56-286ED7CC1605}"/>
    <cellStyle name="Normal 6 5 4 6 2" xfId="7383" xr:uid="{FE5A9303-33EC-49DB-A8C4-2D957A70C624}"/>
    <cellStyle name="Normal 6 5 4 7" xfId="3954" xr:uid="{4CB8A70F-274C-4BDA-B5CE-DD56325C64BC}"/>
    <cellStyle name="Normal 6 5 5" xfId="356" xr:uid="{F0DB526D-89F2-4673-97B0-CE8E857E8CAC}"/>
    <cellStyle name="Normal 6 5 5 2" xfId="1123" xr:uid="{58FDBC63-906B-4E05-880B-823F0B8D2AE5}"/>
    <cellStyle name="Normal 6 5 5 2 2" xfId="3602" xr:uid="{4F73CC21-3CD3-447E-B22F-78FC139407D5}"/>
    <cellStyle name="Normal 6 5 5 2 2 2" xfId="5487" xr:uid="{490C3CDF-0CFF-4BE8-B6C3-A575E5CF8242}"/>
    <cellStyle name="Normal 6 5 5 2 3" xfId="2686" xr:uid="{261311F8-7580-4C5A-8CBC-F501B3A4A9AE}"/>
    <cellStyle name="Normal 6 5 5 2 4" xfId="4357" xr:uid="{0DF5BA6A-8949-4552-AA16-A36AF114CB67}"/>
    <cellStyle name="Normal 6 5 5 3" xfId="1669" xr:uid="{81E16FDB-133E-4DB7-B075-C7DF085374D9}"/>
    <cellStyle name="Normal 6 5 5 3 2" xfId="3213" xr:uid="{06EFD9B5-0194-4A8B-8DE8-DC70E140972B}"/>
    <cellStyle name="Normal 6 5 5 3 2 2" xfId="5913" xr:uid="{AEF542F6-6399-4F40-9D63-824D4013A481}"/>
    <cellStyle name="Normal 6 5 5 3 3" xfId="4726" xr:uid="{BCC39D7B-B6A6-4C97-B5DC-8DF3FF09D11C}"/>
    <cellStyle name="Normal 6 5 5 4" xfId="1971" xr:uid="{22330D67-8C90-43B1-947A-8CBF74334773}"/>
    <cellStyle name="Normal 6 5 5 4 2" xfId="4912" xr:uid="{96B74914-1FA2-4F90-BDB4-A6E2867FF170}"/>
    <cellStyle name="Normal 6 5 5 5" xfId="645" xr:uid="{C16D20EF-4BCF-4982-9232-AF32B0CB3B6B}"/>
    <cellStyle name="Normal 6 5 5 5 2" xfId="5139" xr:uid="{436F77E5-1C3A-4A74-8599-DF9A49916D90}"/>
    <cellStyle name="Normal 6 5 5 6" xfId="2338" xr:uid="{439A1297-3205-4F00-829F-D378135B2E10}"/>
    <cellStyle name="Normal 6 5 5 6 2" xfId="7384" xr:uid="{DA657199-DCA6-4458-8AC1-D18284E93BCE}"/>
    <cellStyle name="Normal 6 5 5 7" xfId="4009" xr:uid="{AF67D8AC-25CC-4F0A-801E-82752D7776A1}"/>
    <cellStyle name="Normal 6 5 6" xfId="456" xr:uid="{8DE4DC0B-9074-475E-9CD0-8DF3F15EE266}"/>
    <cellStyle name="Normal 6 5 6 2" xfId="1187" xr:uid="{B59B4D23-93F5-4353-824C-B802E8E738AD}"/>
    <cellStyle name="Normal 6 5 6 2 2" xfId="3663" xr:uid="{42318797-A879-47CD-91D4-7D915657DA09}"/>
    <cellStyle name="Normal 6 5 6 2 2 2" xfId="5542" xr:uid="{21788241-D22E-406D-BCB9-5E2ACF3C7660}"/>
    <cellStyle name="Normal 6 5 6 2 3" xfId="2741" xr:uid="{F5DBAF70-6085-4A96-B441-976DAEB88976}"/>
    <cellStyle name="Normal 6 5 6 2 4" xfId="4412" xr:uid="{7C4B13D4-A7B9-4FDC-926C-DC5D09C7910B}"/>
    <cellStyle name="Normal 6 5 6 3" xfId="2071" xr:uid="{B03F948E-40A1-481F-8DDA-55C08F4D4FE5}"/>
    <cellStyle name="Normal 6 5 6 3 2" xfId="3268" xr:uid="{EB782710-A621-41E3-B7AC-B9642F2CC72F}"/>
    <cellStyle name="Normal 6 5 6 3 3" xfId="4974" xr:uid="{F0741C80-0C23-4D6B-83E1-39A713BBA650}"/>
    <cellStyle name="Normal 6 5 6 4" xfId="709" xr:uid="{73805645-47AA-4C74-903F-2A21CF79C0F6}"/>
    <cellStyle name="Normal 6 5 6 4 2" xfId="5194" xr:uid="{CE373082-225A-4CA3-8748-151CC6D8F986}"/>
    <cellStyle name="Normal 6 5 6 5" xfId="2393" xr:uid="{3A8BC916-550C-490E-9AE3-481289C27368}"/>
    <cellStyle name="Normal 6 5 6 5 2" xfId="7385" xr:uid="{6BEE399E-EB75-4350-B4B1-7BEBF43D43B1}"/>
    <cellStyle name="Normal 6 5 6 6" xfId="4064" xr:uid="{459D4196-E8BA-4153-8826-8165813C4485}"/>
    <cellStyle name="Normal 6 5 7" xfId="773" xr:uid="{21BFE333-F239-432D-90E0-E8D4ED826BF0}"/>
    <cellStyle name="Normal 6 5 7 2" xfId="1252" xr:uid="{3381B47E-AAA3-47AA-9CCD-32FAB0446092}"/>
    <cellStyle name="Normal 6 5 7 2 2" xfId="3726" xr:uid="{64CFEF4A-EBA7-426B-B2B1-9B2553C6A91E}"/>
    <cellStyle name="Normal 6 5 7 2 2 2" xfId="5597" xr:uid="{2D934915-D97D-428D-9D78-A812648A5475}"/>
    <cellStyle name="Normal 6 5 7 2 3" xfId="2796" xr:uid="{0D0FD2EE-0974-41AE-8FC8-A243AE89FEEF}"/>
    <cellStyle name="Normal 6 5 7 2 4" xfId="4467" xr:uid="{EE020E99-D99F-4DE6-871A-DF59288178F6}"/>
    <cellStyle name="Normal 6 5 7 3" xfId="3323" xr:uid="{B01A4470-D6E7-4713-8A73-C3EA172E7BF3}"/>
    <cellStyle name="Normal 6 5 7 3 2" xfId="5249" xr:uid="{00564D78-75BC-4433-BB56-AD7B23267F40}"/>
    <cellStyle name="Normal 6 5 7 4" xfId="2448" xr:uid="{0198D562-ED9D-4DE3-B67A-B6B38D1EA06B}"/>
    <cellStyle name="Normal 6 5 7 4 2" xfId="7386" xr:uid="{BC749BC5-7400-4512-8BDB-DA1D9F3253D7}"/>
    <cellStyle name="Normal 6 5 7 5" xfId="4119" xr:uid="{DCBDC436-3F98-4E55-BEDF-FC33666AE4C7}"/>
    <cellStyle name="Normal 6 5 8" xfId="837" xr:uid="{5682BB30-DC3E-4057-A736-1F1EEB074C69}"/>
    <cellStyle name="Normal 6 5 8 2" xfId="1316" xr:uid="{7BD58F2D-A859-4E1A-9700-ADBA36D6228D}"/>
    <cellStyle name="Normal 6 5 8 2 2" xfId="3790" xr:uid="{3247F9A9-761E-41D3-8BC1-6909CCC0C882}"/>
    <cellStyle name="Normal 6 5 8 2 2 2" xfId="5652" xr:uid="{C938EAF4-2A27-4385-B540-A8AA8AB8F998}"/>
    <cellStyle name="Normal 6 5 8 2 3" xfId="2851" xr:uid="{C087DB76-2FE8-4CA2-8646-DAB0508FE1D5}"/>
    <cellStyle name="Normal 6 5 8 2 4" xfId="4522" xr:uid="{65534096-ACF8-4731-B5E0-7CEA277BF2D9}"/>
    <cellStyle name="Normal 6 5 8 3" xfId="3378" xr:uid="{58797C16-F192-4DCA-8286-5EA575825A8C}"/>
    <cellStyle name="Normal 6 5 8 3 2" xfId="5304" xr:uid="{51B58501-61F5-48A1-AE70-CCAAFF732766}"/>
    <cellStyle name="Normal 6 5 8 4" xfId="2503" xr:uid="{B8CBAA11-7B73-4C8F-9028-3E799EE0C10D}"/>
    <cellStyle name="Normal 6 5 8 4 2" xfId="7387" xr:uid="{32579CB2-B7AB-456F-AD27-D8FE58085584}"/>
    <cellStyle name="Normal 6 5 8 5" xfId="4174" xr:uid="{C75638BC-B5F6-4EA6-9F28-0CF17828070E}"/>
    <cellStyle name="Normal 6 5 9" xfId="975" xr:uid="{DAB91AB6-053A-4B24-977F-1CC75E471392}"/>
    <cellStyle name="Normal 6 5 9 2" xfId="3472" xr:uid="{311EDF75-F099-4D60-BE4E-8334A36166B5}"/>
    <cellStyle name="Normal 6 5 9 2 2" xfId="5364" xr:uid="{EA2F85AB-442C-43A0-A215-B626A456E8E6}"/>
    <cellStyle name="Normal 6 5 9 3" xfId="2563" xr:uid="{EB4C5043-DEC6-4A7C-9DFC-9CEDBBF35F42}"/>
    <cellStyle name="Normal 6 5 9 4" xfId="4234" xr:uid="{B6ABB36E-4F96-42B0-B4D5-C6739C930DBC}"/>
    <cellStyle name="Normal 6 6" xfId="135" xr:uid="{8CD504DE-7E40-41CC-80E5-A1BAE4455827}"/>
    <cellStyle name="Normal 6 6 2" xfId="3857" xr:uid="{0DCAF7E8-395D-495E-BFE2-9D44276548E9}"/>
    <cellStyle name="Normal 6 6 2 2" xfId="5957" xr:uid="{0D638C3E-FF13-4473-A45D-FD6A3A9E0EE8}"/>
    <cellStyle name="Normal 6 6 3" xfId="3090" xr:uid="{7F3B4C01-ED54-4EB8-A40B-1250C213A637}"/>
    <cellStyle name="Normal 6 6 4" xfId="2911" xr:uid="{8DD3B7DB-EBF5-4C29-9F27-7C41ABA14437}"/>
    <cellStyle name="Normal 6 7" xfId="2913" xr:uid="{CE795A70-3724-4028-BDD7-9D7EA079065B}"/>
    <cellStyle name="Normal 6 7 2" xfId="3859" xr:uid="{93051455-8AD7-428B-A329-83951F0974E6}"/>
    <cellStyle name="Normal 6 7 3" xfId="5959" xr:uid="{78D1F2CA-DD97-4329-9398-00462C281CE2}"/>
    <cellStyle name="Normal 6 8" xfId="2915" xr:uid="{A12B9799-685C-4DE9-91FE-ECD49573DF2A}"/>
    <cellStyle name="Normal 6 8 2" xfId="3861" xr:uid="{02A39787-2C5F-449F-858B-FA2B5ADC13D7}"/>
    <cellStyle name="Normal 6 8 3" xfId="5961" xr:uid="{C16A16B4-1CEE-4D6F-B8D2-E871B3908F4C}"/>
    <cellStyle name="Normal 6 9" xfId="2917" xr:uid="{78017926-0B55-47F5-A107-7A203631DD15}"/>
    <cellStyle name="Normal 6 9 2" xfId="3863" xr:uid="{60292BA7-0661-417F-91E3-1EFB0DC895DC}"/>
    <cellStyle name="Normal 6 9 3" xfId="5963" xr:uid="{D1D957A1-CDBE-4A91-B392-9FB7F984F806}"/>
    <cellStyle name="Normal 7" xfId="21" xr:uid="{A76A151B-8898-4DBD-BAEC-91BD694D5D72}"/>
    <cellStyle name="Normal 7 10" xfId="460" xr:uid="{C93CFD80-B988-44E9-9178-E8EDEBDB5684}"/>
    <cellStyle name="Normal 7 10 2" xfId="1256" xr:uid="{EFC1E4B5-AF8C-4767-93F2-F258D8EB37D9}"/>
    <cellStyle name="Normal 7 10 2 2" xfId="3730" xr:uid="{8454F414-F1CB-452F-9A6D-E7B1E8A82A64}"/>
    <cellStyle name="Normal 7 10 2 2 2" xfId="5601" xr:uid="{1DAD3DFA-81E0-4668-9E0B-028DD31908BB}"/>
    <cellStyle name="Normal 7 10 2 3" xfId="2800" xr:uid="{C3188BE3-7836-4E6F-845C-F8DCFAE804FD}"/>
    <cellStyle name="Normal 7 10 2 4" xfId="4471" xr:uid="{D00BC231-219C-49A0-B72E-BFD70D159083}"/>
    <cellStyle name="Normal 7 10 3" xfId="2075" xr:uid="{8544CE0D-256C-4A96-8AB4-6A27243A7AF3}"/>
    <cellStyle name="Normal 7 10 3 2" xfId="3868" xr:uid="{B4261D4C-476F-428B-BB7F-92AF879024EA}"/>
    <cellStyle name="Normal 7 10 3 3" xfId="2922" xr:uid="{FB5FE3D2-92FF-45C9-9A16-891D23E579E4}"/>
    <cellStyle name="Normal 7 10 3 4" xfId="4978" xr:uid="{A05F87EF-0A7F-417B-A9A5-2B1B63F8C065}"/>
    <cellStyle name="Normal 7 10 4" xfId="777" xr:uid="{102C4952-3ADC-449A-9FD2-22942263C0A5}"/>
    <cellStyle name="Normal 7 10 4 2" xfId="3327" xr:uid="{CC43D2F1-B8CE-4D62-8CCB-BB69A097A64F}"/>
    <cellStyle name="Normal 7 10 4 3" xfId="5253" xr:uid="{3515F8B7-BE6E-4570-A711-3C8DA00E2D6C}"/>
    <cellStyle name="Normal 7 10 5" xfId="2452" xr:uid="{7B50DDD9-24DE-4837-9646-8A4E0CFCDD81}"/>
    <cellStyle name="Normal 7 10 5 2" xfId="5968" xr:uid="{FF36BEE2-93FD-48AF-8143-99B6420050FA}"/>
    <cellStyle name="Normal 7 10 6" xfId="7389" xr:uid="{7E40EC15-F640-4538-BFE0-A50621881AD5}"/>
    <cellStyle name="Normal 7 10 7" xfId="4123" xr:uid="{506BBB29-5BC1-4DDA-8E11-52D5A161A24E}"/>
    <cellStyle name="Normal 7 11" xfId="841" xr:uid="{A4395EE9-8BFC-41D6-9499-726964C34BAC}"/>
    <cellStyle name="Normal 7 11 2" xfId="1320" xr:uid="{481D5105-B905-45AF-874F-89280D992E16}"/>
    <cellStyle name="Normal 7 11 2 2" xfId="3794" xr:uid="{4C59D506-F27D-4B06-831B-BB07F3830E64}"/>
    <cellStyle name="Normal 7 11 2 2 2" xfId="5656" xr:uid="{3E56BDB3-02DF-48CD-A995-2949E381B593}"/>
    <cellStyle name="Normal 7 11 2 3" xfId="2855" xr:uid="{06373CE6-D74E-4490-89B2-C3D6EACAD218}"/>
    <cellStyle name="Normal 7 11 2 4" xfId="4526" xr:uid="{16E871B1-C8E1-4C03-ACC9-4FF8CCC59DC4}"/>
    <cellStyle name="Normal 7 11 3" xfId="2924" xr:uid="{482DAA17-BC11-4F03-AF79-D5AE08380D1F}"/>
    <cellStyle name="Normal 7 11 3 2" xfId="3870" xr:uid="{9855F40F-77B1-4AC4-9046-8B09FEDEC1A8}"/>
    <cellStyle name="Normal 7 11 3 3" xfId="5308" xr:uid="{07FE0AF4-EACE-48B6-89FD-394B40EC230F}"/>
    <cellStyle name="Normal 7 11 4" xfId="3382" xr:uid="{57F4DDE8-A5CB-4F16-AECD-D5CCFFEFE80C}"/>
    <cellStyle name="Normal 7 11 4 2" xfId="5970" xr:uid="{29EF7942-032F-473B-9DA1-735DFD552B13}"/>
    <cellStyle name="Normal 7 11 5" xfId="2507" xr:uid="{DD0546CB-3D03-4DE2-B71B-9445A7A3D592}"/>
    <cellStyle name="Normal 7 11 5 2" xfId="7390" xr:uid="{66EA90D1-3D74-46EE-BAAA-ECDC41D57365}"/>
    <cellStyle name="Normal 7 11 6" xfId="4178" xr:uid="{63D3AE70-D0FC-413E-9ACF-4935D25F9519}"/>
    <cellStyle name="Normal 7 12" xfId="884" xr:uid="{7833C9B9-9128-42BE-ADC3-D296F1DD155B}"/>
    <cellStyle name="Normal 7 12 2" xfId="1362" xr:uid="{3AA7DFAD-8826-4247-B4AE-A7DF37E20F09}"/>
    <cellStyle name="Normal 7 12 2 2" xfId="3830" xr:uid="{BB622D7F-A957-410C-B235-61D373BAA0A9}"/>
    <cellStyle name="Normal 7 12 2 2 2" xfId="5686" xr:uid="{AB3AEBB9-7E0E-4CE2-B5F3-931104402C42}"/>
    <cellStyle name="Normal 7 12 2 3" xfId="2885" xr:uid="{B1F61BF8-E4D1-4D1D-B9AA-62D171C94CD6}"/>
    <cellStyle name="Normal 7 12 2 4" xfId="4556" xr:uid="{38F7AAD3-5F05-49CC-B614-9FA61F2BE6DE}"/>
    <cellStyle name="Normal 7 12 3" xfId="2926" xr:uid="{B7819419-DA53-44A6-BB1E-B0B12170549F}"/>
    <cellStyle name="Normal 7 12 3 2" xfId="3872" xr:uid="{66080176-7563-4CE8-9EE0-1BB61A112649}"/>
    <cellStyle name="Normal 7 12 3 3" xfId="5338" xr:uid="{34F0697A-38B0-4508-83C3-CB174249E836}"/>
    <cellStyle name="Normal 7 12 4" xfId="3410" xr:uid="{3D83CE95-C530-4D37-8A51-213FF7C8E22A}"/>
    <cellStyle name="Normal 7 12 4 2" xfId="5972" xr:uid="{45ED1938-FC5E-4805-8EA4-9AB81EBA7D29}"/>
    <cellStyle name="Normal 7 12 5" xfId="2537" xr:uid="{AED7EE6B-AB64-4714-8447-68C58AF26194}"/>
    <cellStyle name="Normal 7 12 5 2" xfId="7391" xr:uid="{3014BD74-9DA1-4B27-A3F0-EC60EB392BDA}"/>
    <cellStyle name="Normal 7 12 6" xfId="4208" xr:uid="{DF0B8C42-2F99-409B-94D7-28314FDC96A3}"/>
    <cellStyle name="Normal 7 13" xfId="930" xr:uid="{EBCD9AEB-BB11-4666-A7F8-31BB025B83FF}"/>
    <cellStyle name="Normal 7 13 2" xfId="1366" xr:uid="{82BE2306-5F96-4B6B-9D15-CC83B77E5CBA}"/>
    <cellStyle name="Normal 7 13 2 2" xfId="3833" xr:uid="{E5FC298E-9422-4E3C-ABBF-5CDD8574C6DF}"/>
    <cellStyle name="Normal 7 13 2 2 2" xfId="5689" xr:uid="{E960646A-0288-4B7E-887C-767AD0B04CE5}"/>
    <cellStyle name="Normal 7 13 2 3" xfId="2888" xr:uid="{F7DDB455-5A8B-475F-8DFB-15A82059A68D}"/>
    <cellStyle name="Normal 7 13 2 4" xfId="4559" xr:uid="{698BE220-BAE4-418D-AFFF-CCD762D15540}"/>
    <cellStyle name="Normal 7 13 3" xfId="2928" xr:uid="{7F309F3B-D8AE-4EED-84F6-B30469DCB1E0}"/>
    <cellStyle name="Normal 7 13 3 2" xfId="3874" xr:uid="{64AE726E-D091-4459-A9B6-74493DBD0273}"/>
    <cellStyle name="Normal 7 13 3 3" xfId="5341" xr:uid="{B5E6843F-0C15-40F4-9DE9-8257AC8851C5}"/>
    <cellStyle name="Normal 7 13 4" xfId="3443" xr:uid="{5FE145EE-3D31-44B3-B4B5-25C9FAE45AD9}"/>
    <cellStyle name="Normal 7 13 4 2" xfId="5974" xr:uid="{AF86F5CA-FEF2-4649-BD8E-0CBECC64BC37}"/>
    <cellStyle name="Normal 7 13 5" xfId="2540" xr:uid="{ED11B848-CA80-4C04-9742-0830F10B2081}"/>
    <cellStyle name="Normal 7 13 5 2" xfId="7392" xr:uid="{C7409747-38B2-4EA1-A3B5-FB8CEE956E86}"/>
    <cellStyle name="Normal 7 13 6" xfId="4211" xr:uid="{729B0D13-FBDF-43A7-8E7D-1E91013FD165}"/>
    <cellStyle name="Normal 7 14" xfId="956" xr:uid="{B14711B4-999D-418F-856B-F3C643A18244}"/>
    <cellStyle name="Normal 7 14 2" xfId="1376" xr:uid="{D2562D91-A654-4CC6-8E1E-B0595D2FEE73}"/>
    <cellStyle name="Normal 7 14 2 2" xfId="3841" xr:uid="{F739AD6A-9760-454A-8329-1A2F1BE30F99}"/>
    <cellStyle name="Normal 7 14 2 2 2" xfId="5696" xr:uid="{B6CEE15F-DE5F-4BD4-8EC1-40E8434951E4}"/>
    <cellStyle name="Normal 7 14 2 3" xfId="2895" xr:uid="{FAD54852-AD98-403E-AAD6-BAEB23477A85}"/>
    <cellStyle name="Normal 7 14 2 4" xfId="4566" xr:uid="{F1D2BE8A-A172-4116-B847-14792BE2845D}"/>
    <cellStyle name="Normal 7 14 3" xfId="2930" xr:uid="{9D90222F-AC25-4BD6-B278-F1FBE0414493}"/>
    <cellStyle name="Normal 7 14 3 2" xfId="3876" xr:uid="{6CD9C24A-E7CA-4F39-B9C4-85B3E2D8ADF4}"/>
    <cellStyle name="Normal 7 14 3 3" xfId="5348" xr:uid="{C694CFC1-CB21-4E49-BC22-D0FD07380E0E}"/>
    <cellStyle name="Normal 7 14 4" xfId="3455" xr:uid="{AD5747A0-9369-4428-9C3F-A735E6BBE898}"/>
    <cellStyle name="Normal 7 14 4 2" xfId="5976" xr:uid="{1838EC96-320F-4DDC-8900-9445DD4542DF}"/>
    <cellStyle name="Normal 7 14 5" xfId="2547" xr:uid="{C60BBE5B-7612-45FC-98B9-6B31DBE73A8F}"/>
    <cellStyle name="Normal 7 14 5 2" xfId="7393" xr:uid="{35009A71-10AE-4973-A879-231EBD1574E4}"/>
    <cellStyle name="Normal 7 14 6" xfId="4218" xr:uid="{84CD6EC1-7A1C-40D2-81B9-EE79357C3D4D}"/>
    <cellStyle name="Normal 7 15" xfId="966" xr:uid="{3DB67E1F-437B-4D8F-A6EF-2AFCF1CB3E92}"/>
    <cellStyle name="Normal 7 15 2" xfId="3463" xr:uid="{44EE1D67-B2AC-4522-9E71-66822FC0CCB1}"/>
    <cellStyle name="Normal 7 15 2 2" xfId="5356" xr:uid="{AE8B33B5-3551-45D8-B660-E6E1D718472D}"/>
    <cellStyle name="Normal 7 15 3" xfId="2555" xr:uid="{2622D3D3-5976-4A22-8AEA-51F32E63A042}"/>
    <cellStyle name="Normal 7 15 4" xfId="4226" xr:uid="{AB10087B-AF3D-4FCA-943A-9E00F1BD10BF}"/>
    <cellStyle name="Normal 7 16" xfId="1387" xr:uid="{72843031-3BDF-43BD-A5E5-7D7B00093323}"/>
    <cellStyle name="Normal 7 16 2" xfId="3850" xr:uid="{BA5AC5D0-8F7E-4895-8A0D-E53CE2764FB2}"/>
    <cellStyle name="Normal 7 16 3" xfId="2904" xr:uid="{A6A15FD1-39F9-479E-8D47-94A89EA586FA}"/>
    <cellStyle name="Normal 7 17" xfId="490" xr:uid="{37A0AB6A-ABBC-4DF0-9560-92CEC74CF2DE}"/>
    <cellStyle name="Normal 7 17 2" xfId="3040" xr:uid="{AEB6D8B3-2928-4117-8C66-1ED80824A1FB}"/>
    <cellStyle name="Normal 7 17 3" xfId="5008" xr:uid="{DF4287B6-4F6C-4D71-8E7F-117F582FF4C1}"/>
    <cellStyle name="Normal 7 18" xfId="2177" xr:uid="{D023010F-CAD4-44DC-A42F-4F090C45064F}"/>
    <cellStyle name="Normal 7 18 2" xfId="5950" xr:uid="{346699DD-D6C8-4D55-86A5-B7D9392F39E9}"/>
    <cellStyle name="Normal 7 19" xfId="2207" xr:uid="{80FF9FBB-B8DF-4769-AEAC-645DAADBA4FE}"/>
    <cellStyle name="Normal 7 19 2" xfId="7388" xr:uid="{F66A0ADB-E442-4D07-89CB-255AAE5DED39}"/>
    <cellStyle name="Normal 7 2" xfId="150" xr:uid="{0F90107F-B25E-4602-AE74-88D69EB13AD1}"/>
    <cellStyle name="Normal 7 2 10" xfId="886" xr:uid="{DDF1AA46-19CA-4BEB-8073-850E7A9E08AE}"/>
    <cellStyle name="Normal 7 2 10 2" xfId="1363" xr:uid="{D3A09A2F-1EF0-4232-B434-DEE5C5029E0D}"/>
    <cellStyle name="Normal 7 2 10 2 2" xfId="3831" xr:uid="{1D7AE9AC-EBE5-40B5-8D2A-21F363F56668}"/>
    <cellStyle name="Normal 7 2 10 2 2 2" xfId="5687" xr:uid="{7A4276F0-868A-4A01-BC65-BF5A22FBC837}"/>
    <cellStyle name="Normal 7 2 10 2 3" xfId="2886" xr:uid="{A6F9C220-DC05-49B0-83C8-991C96B083D8}"/>
    <cellStyle name="Normal 7 2 10 2 4" xfId="4557" xr:uid="{295837E7-B2D1-4237-B1CE-3AA33248B3EB}"/>
    <cellStyle name="Normal 7 2 10 3" xfId="3411" xr:uid="{541C4BBF-F182-4F58-B47D-600654FE8B58}"/>
    <cellStyle name="Normal 7 2 10 3 2" xfId="5339" xr:uid="{0CD7F900-C3B0-4BE1-9835-C7C9ACBA828B}"/>
    <cellStyle name="Normal 7 2 10 4" xfId="2538" xr:uid="{4F285AF4-810E-4FDA-BEEA-BCEBE3F9C981}"/>
    <cellStyle name="Normal 7 2 10 4 2" xfId="7395" xr:uid="{1F3F8E1A-037E-44DB-89A2-30C662649AB0}"/>
    <cellStyle name="Normal 7 2 10 5" xfId="4209" xr:uid="{4D1F9D87-0A72-4E57-9C56-5B69E3A7BF4C}"/>
    <cellStyle name="Normal 7 2 11" xfId="931" xr:uid="{3EDFF95A-53FC-4CF5-9E8F-75256BC2BF75}"/>
    <cellStyle name="Normal 7 2 11 2" xfId="1367" xr:uid="{7CF4762E-F8C6-4942-93BC-3E7B093CD3A6}"/>
    <cellStyle name="Normal 7 2 11 2 2" xfId="3834" xr:uid="{0C6B9B28-1F72-4418-9F97-187FD2C12DD4}"/>
    <cellStyle name="Normal 7 2 11 2 2 2" xfId="5690" xr:uid="{A478E4AD-1FD4-4F90-8D09-E9D1AB008F88}"/>
    <cellStyle name="Normal 7 2 11 2 3" xfId="2889" xr:uid="{7AFC6471-8214-4F27-869F-3ADF98566299}"/>
    <cellStyle name="Normal 7 2 11 2 4" xfId="4560" xr:uid="{6585B591-3DDE-47BC-9AFA-3794E629C0DF}"/>
    <cellStyle name="Normal 7 2 11 3" xfId="3444" xr:uid="{F2697F57-BE62-45E4-AD2D-DCE34E32865C}"/>
    <cellStyle name="Normal 7 2 11 3 2" xfId="5342" xr:uid="{9E78AF98-4707-4964-A355-0E22A51BD95E}"/>
    <cellStyle name="Normal 7 2 11 4" xfId="2541" xr:uid="{1BB0B00E-D2AF-4AF6-AA3C-7C82704BE500}"/>
    <cellStyle name="Normal 7 2 11 4 2" xfId="7396" xr:uid="{4663352E-124A-473F-BC57-5DD2B3DB36C0}"/>
    <cellStyle name="Normal 7 2 11 5" xfId="4212" xr:uid="{0CD3089A-C08A-47A2-8399-D6889A49FD57}"/>
    <cellStyle name="Normal 7 2 12" xfId="957" xr:uid="{758FEA4B-E591-4546-9C87-0E23A225C405}"/>
    <cellStyle name="Normal 7 2 12 2" xfId="1377" xr:uid="{177764C6-63EA-4EA1-8226-EDCC835C6319}"/>
    <cellStyle name="Normal 7 2 12 2 2" xfId="3842" xr:uid="{E4AD5C45-834F-4CB6-8A51-DE3BA7E9CF42}"/>
    <cellStyle name="Normal 7 2 12 2 2 2" xfId="5697" xr:uid="{DBFFB7C9-18CE-4ACB-BCA9-4A5CAE276C2F}"/>
    <cellStyle name="Normal 7 2 12 2 3" xfId="2896" xr:uid="{6C971FD0-BA4D-4D4D-BF4A-1A14DF4C1640}"/>
    <cellStyle name="Normal 7 2 12 2 4" xfId="4567" xr:uid="{46F83B92-B554-43C5-8113-AA381AAFB2E0}"/>
    <cellStyle name="Normal 7 2 12 3" xfId="3456" xr:uid="{8D144F05-07DC-498C-BF38-C614DA4CC439}"/>
    <cellStyle name="Normal 7 2 12 3 2" xfId="5349" xr:uid="{25C00751-1BC3-4F63-91F4-DE7DD7EAFCC0}"/>
    <cellStyle name="Normal 7 2 12 4" xfId="2548" xr:uid="{BD3D1154-B3D3-4FEC-9279-E5F77D907E01}"/>
    <cellStyle name="Normal 7 2 12 5" xfId="4219" xr:uid="{95744B1B-EF59-406C-A593-1E527393B6DA}"/>
    <cellStyle name="Normal 7 2 13" xfId="967" xr:uid="{B076A78E-1F52-44FA-BF67-A66DB0193D6A}"/>
    <cellStyle name="Normal 7 2 13 2" xfId="3464" xr:uid="{36E9845C-BE23-4C42-BC60-09AAC153DC2E}"/>
    <cellStyle name="Normal 7 2 13 2 2" xfId="5357" xr:uid="{4AC89A4E-0A13-496A-A9D1-DA3E2131B939}"/>
    <cellStyle name="Normal 7 2 13 3" xfId="2556" xr:uid="{1075AFA1-4EA6-4B9F-A186-077BD00D404E}"/>
    <cellStyle name="Normal 7 2 13 4" xfId="4227" xr:uid="{95AF73B4-4315-4F97-90BA-DB36D95E58F1}"/>
    <cellStyle name="Normal 7 2 14" xfId="1474" xr:uid="{49B4960F-C2DE-4270-8C9A-3AF13A978828}"/>
    <cellStyle name="Normal 7 2 14 2" xfId="3852" xr:uid="{06F110B2-5FC2-46D7-8007-80722B5D41E4}"/>
    <cellStyle name="Normal 7 2 14 2 2" xfId="5748" xr:uid="{35C84F2F-EAC1-4923-98E2-D864732CBFCD}"/>
    <cellStyle name="Normal 7 2 14 3" xfId="2906" xr:uid="{A03C53B7-CACC-4DA6-85D2-962023E13C2D}"/>
    <cellStyle name="Normal 7 2 14 4" xfId="4609" xr:uid="{23438A8E-695D-43A3-A22E-AD501D88B341}"/>
    <cellStyle name="Normal 7 2 15" xfId="1777" xr:uid="{96C0B2A5-DE37-4761-8AAB-DF3FA9F14824}"/>
    <cellStyle name="Normal 7 2 15 2" xfId="3063" xr:uid="{B3575DFE-846B-4FCE-8BEB-34B1AC5010FF}"/>
    <cellStyle name="Normal 7 2 15 3" xfId="4795" xr:uid="{01F83B6B-4384-4700-BE07-72D24DB037D3}"/>
    <cellStyle name="Normal 7 2 16" xfId="491" xr:uid="{98706BFE-989D-41C0-91F6-1C10F1D45303}"/>
    <cellStyle name="Normal 7 2 16 2" xfId="5009" xr:uid="{FB407E45-A81C-4AF5-B0A6-41821ED501C9}"/>
    <cellStyle name="Normal 7 2 17" xfId="2178" xr:uid="{C879E44F-AF25-4119-98E5-DC311E04E0E9}"/>
    <cellStyle name="Normal 7 2 17 2" xfId="5952" xr:uid="{0B3804D5-129C-44A9-927E-39982AB1EFC8}"/>
    <cellStyle name="Normal 7 2 18" xfId="2208" xr:uid="{09DA8E4E-CF4A-4161-8DB6-5513227C0E09}"/>
    <cellStyle name="Normal 7 2 18 2" xfId="7394" xr:uid="{3B05F597-88FC-4DDF-9E98-10D375BD7AE6}"/>
    <cellStyle name="Normal 7 2 19" xfId="3879" xr:uid="{DFCDDFD5-9674-4E23-ABD2-2ECE0A389485}"/>
    <cellStyle name="Normal 7 2 2" xfId="151" xr:uid="{2378D379-C3DF-480F-B1F9-C5F98D1B66F0}"/>
    <cellStyle name="Normal 7 2 2 10" xfId="958" xr:uid="{EDE11BAE-43E3-46E5-BAF7-FE38273050A2}"/>
    <cellStyle name="Normal 7 2 2 10 2" xfId="1378" xr:uid="{6BB33B57-7259-4B7A-A245-C12A059EB134}"/>
    <cellStyle name="Normal 7 2 2 10 2 2" xfId="3843" xr:uid="{7666401B-DE67-4851-9F64-361016E0E127}"/>
    <cellStyle name="Normal 7 2 2 10 2 2 2" xfId="5698" xr:uid="{14128266-FC05-40CD-A7EA-EDE8094B5625}"/>
    <cellStyle name="Normal 7 2 2 10 2 3" xfId="2897" xr:uid="{F95AA4F8-F751-47CD-8221-A2C22023518F}"/>
    <cellStyle name="Normal 7 2 2 10 2 4" xfId="4568" xr:uid="{09B8BFA5-C7BD-4D9F-9F1D-5526CA08C5A8}"/>
    <cellStyle name="Normal 7 2 2 10 3" xfId="3457" xr:uid="{CA3FE81B-696F-4BC6-ACA4-F16B87520495}"/>
    <cellStyle name="Normal 7 2 2 10 3 2" xfId="5350" xr:uid="{3BABBE8A-BEA8-43F4-8131-C62D8D5B6DCB}"/>
    <cellStyle name="Normal 7 2 2 10 4" xfId="2549" xr:uid="{4EAB2E9D-9254-48C3-A0D5-B49F42EEF101}"/>
    <cellStyle name="Normal 7 2 2 10 5" xfId="4220" xr:uid="{A8F208EC-B647-467B-AF6D-3234302D0212}"/>
    <cellStyle name="Normal 7 2 2 11" xfId="972" xr:uid="{5F44FE0F-18B0-48FB-8499-19404F666DF0}"/>
    <cellStyle name="Normal 7 2 2 11 2" xfId="3469" xr:uid="{8C9E89EA-68EF-43A7-8D74-8E0D22D2F4E2}"/>
    <cellStyle name="Normal 7 2 2 11 2 2" xfId="5361" xr:uid="{A4A00F18-5FEE-4E1B-81BF-840F6681F829}"/>
    <cellStyle name="Normal 7 2 2 11 3" xfId="2560" xr:uid="{B06ACA04-F1C3-4550-973F-5C6ACE0AC9DB}"/>
    <cellStyle name="Normal 7 2 2 11 4" xfId="4231" xr:uid="{1E4EE2DC-D2C9-4AC2-A7D8-426079E51D42}"/>
    <cellStyle name="Normal 7 2 2 12" xfId="1475" xr:uid="{D6604B28-24AB-4991-A541-EB4F8622C9E8}"/>
    <cellStyle name="Normal 7 2 2 12 2" xfId="3102" xr:uid="{12826284-9BB8-4CBC-8FFA-84CB0E68FA96}"/>
    <cellStyle name="Normal 7 2 2 12 2 2" xfId="5749" xr:uid="{F588C7C6-5AD1-44D9-B7DE-3F386BE80AB4}"/>
    <cellStyle name="Normal 7 2 2 12 3" xfId="4610" xr:uid="{362F4465-75CB-4DB8-BE10-9EA3EE82CA80}"/>
    <cellStyle name="Normal 7 2 2 13" xfId="1778" xr:uid="{10AD8EBD-6FB7-4D12-B4D2-9BC64156FD27}"/>
    <cellStyle name="Normal 7 2 2 13 2" xfId="4796" xr:uid="{CECD5DD3-9580-4A85-A38B-0FA0E96A21FC}"/>
    <cellStyle name="Normal 7 2 2 14" xfId="495" xr:uid="{9744CA95-3C0C-4ADA-B304-EA8FDEB67B11}"/>
    <cellStyle name="Normal 7 2 2 14 2" xfId="5013" xr:uid="{DFDCDA7A-F89A-4714-B0EA-E2B604E37F85}"/>
    <cellStyle name="Normal 7 2 2 15" xfId="2179" xr:uid="{4DDB6E51-DC92-4D9B-9B79-D5B4CE6BA238}"/>
    <cellStyle name="Normal 7 2 2 15 2" xfId="7397" xr:uid="{CC552F06-D422-412D-9ED5-EA34B9F265BA}"/>
    <cellStyle name="Normal 7 2 2 16" xfId="2212" xr:uid="{34947E73-F38F-4C03-9745-163B6B76A3E3}"/>
    <cellStyle name="Normal 7 2 2 17" xfId="3883" xr:uid="{A1473862-5EF9-405D-9D28-27C78A4F60CF}"/>
    <cellStyle name="Normal 7 2 2 2" xfId="152" xr:uid="{69D84E39-F9D9-44AE-9D59-03FEED3CCB4C}"/>
    <cellStyle name="Normal 7 2 2 2 10" xfId="1779" xr:uid="{43BDEE27-3966-4F65-A14C-7017192107B3}"/>
    <cellStyle name="Normal 7 2 2 2 10 2" xfId="4797" xr:uid="{09A42A9F-61B5-43C4-B006-16E113E2355E}"/>
    <cellStyle name="Normal 7 2 2 2 11" xfId="509" xr:uid="{7BA61E51-AEBF-4A16-ADAD-615040DEEB14}"/>
    <cellStyle name="Normal 7 2 2 2 11 2" xfId="5025" xr:uid="{2E69921D-302F-4134-9C72-BD5610323EE9}"/>
    <cellStyle name="Normal 7 2 2 2 12" xfId="2180" xr:uid="{AC43DDE7-F9C9-4E33-9296-11F324A52C7D}"/>
    <cellStyle name="Normal 7 2 2 2 12 2" xfId="7398" xr:uid="{12C3886D-6FF4-4E2D-BC1C-B194F76687E8}"/>
    <cellStyle name="Normal 7 2 2 2 13" xfId="2224" xr:uid="{803A6DB2-C365-4FB9-B102-212843AA43CA}"/>
    <cellStyle name="Normal 7 2 2 2 14" xfId="3895" xr:uid="{93066221-8943-44FF-961E-427883344B1C}"/>
    <cellStyle name="Normal 7 2 2 2 2" xfId="153" xr:uid="{4B338B2F-4F69-4BBB-8737-200B9533368C}"/>
    <cellStyle name="Normal 7 2 2 2 2 10" xfId="538" xr:uid="{16981B81-D7B9-47ED-BF94-A94C7AF47629}"/>
    <cellStyle name="Normal 7 2 2 2 2 10 2" xfId="5050" xr:uid="{0ABE6425-BDF1-46D4-BB78-99624558D0A8}"/>
    <cellStyle name="Normal 7 2 2 2 2 11" xfId="2181" xr:uid="{2030270F-5638-470D-B743-38AED7F5D061}"/>
    <cellStyle name="Normal 7 2 2 2 2 11 2" xfId="7399" xr:uid="{B427F8EA-30B4-4FC6-BC23-A4CA237767A5}"/>
    <cellStyle name="Normal 7 2 2 2 2 12" xfId="2249" xr:uid="{6ABD026D-A737-4FFD-8DF2-12D5829818B2}"/>
    <cellStyle name="Normal 7 2 2 2 2 13" xfId="3920" xr:uid="{98EB5603-AC1E-4A86-8AA9-FA0DF213A3C9}"/>
    <cellStyle name="Normal 7 2 2 2 2 2" xfId="264" xr:uid="{7D974F4C-7E4B-4C11-8216-22C94597F927}"/>
    <cellStyle name="Normal 7 2 2 2 2 2 2" xfId="1067" xr:uid="{9DD48E06-06FD-4DFE-AE8E-67A961A581AF}"/>
    <cellStyle name="Normal 7 2 2 2 2 2 2 2" xfId="3555" xr:uid="{4824A788-8B83-4E39-9FAF-73059634EF08}"/>
    <cellStyle name="Normal 7 2 2 2 2 2 2 2 2" xfId="5440" xr:uid="{1AAA0A6B-686E-4228-853F-123113F98B86}"/>
    <cellStyle name="Normal 7 2 2 2 2 2 2 3" xfId="2639" xr:uid="{3A0528B3-CD4A-4228-B154-D5CB9024C42B}"/>
    <cellStyle name="Normal 7 2 2 2 2 2 2 4" xfId="4310" xr:uid="{C439507A-5A8B-447C-967C-5736CB0B781F}"/>
    <cellStyle name="Normal 7 2 2 2 2 2 3" xfId="1578" xr:uid="{261549CF-202D-4FB3-AFD3-50E82CB0C11B}"/>
    <cellStyle name="Normal 7 2 2 2 2 2 3 2" xfId="3167" xr:uid="{3ABA434C-32D8-401A-B380-BC083DB2F316}"/>
    <cellStyle name="Normal 7 2 2 2 2 2 3 2 2" xfId="5844" xr:uid="{D47C33E6-9DC9-4ED1-9521-97C56EB42CD5}"/>
    <cellStyle name="Normal 7 2 2 2 2 2 3 3" xfId="4673" xr:uid="{BD7C540E-92FE-46A7-97E9-70940A3B18FE}"/>
    <cellStyle name="Normal 7 2 2 2 2 2 4" xfId="1880" xr:uid="{44B689D3-494A-4A44-930C-F07173939C59}"/>
    <cellStyle name="Normal 7 2 2 2 2 2 4 2" xfId="4859" xr:uid="{E9BE9B7B-8462-407B-B2B1-A91DD00ABC03}"/>
    <cellStyle name="Normal 7 2 2 2 2 2 5" xfId="589" xr:uid="{D9E6FD74-B170-4FAB-BCBA-E3C977C9F432}"/>
    <cellStyle name="Normal 7 2 2 2 2 2 5 2" xfId="5092" xr:uid="{F6803F41-B878-4AED-9ED5-5F7B6F3B7B71}"/>
    <cellStyle name="Normal 7 2 2 2 2 2 6" xfId="2291" xr:uid="{8E35B5CA-FC74-4F17-914A-D7FAEB020115}"/>
    <cellStyle name="Normal 7 2 2 2 2 2 6 2" xfId="7400" xr:uid="{175359DC-3F0A-44B3-87EE-9634B74A095B}"/>
    <cellStyle name="Normal 7 2 2 2 2 2 7" xfId="3962" xr:uid="{B2C976B7-4A82-4C17-A398-FE980B779BD2}"/>
    <cellStyle name="Normal 7 2 2 2 2 3" xfId="364" xr:uid="{EFA392DB-2021-4580-A04D-D63E417B0529}"/>
    <cellStyle name="Normal 7 2 2 2 2 3 2" xfId="1131" xr:uid="{B4391484-CC1D-4545-B5F1-8F97DEA2E6B4}"/>
    <cellStyle name="Normal 7 2 2 2 2 3 2 2" xfId="3610" xr:uid="{2ED317BF-3BAE-4D26-B598-9624BCE7A865}"/>
    <cellStyle name="Normal 7 2 2 2 2 3 2 2 2" xfId="5495" xr:uid="{5C6677CE-63F3-4AA1-9A88-09B822F85074}"/>
    <cellStyle name="Normal 7 2 2 2 2 3 2 3" xfId="2694" xr:uid="{8178975E-BE0F-419F-B8AC-BADB30EEDB9B}"/>
    <cellStyle name="Normal 7 2 2 2 2 3 2 4" xfId="4365" xr:uid="{888BA946-1A5C-4988-8F09-9C0F1CA8567C}"/>
    <cellStyle name="Normal 7 2 2 2 2 3 3" xfId="1677" xr:uid="{F714140F-A1C5-4567-B17D-BAADAD8C86A3}"/>
    <cellStyle name="Normal 7 2 2 2 2 3 3 2" xfId="3221" xr:uid="{2E8F85EC-68C5-4692-82EB-BAB045035594}"/>
    <cellStyle name="Normal 7 2 2 2 2 3 3 2 2" xfId="5921" xr:uid="{3A979888-48E1-4A36-8B39-D33FE991A3BC}"/>
    <cellStyle name="Normal 7 2 2 2 2 3 3 3" xfId="4734" xr:uid="{5641878F-9294-40FF-89C4-ED6525E0166A}"/>
    <cellStyle name="Normal 7 2 2 2 2 3 4" xfId="1979" xr:uid="{BB8C83FA-D618-4804-A889-BD34507FB6E3}"/>
    <cellStyle name="Normal 7 2 2 2 2 3 4 2" xfId="4920" xr:uid="{5B5C5C7E-A630-4ECD-8C5E-6E8788E83AD2}"/>
    <cellStyle name="Normal 7 2 2 2 2 3 5" xfId="653" xr:uid="{D88F4AEC-7632-43ED-A8C1-98A701ACB711}"/>
    <cellStyle name="Normal 7 2 2 2 2 3 5 2" xfId="5147" xr:uid="{E4E0F9A8-9298-4F86-9D3B-2088EE87CDAC}"/>
    <cellStyle name="Normal 7 2 2 2 2 3 6" xfId="2346" xr:uid="{2E7150C7-E535-4D44-BAB9-FBCD3C1A879F}"/>
    <cellStyle name="Normal 7 2 2 2 2 3 6 2" xfId="7401" xr:uid="{F43E278C-67AB-47E5-B773-24935FF79F8C}"/>
    <cellStyle name="Normal 7 2 2 2 2 3 7" xfId="4017" xr:uid="{E3922EF8-0ED4-4EE1-BFE7-A6EE7406F52F}"/>
    <cellStyle name="Normal 7 2 2 2 2 4" xfId="464" xr:uid="{FAC6080A-DC62-4027-9FC5-45D09F5EC7E4}"/>
    <cellStyle name="Normal 7 2 2 2 2 4 2" xfId="1195" xr:uid="{554AE603-6350-47DC-A321-25E0449A8920}"/>
    <cellStyle name="Normal 7 2 2 2 2 4 2 2" xfId="3671" xr:uid="{BB850953-5C37-4E26-A8ED-EF8E921C6FCD}"/>
    <cellStyle name="Normal 7 2 2 2 2 4 2 2 2" xfId="5550" xr:uid="{9206DD85-1AA8-41ED-8041-86B42063BD39}"/>
    <cellStyle name="Normal 7 2 2 2 2 4 2 3" xfId="2749" xr:uid="{AE8C2E5A-870A-4603-9D76-55D8E5503128}"/>
    <cellStyle name="Normal 7 2 2 2 2 4 2 4" xfId="4420" xr:uid="{052A2205-92A1-4BCF-9F39-18D9BB7365D6}"/>
    <cellStyle name="Normal 7 2 2 2 2 4 3" xfId="2079" xr:uid="{48A2D0BF-FCD0-4CFA-A14D-7AAB182D2A2A}"/>
    <cellStyle name="Normal 7 2 2 2 2 4 3 2" xfId="3276" xr:uid="{1921EBF9-11B0-4706-B28F-66501C96BD2A}"/>
    <cellStyle name="Normal 7 2 2 2 2 4 3 3" xfId="4982" xr:uid="{72CA8FEB-3C78-453A-8BBC-5E9BA1A3E79E}"/>
    <cellStyle name="Normal 7 2 2 2 2 4 4" xfId="717" xr:uid="{61D2A208-35AF-41CA-93EB-24E57EADAF90}"/>
    <cellStyle name="Normal 7 2 2 2 2 4 4 2" xfId="5202" xr:uid="{2833635D-102D-4ED2-BA7E-9685AEBE6119}"/>
    <cellStyle name="Normal 7 2 2 2 2 4 5" xfId="2401" xr:uid="{B52A58C1-B75D-4AE7-A489-B7C96AF48CBE}"/>
    <cellStyle name="Normal 7 2 2 2 2 4 5 2" xfId="7402" xr:uid="{0D39CC18-E892-4043-826A-9446E722D6CD}"/>
    <cellStyle name="Normal 7 2 2 2 2 4 6" xfId="4072" xr:uid="{0D117973-A6E6-4D50-8D01-5D3D4856322B}"/>
    <cellStyle name="Normal 7 2 2 2 2 5" xfId="781" xr:uid="{B989739F-8C03-4A38-B71C-F0F4FB3D82C8}"/>
    <cellStyle name="Normal 7 2 2 2 2 5 2" xfId="1260" xr:uid="{3D65E0D0-FF75-4C2A-A7A7-589160EEC05D}"/>
    <cellStyle name="Normal 7 2 2 2 2 5 2 2" xfId="3734" xr:uid="{4175E3EA-2166-4302-91C6-6F23D1B4054E}"/>
    <cellStyle name="Normal 7 2 2 2 2 5 2 2 2" xfId="5605" xr:uid="{D4E7A568-4352-4451-9DD2-4FFA4F652193}"/>
    <cellStyle name="Normal 7 2 2 2 2 5 2 3" xfId="2804" xr:uid="{B51C060D-9542-468D-85A5-0F84C6E67690}"/>
    <cellStyle name="Normal 7 2 2 2 2 5 2 4" xfId="4475" xr:uid="{730A4826-E05B-4BE8-B735-EE447BD0E3F9}"/>
    <cellStyle name="Normal 7 2 2 2 2 5 3" xfId="3331" xr:uid="{E170B1CD-4C48-4E9C-B323-3A31933CC5DB}"/>
    <cellStyle name="Normal 7 2 2 2 2 5 3 2" xfId="5257" xr:uid="{AC5103D3-E876-45F4-959C-A05E36ED4842}"/>
    <cellStyle name="Normal 7 2 2 2 2 5 4" xfId="2456" xr:uid="{AB56A3AA-41D3-42D3-A7D0-522CCE865C61}"/>
    <cellStyle name="Normal 7 2 2 2 2 5 4 2" xfId="7403" xr:uid="{87FB94EB-C286-4796-8316-7F2028691F6F}"/>
    <cellStyle name="Normal 7 2 2 2 2 5 5" xfId="4127" xr:uid="{22E089E4-A136-401F-878C-ADD4BF7C43B6}"/>
    <cellStyle name="Normal 7 2 2 2 2 6" xfId="845" xr:uid="{327FB7A5-3EF1-4857-9D2F-AA9739EFDD18}"/>
    <cellStyle name="Normal 7 2 2 2 2 6 2" xfId="1324" xr:uid="{D2019AD6-E047-4B77-B520-9CACE9FB8BA9}"/>
    <cellStyle name="Normal 7 2 2 2 2 6 2 2" xfId="3798" xr:uid="{2563631A-3FF1-41B4-BB30-C87C14D3CB58}"/>
    <cellStyle name="Normal 7 2 2 2 2 6 2 2 2" xfId="5660" xr:uid="{65BBD352-0F7E-437B-8E00-D68BD3FC97C4}"/>
    <cellStyle name="Normal 7 2 2 2 2 6 2 3" xfId="2859" xr:uid="{4EAC7AAE-652A-4BE6-9325-53DCC55C7B60}"/>
    <cellStyle name="Normal 7 2 2 2 2 6 2 4" xfId="4530" xr:uid="{8417D27B-0A92-4AB6-BFC6-1832EBBB64E1}"/>
    <cellStyle name="Normal 7 2 2 2 2 6 3" xfId="3386" xr:uid="{17FFD3FC-C7B8-4561-B022-510D88D780BA}"/>
    <cellStyle name="Normal 7 2 2 2 2 6 3 2" xfId="5312" xr:uid="{40DD8EC6-302A-4D6A-A21A-6C0F08AB6AB6}"/>
    <cellStyle name="Normal 7 2 2 2 2 6 4" xfId="2511" xr:uid="{0AFAF175-B90C-4877-82B1-BA51BDA59A14}"/>
    <cellStyle name="Normal 7 2 2 2 2 6 4 2" xfId="7404" xr:uid="{1F54B37A-39EB-456D-8AE5-01657554F613}"/>
    <cellStyle name="Normal 7 2 2 2 2 6 5" xfId="4182" xr:uid="{5F47DE4B-AC14-4332-847D-7ECE7517D059}"/>
    <cellStyle name="Normal 7 2 2 2 2 7" xfId="1016" xr:uid="{E57ABF79-2010-49C4-9855-B7340B4EF64F}"/>
    <cellStyle name="Normal 7 2 2 2 2 7 2" xfId="3513" xr:uid="{DD4DEFD2-5627-4148-A8E0-E70BC568B12E}"/>
    <cellStyle name="Normal 7 2 2 2 2 7 2 2" xfId="5398" xr:uid="{0F0346FD-4B61-43BC-87C9-51C8812B09D8}"/>
    <cellStyle name="Normal 7 2 2 2 2 7 3" xfId="2597" xr:uid="{129524F5-206A-4149-AC43-1367A484751D}"/>
    <cellStyle name="Normal 7 2 2 2 2 7 4" xfId="4268" xr:uid="{00D23D71-9F5A-42A2-8F92-EC11CA0D335E}"/>
    <cellStyle name="Normal 7 2 2 2 2 8" xfId="1477" xr:uid="{5831E67A-144D-4452-BDFA-0EB1876AB8FE}"/>
    <cellStyle name="Normal 7 2 2 2 2 8 2" xfId="3104" xr:uid="{B3AECBD3-D76F-4D30-A930-A88FD4006B48}"/>
    <cellStyle name="Normal 7 2 2 2 2 8 2 2" xfId="5751" xr:uid="{AF0BA85F-1B8C-47C1-AFD5-CD67EB638C9E}"/>
    <cellStyle name="Normal 7 2 2 2 2 8 3" xfId="4612" xr:uid="{D1E27CC2-471C-4CFE-8285-95803D5BD777}"/>
    <cellStyle name="Normal 7 2 2 2 2 9" xfId="1780" xr:uid="{1896974C-2A29-46B3-9284-AC2A4314D298}"/>
    <cellStyle name="Normal 7 2 2 2 2 9 2" xfId="4798" xr:uid="{3C58D17A-7259-4FE0-9EEA-489CE9C41240}"/>
    <cellStyle name="Normal 7 2 2 2 3" xfId="263" xr:uid="{AD9238FB-9BA6-444B-815E-BBFFC9CE0341}"/>
    <cellStyle name="Normal 7 2 2 2 3 2" xfId="1066" xr:uid="{2F178E62-E713-47C3-B48E-785BD6230DD3}"/>
    <cellStyle name="Normal 7 2 2 2 3 2 2" xfId="3554" xr:uid="{7CF764B0-F6A9-4C15-964E-C3B66ABFC23F}"/>
    <cellStyle name="Normal 7 2 2 2 3 2 2 2" xfId="5439" xr:uid="{4E90FE53-51E8-4AB1-A07A-C6EB3F8866ED}"/>
    <cellStyle name="Normal 7 2 2 2 3 2 3" xfId="2638" xr:uid="{619DEC1E-6278-4FAB-9333-645A6A59BCCF}"/>
    <cellStyle name="Normal 7 2 2 2 3 2 4" xfId="4309" xr:uid="{7E1590A8-0782-4F21-9D16-2FFBC8B40E35}"/>
    <cellStyle name="Normal 7 2 2 2 3 3" xfId="1577" xr:uid="{DEF46E9C-FF63-4FA9-8945-F99C43A2833E}"/>
    <cellStyle name="Normal 7 2 2 2 3 3 2" xfId="3166" xr:uid="{7BD48461-5E1C-47BD-BAF4-0BA7DEDE6DB5}"/>
    <cellStyle name="Normal 7 2 2 2 3 3 2 2" xfId="5843" xr:uid="{9466BE59-A262-4D7A-A426-4E6A36D9775A}"/>
    <cellStyle name="Normal 7 2 2 2 3 3 3" xfId="4672" xr:uid="{96BD8FB4-8736-4E03-AD52-D0CACB9E50CD}"/>
    <cellStyle name="Normal 7 2 2 2 3 4" xfId="1879" xr:uid="{1994C526-3879-4B86-92C7-D633DD63E12E}"/>
    <cellStyle name="Normal 7 2 2 2 3 4 2" xfId="4858" xr:uid="{419A960A-3910-4F59-896F-56C22382C098}"/>
    <cellStyle name="Normal 7 2 2 2 3 5" xfId="588" xr:uid="{F16935AF-0227-4882-8248-1F0A386CB569}"/>
    <cellStyle name="Normal 7 2 2 2 3 5 2" xfId="5091" xr:uid="{6B996410-314E-470F-BC06-4BB87BB01D29}"/>
    <cellStyle name="Normal 7 2 2 2 3 6" xfId="2290" xr:uid="{39157BA5-CAE0-4AAC-AABA-BF27422E1DAD}"/>
    <cellStyle name="Normal 7 2 2 2 3 6 2" xfId="7405" xr:uid="{97C9808A-953F-4596-8789-D37E1D5F5124}"/>
    <cellStyle name="Normal 7 2 2 2 3 7" xfId="3961" xr:uid="{7A2A0A21-284F-4B5C-9C39-ED70395165C4}"/>
    <cellStyle name="Normal 7 2 2 2 4" xfId="363" xr:uid="{28443A9F-9F8A-4287-B996-F44A1ECF6D4C}"/>
    <cellStyle name="Normal 7 2 2 2 4 2" xfId="1130" xr:uid="{BB6E1F6D-A243-42D2-BF8A-43FC2314E5FA}"/>
    <cellStyle name="Normal 7 2 2 2 4 2 2" xfId="3609" xr:uid="{B4E2F610-B752-4510-A1D9-A29AC59DA846}"/>
    <cellStyle name="Normal 7 2 2 2 4 2 2 2" xfId="5494" xr:uid="{356097A9-6C23-46ED-8398-29CE63B76CB2}"/>
    <cellStyle name="Normal 7 2 2 2 4 2 3" xfId="2693" xr:uid="{9FBC5AC8-B220-4F09-8209-DEB09E8CAE1E}"/>
    <cellStyle name="Normal 7 2 2 2 4 2 4" xfId="4364" xr:uid="{7F09639A-078A-439F-988A-345A5D0A37F2}"/>
    <cellStyle name="Normal 7 2 2 2 4 3" xfId="1676" xr:uid="{2D1908DD-1DE3-4AE2-89AB-EDE070BCB89E}"/>
    <cellStyle name="Normal 7 2 2 2 4 3 2" xfId="3220" xr:uid="{299FFA43-2D91-4A4F-B2B0-C30BA74CDF27}"/>
    <cellStyle name="Normal 7 2 2 2 4 3 2 2" xfId="5920" xr:uid="{32812FA9-9562-4502-8DF1-69D815CB86CE}"/>
    <cellStyle name="Normal 7 2 2 2 4 3 3" xfId="4733" xr:uid="{B3D4DCEA-55B1-4822-B065-025027C68EF3}"/>
    <cellStyle name="Normal 7 2 2 2 4 4" xfId="1978" xr:uid="{AA935720-F1A3-4AF8-BFAF-BA182425B348}"/>
    <cellStyle name="Normal 7 2 2 2 4 4 2" xfId="4919" xr:uid="{C3FEA130-15C6-4B8B-BDF1-38F817666645}"/>
    <cellStyle name="Normal 7 2 2 2 4 5" xfId="652" xr:uid="{8E11F914-97A1-430D-8563-F13FCD9EA3AB}"/>
    <cellStyle name="Normal 7 2 2 2 4 5 2" xfId="5146" xr:uid="{C6AA866B-834F-4693-9890-D6E0B067DE4E}"/>
    <cellStyle name="Normal 7 2 2 2 4 6" xfId="2345" xr:uid="{30667342-8DA8-491F-9E4A-53FF3C30F551}"/>
    <cellStyle name="Normal 7 2 2 2 4 6 2" xfId="7406" xr:uid="{9B04467D-B229-47AA-9B08-12300AB7CD08}"/>
    <cellStyle name="Normal 7 2 2 2 4 7" xfId="4016" xr:uid="{09C03435-1FD5-47DA-A81B-E536E8F51901}"/>
    <cellStyle name="Normal 7 2 2 2 5" xfId="463" xr:uid="{ADF0B8E3-C2A0-45D4-8259-63152D6EF205}"/>
    <cellStyle name="Normal 7 2 2 2 5 2" xfId="1194" xr:uid="{F1C1A69A-DEBA-4510-93A9-B2141E59EA53}"/>
    <cellStyle name="Normal 7 2 2 2 5 2 2" xfId="3670" xr:uid="{C1FF5B31-1C2E-4F75-BF38-9CDE6944D450}"/>
    <cellStyle name="Normal 7 2 2 2 5 2 2 2" xfId="5549" xr:uid="{221DE553-A206-4FB1-965A-DB365D98360A}"/>
    <cellStyle name="Normal 7 2 2 2 5 2 3" xfId="2748" xr:uid="{8BA195D0-C241-4ABF-B9B5-BC22F52F9295}"/>
    <cellStyle name="Normal 7 2 2 2 5 2 4" xfId="4419" xr:uid="{D4B3F875-556F-4550-B9F1-E237B7FD6E08}"/>
    <cellStyle name="Normal 7 2 2 2 5 3" xfId="2078" xr:uid="{E351A711-7E99-49D4-9661-29DB165CBC64}"/>
    <cellStyle name="Normal 7 2 2 2 5 3 2" xfId="3275" xr:uid="{7CA533BE-8ED2-4EE8-BEA3-89B2AEF2FC6A}"/>
    <cellStyle name="Normal 7 2 2 2 5 3 3" xfId="4981" xr:uid="{2990FCB1-536E-48BD-B379-575149BC2190}"/>
    <cellStyle name="Normal 7 2 2 2 5 4" xfId="716" xr:uid="{E86DFCB4-8C28-47FE-8BDC-59C767D4D422}"/>
    <cellStyle name="Normal 7 2 2 2 5 4 2" xfId="5201" xr:uid="{92D70424-E188-45BD-B583-1781FAFD1D9B}"/>
    <cellStyle name="Normal 7 2 2 2 5 5" xfId="2400" xr:uid="{9264A877-F452-4566-915F-1835E2DA09CF}"/>
    <cellStyle name="Normal 7 2 2 2 5 5 2" xfId="7407" xr:uid="{03F9E203-BD21-49E5-BA94-6CB74E62C5D6}"/>
    <cellStyle name="Normal 7 2 2 2 5 6" xfId="4071" xr:uid="{9CDA9772-C56D-4E4B-AA50-4D672587F5B1}"/>
    <cellStyle name="Normal 7 2 2 2 6" xfId="780" xr:uid="{2F90BEBD-2B39-494F-B80E-EF9A4B6A5189}"/>
    <cellStyle name="Normal 7 2 2 2 6 2" xfId="1259" xr:uid="{A48F48CA-82E9-472D-9A4D-292FBDBEFB28}"/>
    <cellStyle name="Normal 7 2 2 2 6 2 2" xfId="3733" xr:uid="{9DB620A8-79A9-4D2C-A002-F7DC46F60F29}"/>
    <cellStyle name="Normal 7 2 2 2 6 2 2 2" xfId="5604" xr:uid="{5AC67FC8-08E2-4890-8AED-CF010716B00C}"/>
    <cellStyle name="Normal 7 2 2 2 6 2 3" xfId="2803" xr:uid="{3D99BD4A-F458-4BEC-AD4F-7F4A261BB327}"/>
    <cellStyle name="Normal 7 2 2 2 6 2 4" xfId="4474" xr:uid="{16E9BD7A-D0EC-4451-9074-34ED37CCCF45}"/>
    <cellStyle name="Normal 7 2 2 2 6 3" xfId="3330" xr:uid="{83F1B3F3-D827-4B55-8347-A8CC34286853}"/>
    <cellStyle name="Normal 7 2 2 2 6 3 2" xfId="5256" xr:uid="{D037AE2B-1F94-4147-A5CB-AD89F347932C}"/>
    <cellStyle name="Normal 7 2 2 2 6 4" xfId="2455" xr:uid="{949278D7-A811-4449-A351-5A648C99DCD4}"/>
    <cellStyle name="Normal 7 2 2 2 6 4 2" xfId="7408" xr:uid="{7A62F8F1-F8C7-459A-A8E3-C180A17318B8}"/>
    <cellStyle name="Normal 7 2 2 2 6 5" xfId="4126" xr:uid="{2ADA845F-1101-48FE-92EE-AF6F4A3D2D24}"/>
    <cellStyle name="Normal 7 2 2 2 7" xfId="844" xr:uid="{BDF2E30A-912D-4E36-AD6A-E5AEC19933AB}"/>
    <cellStyle name="Normal 7 2 2 2 7 2" xfId="1323" xr:uid="{070D07AC-5D2A-4771-A6F4-251A4100725A}"/>
    <cellStyle name="Normal 7 2 2 2 7 2 2" xfId="3797" xr:uid="{E37A9F77-C0C7-4F54-9E88-EE105DFF95F5}"/>
    <cellStyle name="Normal 7 2 2 2 7 2 2 2" xfId="5659" xr:uid="{6A0833A6-9427-438F-BC1A-99D303BC035E}"/>
    <cellStyle name="Normal 7 2 2 2 7 2 3" xfId="2858" xr:uid="{EAB280FD-9836-453D-94C6-AD31A1FA4181}"/>
    <cellStyle name="Normal 7 2 2 2 7 2 4" xfId="4529" xr:uid="{57812F2B-FE38-47C4-B576-A42C6AF8C4D4}"/>
    <cellStyle name="Normal 7 2 2 2 7 3" xfId="3385" xr:uid="{FD841C88-70BA-4AE0-91BF-C224091A75D3}"/>
    <cellStyle name="Normal 7 2 2 2 7 3 2" xfId="5311" xr:uid="{644F5B59-E237-4A3E-98A7-3DE9629AA40C}"/>
    <cellStyle name="Normal 7 2 2 2 7 4" xfId="2510" xr:uid="{8E866D45-94BD-49C3-9C74-981A8E22FD44}"/>
    <cellStyle name="Normal 7 2 2 2 7 4 2" xfId="7409" xr:uid="{99372C5E-7220-4AB1-98CD-BBE459158196}"/>
    <cellStyle name="Normal 7 2 2 2 7 5" xfId="4181" xr:uid="{515CD9FE-7FBC-4D0C-90C6-1E2695245090}"/>
    <cellStyle name="Normal 7 2 2 2 8" xfId="987" xr:uid="{409A25D7-3AD2-4CA5-9070-204CB9790840}"/>
    <cellStyle name="Normal 7 2 2 2 8 2" xfId="3484" xr:uid="{9124DBCB-D265-4C41-84AF-34483D8083C7}"/>
    <cellStyle name="Normal 7 2 2 2 8 2 2" xfId="5373" xr:uid="{11BBC145-975E-4299-8A20-DD5EDB082ECB}"/>
    <cellStyle name="Normal 7 2 2 2 8 3" xfId="2572" xr:uid="{BFDFE77D-1B1D-475C-9190-A8C3472F783F}"/>
    <cellStyle name="Normal 7 2 2 2 8 4" xfId="4243" xr:uid="{7A2C7313-1EF2-42E0-894D-AAE182A09533}"/>
    <cellStyle name="Normal 7 2 2 2 9" xfId="1476" xr:uid="{C58F209C-5927-442B-8FF9-689981C5A64D}"/>
    <cellStyle name="Normal 7 2 2 2 9 2" xfId="3103" xr:uid="{878CAA5C-A550-4CAD-924A-5AC8ED88F190}"/>
    <cellStyle name="Normal 7 2 2 2 9 2 2" xfId="5750" xr:uid="{8D697024-D858-40F2-94C5-A48BCB01927F}"/>
    <cellStyle name="Normal 7 2 2 2 9 3" xfId="4611" xr:uid="{AB395C62-1D8B-479E-9810-6F06EF4B002B}"/>
    <cellStyle name="Normal 7 2 2 3" xfId="154" xr:uid="{541BFB1A-EC4B-4303-B8DB-B3C976DB3592}"/>
    <cellStyle name="Normal 7 2 2 3 10" xfId="537" xr:uid="{DED782FA-C2DA-43F0-9318-CB3D66E4034D}"/>
    <cellStyle name="Normal 7 2 2 3 10 2" xfId="5049" xr:uid="{E1FCB39A-5712-4E75-BCFC-F177F5086D0F}"/>
    <cellStyle name="Normal 7 2 2 3 11" xfId="2182" xr:uid="{D955AC7C-C0E3-403D-8177-6CCB334D44A0}"/>
    <cellStyle name="Normal 7 2 2 3 11 2" xfId="7410" xr:uid="{3B848999-4BCB-47E3-9531-CEFAFF4B8C02}"/>
    <cellStyle name="Normal 7 2 2 3 12" xfId="2248" xr:uid="{39C68CA3-2967-4176-A714-E40B7A2ED09A}"/>
    <cellStyle name="Normal 7 2 2 3 13" xfId="3919" xr:uid="{DA8D4197-32BC-4179-9E98-DD9A13489CCF}"/>
    <cellStyle name="Normal 7 2 2 3 2" xfId="265" xr:uid="{DEA3493E-0F1C-4E7C-AB0D-6CACA1B29449}"/>
    <cellStyle name="Normal 7 2 2 3 2 2" xfId="1068" xr:uid="{A957741E-DF56-4DC6-A6B8-2C6B0430406B}"/>
    <cellStyle name="Normal 7 2 2 3 2 2 2" xfId="3556" xr:uid="{9A03BBC3-3BC0-4913-B624-20BF5CF0B50B}"/>
    <cellStyle name="Normal 7 2 2 3 2 2 2 2" xfId="5441" xr:uid="{6B52DDB2-20A1-4773-BB6F-3EE53895EDF1}"/>
    <cellStyle name="Normal 7 2 2 3 2 2 3" xfId="2640" xr:uid="{7E55B616-035E-4E5E-92FA-380003BED104}"/>
    <cellStyle name="Normal 7 2 2 3 2 2 4" xfId="4311" xr:uid="{A9F1BA0D-6746-4875-87F4-24D1AE7D7DDB}"/>
    <cellStyle name="Normal 7 2 2 3 2 3" xfId="1579" xr:uid="{ACF6846C-EEDE-430B-B55F-254CE8EEB441}"/>
    <cellStyle name="Normal 7 2 2 3 2 3 2" xfId="3168" xr:uid="{F1F96380-2F50-4751-9053-5E79B0CF679A}"/>
    <cellStyle name="Normal 7 2 2 3 2 3 2 2" xfId="5845" xr:uid="{45CD2466-DC3D-40FC-953E-16C4E090F9F7}"/>
    <cellStyle name="Normal 7 2 2 3 2 3 3" xfId="4674" xr:uid="{1793693D-8772-437A-A667-7C2B83FD4EA9}"/>
    <cellStyle name="Normal 7 2 2 3 2 4" xfId="1881" xr:uid="{EF10CD5E-FC96-4326-A9A3-7945EAA1DBB5}"/>
    <cellStyle name="Normal 7 2 2 3 2 4 2" xfId="4860" xr:uid="{C11A2737-8740-4FFF-A676-64952D0312D9}"/>
    <cellStyle name="Normal 7 2 2 3 2 5" xfId="590" xr:uid="{EEB35C2B-E051-4620-B396-DAD08CAF379A}"/>
    <cellStyle name="Normal 7 2 2 3 2 5 2" xfId="5093" xr:uid="{4122A665-9F07-4128-9FC7-5D501EAE4312}"/>
    <cellStyle name="Normal 7 2 2 3 2 6" xfId="2292" xr:uid="{49F75CDF-8B02-44ED-8B95-B1B99E20F023}"/>
    <cellStyle name="Normal 7 2 2 3 2 6 2" xfId="7411" xr:uid="{1BDDDEFE-1318-4680-B926-FDC2E9DEFFA6}"/>
    <cellStyle name="Normal 7 2 2 3 2 7" xfId="3963" xr:uid="{F833205D-4C14-4DB5-BB19-2E61B611E324}"/>
    <cellStyle name="Normal 7 2 2 3 3" xfId="365" xr:uid="{42946250-5C6F-455A-B25E-77044A47DF57}"/>
    <cellStyle name="Normal 7 2 2 3 3 2" xfId="1132" xr:uid="{49534BB3-5C23-4585-BFAE-6B4519E7740E}"/>
    <cellStyle name="Normal 7 2 2 3 3 2 2" xfId="3611" xr:uid="{5EE8AAAA-4678-4965-9454-1B91BD22B221}"/>
    <cellStyle name="Normal 7 2 2 3 3 2 2 2" xfId="5496" xr:uid="{AFFE241B-F41A-4161-BFC5-2E77A20853E3}"/>
    <cellStyle name="Normal 7 2 2 3 3 2 3" xfId="2695" xr:uid="{8A33359E-8972-441D-B2AF-B463B106C749}"/>
    <cellStyle name="Normal 7 2 2 3 3 2 4" xfId="4366" xr:uid="{87E18A4C-1BBC-41C1-A3DB-0BAED79511FB}"/>
    <cellStyle name="Normal 7 2 2 3 3 3" xfId="1678" xr:uid="{F3715274-8CA1-4461-B128-BD92F4003428}"/>
    <cellStyle name="Normal 7 2 2 3 3 3 2" xfId="3222" xr:uid="{EA8983BD-A6B3-4B55-80C4-BD3CDA015E97}"/>
    <cellStyle name="Normal 7 2 2 3 3 3 2 2" xfId="5922" xr:uid="{35002F82-7794-40F9-A382-E5CD9C178308}"/>
    <cellStyle name="Normal 7 2 2 3 3 3 3" xfId="4735" xr:uid="{D52308C1-7C6D-45EC-92E5-03E9E2142B44}"/>
    <cellStyle name="Normal 7 2 2 3 3 4" xfId="1980" xr:uid="{CA70DF54-CB2F-4ED5-BA76-CD3DEBFD4E74}"/>
    <cellStyle name="Normal 7 2 2 3 3 4 2" xfId="4921" xr:uid="{639B64AC-9927-44CB-A0FD-8DA55491C1D3}"/>
    <cellStyle name="Normal 7 2 2 3 3 5" xfId="654" xr:uid="{33AD41FA-4D0F-448B-B0A1-5F9331B41161}"/>
    <cellStyle name="Normal 7 2 2 3 3 5 2" xfId="5148" xr:uid="{087F8336-2B10-4CF7-B4FF-86B86F4A6BFA}"/>
    <cellStyle name="Normal 7 2 2 3 3 6" xfId="2347" xr:uid="{F9FDF432-7C22-4F9E-BCC1-704945AA4245}"/>
    <cellStyle name="Normal 7 2 2 3 3 6 2" xfId="7412" xr:uid="{AFDB76F9-3D4F-471E-931F-71E9AB369D68}"/>
    <cellStyle name="Normal 7 2 2 3 3 7" xfId="4018" xr:uid="{D571762C-30D8-466D-BFD6-25BC3D5133D1}"/>
    <cellStyle name="Normal 7 2 2 3 4" xfId="465" xr:uid="{6E328687-95BD-4061-AAB6-A6244AF2F3E5}"/>
    <cellStyle name="Normal 7 2 2 3 4 2" xfId="1196" xr:uid="{88452454-1DAA-4801-B326-9180A0594F2A}"/>
    <cellStyle name="Normal 7 2 2 3 4 2 2" xfId="3672" xr:uid="{E7802225-A125-459E-8CBB-BA4028111E19}"/>
    <cellStyle name="Normal 7 2 2 3 4 2 2 2" xfId="5551" xr:uid="{42CD26AA-D31F-4D56-BE4D-65AA0DB893D2}"/>
    <cellStyle name="Normal 7 2 2 3 4 2 3" xfId="2750" xr:uid="{49B0BE14-761F-4DA3-8381-345471719452}"/>
    <cellStyle name="Normal 7 2 2 3 4 2 4" xfId="4421" xr:uid="{1AFC0178-ED65-468F-81BB-4D6BD4664C81}"/>
    <cellStyle name="Normal 7 2 2 3 4 3" xfId="2080" xr:uid="{EAAA4BCE-0B61-46F9-85D7-9E7EBBC985E6}"/>
    <cellStyle name="Normal 7 2 2 3 4 3 2" xfId="3277" xr:uid="{20D460FE-D613-466E-B090-028AAD094CA6}"/>
    <cellStyle name="Normal 7 2 2 3 4 3 3" xfId="4983" xr:uid="{19E63B96-573B-4A89-8319-4C1DDFC1AF2D}"/>
    <cellStyle name="Normal 7 2 2 3 4 4" xfId="718" xr:uid="{DC52D99F-3FD5-4CAA-ADF3-9ED7E12BFD1C}"/>
    <cellStyle name="Normal 7 2 2 3 4 4 2" xfId="5203" xr:uid="{45022E9F-B34D-47B1-9CE6-A925E0B3E91D}"/>
    <cellStyle name="Normal 7 2 2 3 4 5" xfId="2402" xr:uid="{87548315-B6B8-4527-B98B-2202E8836F65}"/>
    <cellStyle name="Normal 7 2 2 3 4 5 2" xfId="7413" xr:uid="{4398AC92-8E54-4914-BC0C-70880C64E73A}"/>
    <cellStyle name="Normal 7 2 2 3 4 6" xfId="4073" xr:uid="{275B01E0-22BD-4699-9A7F-F80EEFEEE0F3}"/>
    <cellStyle name="Normal 7 2 2 3 5" xfId="782" xr:uid="{49EFFEFD-0A0E-4214-B04C-1E26C059DF94}"/>
    <cellStyle name="Normal 7 2 2 3 5 2" xfId="1261" xr:uid="{EC92719F-9C35-48B7-8814-EB74897F6705}"/>
    <cellStyle name="Normal 7 2 2 3 5 2 2" xfId="3735" xr:uid="{88212268-1511-416D-B10D-B3FCF684147E}"/>
    <cellStyle name="Normal 7 2 2 3 5 2 2 2" xfId="5606" xr:uid="{50AB127E-89A0-475F-8D2D-5CA31C4BDB4C}"/>
    <cellStyle name="Normal 7 2 2 3 5 2 3" xfId="2805" xr:uid="{7FF8B043-ACA4-4640-9D58-300CD4B75E97}"/>
    <cellStyle name="Normal 7 2 2 3 5 2 4" xfId="4476" xr:uid="{07B5D197-F50D-44A6-AB10-767CDAA85D0D}"/>
    <cellStyle name="Normal 7 2 2 3 5 3" xfId="3332" xr:uid="{EE245EC0-9724-4BCF-B2BA-FDC950EB36ED}"/>
    <cellStyle name="Normal 7 2 2 3 5 3 2" xfId="5258" xr:uid="{40D63D05-ABF4-4552-9C6C-A52B4680A9EB}"/>
    <cellStyle name="Normal 7 2 2 3 5 4" xfId="2457" xr:uid="{351896EE-9B7F-4400-A689-CC1442CEB073}"/>
    <cellStyle name="Normal 7 2 2 3 5 4 2" xfId="7414" xr:uid="{9C3E94EB-DBA6-484D-B7AD-08E5E50EB04F}"/>
    <cellStyle name="Normal 7 2 2 3 5 5" xfId="4128" xr:uid="{D2F355A8-B7FD-47FE-9039-AE2DC96C56DD}"/>
    <cellStyle name="Normal 7 2 2 3 6" xfId="846" xr:uid="{C684B0E0-6412-4ED5-B5DA-19F9146C0AAB}"/>
    <cellStyle name="Normal 7 2 2 3 6 2" xfId="1325" xr:uid="{315A6CB2-61C4-4644-B4F7-CF293545440B}"/>
    <cellStyle name="Normal 7 2 2 3 6 2 2" xfId="3799" xr:uid="{0D618176-2654-435C-8FB6-B48E8574A3C2}"/>
    <cellStyle name="Normal 7 2 2 3 6 2 2 2" xfId="5661" xr:uid="{65ADC490-1815-4BCD-9B3E-79156CDF9E4C}"/>
    <cellStyle name="Normal 7 2 2 3 6 2 3" xfId="2860" xr:uid="{B9F3E818-D36A-46D6-942D-A1CF759D469A}"/>
    <cellStyle name="Normal 7 2 2 3 6 2 4" xfId="4531" xr:uid="{1A89C9DF-D5A8-41C2-A7E8-6AD245F0082E}"/>
    <cellStyle name="Normal 7 2 2 3 6 3" xfId="3387" xr:uid="{81F155AB-8647-45C9-B58D-F35E5DC5B995}"/>
    <cellStyle name="Normal 7 2 2 3 6 3 2" xfId="5313" xr:uid="{4BCB1E9A-07E3-4962-A1ED-44CFB3A63348}"/>
    <cellStyle name="Normal 7 2 2 3 6 4" xfId="2512" xr:uid="{DF19B842-52D0-46F8-9E77-FDF4DA865512}"/>
    <cellStyle name="Normal 7 2 2 3 6 4 2" xfId="7415" xr:uid="{75B56C50-16BC-4689-818D-77F6F1409C1C}"/>
    <cellStyle name="Normal 7 2 2 3 6 5" xfId="4183" xr:uid="{AC37DAFB-6AFF-4A2C-9FBD-0E05C9C9C253}"/>
    <cellStyle name="Normal 7 2 2 3 7" xfId="1015" xr:uid="{355AB925-9A54-4A67-A17E-49E5DFAD05BC}"/>
    <cellStyle name="Normal 7 2 2 3 7 2" xfId="3512" xr:uid="{DBADBFB0-D115-400A-8926-91B78BBEC392}"/>
    <cellStyle name="Normal 7 2 2 3 7 2 2" xfId="5397" xr:uid="{31773721-D8D4-4270-81B1-1E58D09C717B}"/>
    <cellStyle name="Normal 7 2 2 3 7 3" xfId="2596" xr:uid="{2397D8E9-754F-4928-B6B8-C9245DF48FAE}"/>
    <cellStyle name="Normal 7 2 2 3 7 4" xfId="4267" xr:uid="{DA2712C7-14C1-40CE-811C-F0F4164CBAC1}"/>
    <cellStyle name="Normal 7 2 2 3 8" xfId="1478" xr:uid="{8D87354D-D771-49CE-93D4-35AED39A70ED}"/>
    <cellStyle name="Normal 7 2 2 3 8 2" xfId="3105" xr:uid="{E6AA43B4-6C46-48E4-A1B3-F8B1E936069F}"/>
    <cellStyle name="Normal 7 2 2 3 8 2 2" xfId="5752" xr:uid="{82F77D05-DCE7-41F3-8602-EA678B6738C5}"/>
    <cellStyle name="Normal 7 2 2 3 8 3" xfId="4613" xr:uid="{8C782AA2-1EAB-4334-BD04-3CEF4F204C10}"/>
    <cellStyle name="Normal 7 2 2 3 9" xfId="1781" xr:uid="{06D721C5-DF1E-4B15-A98E-76315AA23D56}"/>
    <cellStyle name="Normal 7 2 2 3 9 2" xfId="4799" xr:uid="{4F83BCF1-AC51-4FEF-A291-AD3949C7C0C8}"/>
    <cellStyle name="Normal 7 2 2 4" xfId="262" xr:uid="{CB380E36-C36B-43AE-A537-7A63066673B1}"/>
    <cellStyle name="Normal 7 2 2 4 2" xfId="1065" xr:uid="{8E2C962A-74C0-478B-ADD3-5143350C60A3}"/>
    <cellStyle name="Normal 7 2 2 4 2 2" xfId="3553" xr:uid="{286E0F11-FD62-4B69-A71C-3B7AE0BC3766}"/>
    <cellStyle name="Normal 7 2 2 4 2 2 2" xfId="5438" xr:uid="{D71E1E81-B50E-4CEA-A44D-3B25796985BA}"/>
    <cellStyle name="Normal 7 2 2 4 2 3" xfId="2637" xr:uid="{2DFA4250-F055-4A73-B6EA-AEC685439EFB}"/>
    <cellStyle name="Normal 7 2 2 4 2 4" xfId="4308" xr:uid="{D6475A35-906F-451E-ABDD-F53BB906195D}"/>
    <cellStyle name="Normal 7 2 2 4 3" xfId="1576" xr:uid="{D924C51D-E84D-46EB-A617-7020181F0BA6}"/>
    <cellStyle name="Normal 7 2 2 4 3 2" xfId="3165" xr:uid="{282CAC6C-A648-4E6B-B278-6EE1D90550A5}"/>
    <cellStyle name="Normal 7 2 2 4 3 2 2" xfId="5842" xr:uid="{008EA5FB-669B-42BA-B0FB-B209D083729A}"/>
    <cellStyle name="Normal 7 2 2 4 3 3" xfId="4671" xr:uid="{C7BC6241-21AD-4C4E-A749-BB7E8714B816}"/>
    <cellStyle name="Normal 7 2 2 4 4" xfId="1878" xr:uid="{CBAFE486-A448-4456-A9AA-786A64055D4E}"/>
    <cellStyle name="Normal 7 2 2 4 4 2" xfId="4857" xr:uid="{5DEDFE07-09FB-4D10-A488-CA2ADF6F6B48}"/>
    <cellStyle name="Normal 7 2 2 4 5" xfId="587" xr:uid="{04C3CE08-0C49-43D7-B0C0-33C28DE67D83}"/>
    <cellStyle name="Normal 7 2 2 4 5 2" xfId="5090" xr:uid="{5461BFFF-C5EC-490E-B6D7-44F59A3BF83C}"/>
    <cellStyle name="Normal 7 2 2 4 6" xfId="2289" xr:uid="{B27C6E68-2EE3-436C-9F1A-C8D6C7540380}"/>
    <cellStyle name="Normal 7 2 2 4 6 2" xfId="7416" xr:uid="{B3F8FBE8-A6A6-4A72-AA56-0575C0A1FE46}"/>
    <cellStyle name="Normal 7 2 2 4 7" xfId="3960" xr:uid="{FAB0A4D6-6194-436A-912B-E5F3E12F9EED}"/>
    <cellStyle name="Normal 7 2 2 5" xfId="362" xr:uid="{E6E3FA23-6C58-4FB1-8026-0E7C0E78271B}"/>
    <cellStyle name="Normal 7 2 2 5 2" xfId="1129" xr:uid="{A2EC4306-B04C-4D00-8128-D2AC592B00C9}"/>
    <cellStyle name="Normal 7 2 2 5 2 2" xfId="3608" xr:uid="{7B52736C-99EE-471A-AC8D-8FC642B39A30}"/>
    <cellStyle name="Normal 7 2 2 5 2 2 2" xfId="5493" xr:uid="{5A85A718-9EF2-4225-9AEF-EDE63A2DD35A}"/>
    <cellStyle name="Normal 7 2 2 5 2 3" xfId="2692" xr:uid="{634620E4-7C92-4354-92B1-1DE3868D0937}"/>
    <cellStyle name="Normal 7 2 2 5 2 4" xfId="4363" xr:uid="{8A2D47AB-2F10-489E-A377-27B5712CE4AE}"/>
    <cellStyle name="Normal 7 2 2 5 3" xfId="1675" xr:uid="{CFA92485-9E78-40F4-AC35-7CA9A40DCFBF}"/>
    <cellStyle name="Normal 7 2 2 5 3 2" xfId="3219" xr:uid="{3E524773-DC8C-41D7-85A0-1B052448D467}"/>
    <cellStyle name="Normal 7 2 2 5 3 2 2" xfId="5919" xr:uid="{AD9E037F-68DC-46B7-A7D5-E60ADF908EA0}"/>
    <cellStyle name="Normal 7 2 2 5 3 3" xfId="4732" xr:uid="{8C31E468-454D-4106-8808-E09EC7262D1B}"/>
    <cellStyle name="Normal 7 2 2 5 4" xfId="1977" xr:uid="{B0B18737-D891-444B-B00C-DA7CBF51421B}"/>
    <cellStyle name="Normal 7 2 2 5 4 2" xfId="4918" xr:uid="{725C51A2-4EA3-4D34-8BE8-49EDDD0BE256}"/>
    <cellStyle name="Normal 7 2 2 5 5" xfId="651" xr:uid="{FC380197-A109-4E56-B65D-B6B491F300AA}"/>
    <cellStyle name="Normal 7 2 2 5 5 2" xfId="5145" xr:uid="{58378FAE-B2F5-4AC0-82F8-DF7BBE50A4E7}"/>
    <cellStyle name="Normal 7 2 2 5 6" xfId="2344" xr:uid="{6951C433-72A6-479C-8FCE-F378AE160243}"/>
    <cellStyle name="Normal 7 2 2 5 6 2" xfId="7417" xr:uid="{0E374D57-8F8F-4C51-B997-DD8B80B90B17}"/>
    <cellStyle name="Normal 7 2 2 5 7" xfId="4015" xr:uid="{39808A19-B42D-46FE-93F5-3A5BE221CAE9}"/>
    <cellStyle name="Normal 7 2 2 6" xfId="462" xr:uid="{62F46666-B61D-43E6-A391-AAB0DF3657D6}"/>
    <cellStyle name="Normal 7 2 2 6 2" xfId="1193" xr:uid="{EE00EEF0-782F-4AE8-88A3-D2C1C41F84CD}"/>
    <cellStyle name="Normal 7 2 2 6 2 2" xfId="3669" xr:uid="{0C923468-2549-445A-8D2D-0F75BD0B4A08}"/>
    <cellStyle name="Normal 7 2 2 6 2 2 2" xfId="5548" xr:uid="{A68CBBB3-F18C-40E3-8801-873A1F0793A7}"/>
    <cellStyle name="Normal 7 2 2 6 2 3" xfId="2747" xr:uid="{D074E01D-CC1D-4AAC-9F2C-435D9CA33ACC}"/>
    <cellStyle name="Normal 7 2 2 6 2 4" xfId="4418" xr:uid="{25A92892-A191-4CA2-8EA9-5A6A61559FD3}"/>
    <cellStyle name="Normal 7 2 2 6 3" xfId="2077" xr:uid="{2A262C3D-C53F-4068-BC08-95B7AE537F1C}"/>
    <cellStyle name="Normal 7 2 2 6 3 2" xfId="3274" xr:uid="{4935BFEB-F149-4E3D-B4BB-9D0BE8B97627}"/>
    <cellStyle name="Normal 7 2 2 6 3 3" xfId="4980" xr:uid="{E93806F1-D54C-454F-8158-C2E7DB05EC40}"/>
    <cellStyle name="Normal 7 2 2 6 4" xfId="715" xr:uid="{263C2EE6-B114-4E22-92F4-A58689DEDE53}"/>
    <cellStyle name="Normal 7 2 2 6 4 2" xfId="5200" xr:uid="{D73CA6D3-382C-44DD-8BE5-2B760E073E7D}"/>
    <cellStyle name="Normal 7 2 2 6 5" xfId="2399" xr:uid="{8280BB57-C6D5-4BD8-A7E9-809B6692F977}"/>
    <cellStyle name="Normal 7 2 2 6 5 2" xfId="7418" xr:uid="{963DFA6E-43A3-4749-BBB6-96506B3DEAB3}"/>
    <cellStyle name="Normal 7 2 2 6 6" xfId="4070" xr:uid="{017601B4-3CCD-4810-9E5A-267EA7ABD077}"/>
    <cellStyle name="Normal 7 2 2 7" xfId="779" xr:uid="{82C3C9EB-74FD-45FE-B503-2FB81C7822E1}"/>
    <cellStyle name="Normal 7 2 2 7 2" xfId="1258" xr:uid="{F2AD3EBF-552A-4360-85BF-D074C45EFB9D}"/>
    <cellStyle name="Normal 7 2 2 7 2 2" xfId="3732" xr:uid="{E418E63A-C9E5-413C-96A3-F449CC4E4A6E}"/>
    <cellStyle name="Normal 7 2 2 7 2 2 2" xfId="5603" xr:uid="{C4A7A561-5DFC-483A-96B3-9FDE9C3F5A42}"/>
    <cellStyle name="Normal 7 2 2 7 2 3" xfId="2802" xr:uid="{FBD6F894-AEE8-4D53-A290-82684AB01A85}"/>
    <cellStyle name="Normal 7 2 2 7 2 4" xfId="4473" xr:uid="{AF90AAAD-2474-4EB8-86B6-42FB3CE9D0B7}"/>
    <cellStyle name="Normal 7 2 2 7 3" xfId="3329" xr:uid="{F9A24515-4242-4E09-B990-6846702E75AE}"/>
    <cellStyle name="Normal 7 2 2 7 3 2" xfId="5255" xr:uid="{8B393F5B-245F-466F-B1F8-E4BE9C62BC3A}"/>
    <cellStyle name="Normal 7 2 2 7 4" xfId="2454" xr:uid="{18C612F4-EBBF-4502-A459-35BF037CC6FA}"/>
    <cellStyle name="Normal 7 2 2 7 4 2" xfId="7419" xr:uid="{74D1BDC5-BB41-44D8-8917-40AB0EC430FA}"/>
    <cellStyle name="Normal 7 2 2 7 5" xfId="4125" xr:uid="{2908B1CF-5CAF-496A-AA82-CECBE6564224}"/>
    <cellStyle name="Normal 7 2 2 8" xfId="843" xr:uid="{F3F72692-9BBA-4BAC-94D6-8BD402AA2242}"/>
    <cellStyle name="Normal 7 2 2 8 2" xfId="1322" xr:uid="{682DD012-CED9-4211-9632-5F0753E16A92}"/>
    <cellStyle name="Normal 7 2 2 8 2 2" xfId="3796" xr:uid="{BEF7CBAA-94E9-43C1-8831-8B8C90AF813C}"/>
    <cellStyle name="Normal 7 2 2 8 2 2 2" xfId="5658" xr:uid="{3307EE90-EBBA-4023-9168-AD06D77004C3}"/>
    <cellStyle name="Normal 7 2 2 8 2 3" xfId="2857" xr:uid="{2DE8402E-E438-49EE-B3FE-6CC677AE51D0}"/>
    <cellStyle name="Normal 7 2 2 8 2 4" xfId="4528" xr:uid="{14BF7B54-2F41-459A-B286-BFE4B8DB041F}"/>
    <cellStyle name="Normal 7 2 2 8 3" xfId="3384" xr:uid="{6F475C73-AE99-449F-8047-4A38CBDFEE08}"/>
    <cellStyle name="Normal 7 2 2 8 3 2" xfId="5310" xr:uid="{9D4BA088-B2CD-4810-BD8B-6358EA8515AF}"/>
    <cellStyle name="Normal 7 2 2 8 4" xfId="2509" xr:uid="{1DCB0BD6-1ABC-4161-8409-EE36484653BE}"/>
    <cellStyle name="Normal 7 2 2 8 4 2" xfId="7420" xr:uid="{6ED01977-D115-4485-B9DE-68CA7EBADCBE}"/>
    <cellStyle name="Normal 7 2 2 8 5" xfId="4180" xr:uid="{E8423DAA-0C7F-4929-9F00-CEE55F69D1B3}"/>
    <cellStyle name="Normal 7 2 2 9" xfId="932" xr:uid="{A85FC7EB-C3EE-4A19-A9F9-B326BFF38F3C}"/>
    <cellStyle name="Normal 7 2 2 9 2" xfId="1368" xr:uid="{C259E073-A785-4894-BE8B-85468A8B7201}"/>
    <cellStyle name="Normal 7 2 2 9 2 2" xfId="3835" xr:uid="{75855470-094B-4899-B3CB-D23F5AB7B6E4}"/>
    <cellStyle name="Normal 7 2 2 9 2 2 2" xfId="5691" xr:uid="{3506E951-C678-44FE-8264-7810CF03872F}"/>
    <cellStyle name="Normal 7 2 2 9 2 3" xfId="2890" xr:uid="{C375E398-B36E-499F-9695-E6D1FABF901D}"/>
    <cellStyle name="Normal 7 2 2 9 2 4" xfId="4561" xr:uid="{4D573A6D-A0EB-40C7-A7D4-4173DE74C458}"/>
    <cellStyle name="Normal 7 2 2 9 3" xfId="3445" xr:uid="{32E59E00-A10F-4860-AB01-04B13D30521D}"/>
    <cellStyle name="Normal 7 2 2 9 3 2" xfId="5343" xr:uid="{C4CBBD21-6058-49AC-B031-B036771BF72C}"/>
    <cellStyle name="Normal 7 2 2 9 4" xfId="2542" xr:uid="{6B5B9F3A-9134-4827-B12E-6FAB323CEC07}"/>
    <cellStyle name="Normal 7 2 2 9 4 2" xfId="7421" xr:uid="{55A1664E-268D-42E4-A985-82C9F8BC6115}"/>
    <cellStyle name="Normal 7 2 2 9 5" xfId="4213" xr:uid="{4F359EDF-75C7-43E9-B105-591634670F5E}"/>
    <cellStyle name="Normal 7 2 3" xfId="155" xr:uid="{7DAF464C-BC39-47EC-BF6D-FA468988ADD0}"/>
    <cellStyle name="Normal 7 2 3 10" xfId="1782" xr:uid="{2E3CB4A4-55FF-4DD4-8A3B-B10F8753EC3A}"/>
    <cellStyle name="Normal 7 2 3 10 2" xfId="4800" xr:uid="{01DBAD2F-B397-4242-8B0A-876E7BF9DA27}"/>
    <cellStyle name="Normal 7 2 3 11" xfId="505" xr:uid="{255469EE-6488-48DB-8F2C-91B0142A8037}"/>
    <cellStyle name="Normal 7 2 3 11 2" xfId="5021" xr:uid="{3F5E5150-2EB0-402E-BD77-18845064B310}"/>
    <cellStyle name="Normal 7 2 3 12" xfId="2183" xr:uid="{10D3D783-8D30-4242-8232-09BB2D360F5F}"/>
    <cellStyle name="Normal 7 2 3 12 2" xfId="7422" xr:uid="{E5AFC748-F2F2-4930-B1F9-3F41FA50ED1B}"/>
    <cellStyle name="Normal 7 2 3 13" xfId="2220" xr:uid="{F0DFE9C1-A1AB-45C5-93DB-1E3041FDC640}"/>
    <cellStyle name="Normal 7 2 3 14" xfId="3891" xr:uid="{7C5B0B7C-0308-4682-9B6D-DAAA9D2E01EE}"/>
    <cellStyle name="Normal 7 2 3 2" xfId="156" xr:uid="{B5A46384-98B6-40FF-8F93-F5570EBFA150}"/>
    <cellStyle name="Normal 7 2 3 2 10" xfId="539" xr:uid="{EB2C2EEC-9EB1-4413-8515-13745D09DB12}"/>
    <cellStyle name="Normal 7 2 3 2 10 2" xfId="5051" xr:uid="{7A71401E-0F3B-4F55-8323-B182DB2F51E9}"/>
    <cellStyle name="Normal 7 2 3 2 11" xfId="2184" xr:uid="{9E64A81B-A09C-4E45-A421-D8BCACB7E0C4}"/>
    <cellStyle name="Normal 7 2 3 2 11 2" xfId="7423" xr:uid="{8629CB29-CAD0-4B9F-9A31-C1323582886D}"/>
    <cellStyle name="Normal 7 2 3 2 12" xfId="2250" xr:uid="{91D4B941-6C0F-4C60-ACBB-78AF9FCC2975}"/>
    <cellStyle name="Normal 7 2 3 2 13" xfId="3921" xr:uid="{4CDD2FA7-A424-45EA-847F-4BC1745624B3}"/>
    <cellStyle name="Normal 7 2 3 2 2" xfId="267" xr:uid="{633CA5C4-5738-46C9-8287-42EF52F9903D}"/>
    <cellStyle name="Normal 7 2 3 2 2 2" xfId="1070" xr:uid="{2FD6A056-5ADC-4FD1-986D-EF8C2D43FBE1}"/>
    <cellStyle name="Normal 7 2 3 2 2 2 2" xfId="3558" xr:uid="{0FF10699-D49C-4E8B-949D-3F07153911FA}"/>
    <cellStyle name="Normal 7 2 3 2 2 2 2 2" xfId="5443" xr:uid="{B28FC36F-D4E6-4DDB-B884-73948EEC5F3A}"/>
    <cellStyle name="Normal 7 2 3 2 2 2 3" xfId="2642" xr:uid="{2667C552-9707-4DB7-920D-94CF64095B20}"/>
    <cellStyle name="Normal 7 2 3 2 2 2 4" xfId="4313" xr:uid="{37B2B632-C733-4C64-93BA-583CAA758477}"/>
    <cellStyle name="Normal 7 2 3 2 2 3" xfId="1581" xr:uid="{81840D27-1AC6-45E5-BF92-AC21C00FFA5C}"/>
    <cellStyle name="Normal 7 2 3 2 2 3 2" xfId="3170" xr:uid="{0993A70E-EA74-4012-8A25-37A586955648}"/>
    <cellStyle name="Normal 7 2 3 2 2 3 2 2" xfId="5847" xr:uid="{2884BD58-4269-4BC0-8F85-5A0EAC86C375}"/>
    <cellStyle name="Normal 7 2 3 2 2 3 3" xfId="4676" xr:uid="{253AFDAA-212A-42AC-B2A2-A38748CC7503}"/>
    <cellStyle name="Normal 7 2 3 2 2 4" xfId="1883" xr:uid="{8E14C5A2-5CBE-4764-AA23-15985586E48F}"/>
    <cellStyle name="Normal 7 2 3 2 2 4 2" xfId="4862" xr:uid="{8E9070C7-6E44-4FD6-8BE8-CD4DB1B27DC7}"/>
    <cellStyle name="Normal 7 2 3 2 2 5" xfId="592" xr:uid="{5D34E813-5F33-40DC-AC7A-84C23ED3DBA5}"/>
    <cellStyle name="Normal 7 2 3 2 2 5 2" xfId="5095" xr:uid="{E087C3F0-40A5-4151-BB05-70AD5D6A3302}"/>
    <cellStyle name="Normal 7 2 3 2 2 6" xfId="2294" xr:uid="{D4E7DC22-C6BB-41C8-8BB5-62599F7ED7EB}"/>
    <cellStyle name="Normal 7 2 3 2 2 6 2" xfId="7424" xr:uid="{ACCBF901-1460-4204-AD37-67B7AC382E24}"/>
    <cellStyle name="Normal 7 2 3 2 2 7" xfId="3965" xr:uid="{5354AAE3-9695-460D-8239-73596C15F38C}"/>
    <cellStyle name="Normal 7 2 3 2 3" xfId="367" xr:uid="{349E3684-932E-4F62-882E-4F6093CC00BD}"/>
    <cellStyle name="Normal 7 2 3 2 3 2" xfId="1134" xr:uid="{894B1163-32E0-473B-9933-A94EF16679DC}"/>
    <cellStyle name="Normal 7 2 3 2 3 2 2" xfId="3613" xr:uid="{6923F9F6-E970-4EF9-BB23-F3C1C5032429}"/>
    <cellStyle name="Normal 7 2 3 2 3 2 2 2" xfId="5498" xr:uid="{0E06B2D3-4E35-417E-9771-ED3842F533EE}"/>
    <cellStyle name="Normal 7 2 3 2 3 2 3" xfId="2697" xr:uid="{1D3EF9E6-E70D-4D0D-89F3-EAFF0F937675}"/>
    <cellStyle name="Normal 7 2 3 2 3 2 4" xfId="4368" xr:uid="{22B54284-D438-44D6-A7FA-87C573FDA46A}"/>
    <cellStyle name="Normal 7 2 3 2 3 3" xfId="1680" xr:uid="{5AFF6F71-170F-428A-9AC2-D03D2CB2543E}"/>
    <cellStyle name="Normal 7 2 3 2 3 3 2" xfId="3224" xr:uid="{995C3366-A23A-40CD-803A-16758741CB93}"/>
    <cellStyle name="Normal 7 2 3 2 3 3 2 2" xfId="5924" xr:uid="{B7994A0D-D59F-48A4-853E-A9D5AE2EDF55}"/>
    <cellStyle name="Normal 7 2 3 2 3 3 3" xfId="4737" xr:uid="{DCA7A1B3-EC7E-4BF3-88DD-9FBDFD6DBD1D}"/>
    <cellStyle name="Normal 7 2 3 2 3 4" xfId="1982" xr:uid="{E0A254CB-978F-417D-8A72-F39B431931F0}"/>
    <cellStyle name="Normal 7 2 3 2 3 4 2" xfId="4923" xr:uid="{A9E692CF-1F6E-4B0B-924A-406AD3388B7F}"/>
    <cellStyle name="Normal 7 2 3 2 3 5" xfId="656" xr:uid="{C9559D33-0888-43D0-B432-F48C7CBFC96B}"/>
    <cellStyle name="Normal 7 2 3 2 3 5 2" xfId="5150" xr:uid="{4487EA5B-5A9C-49BA-AD74-1D408A99ED8E}"/>
    <cellStyle name="Normal 7 2 3 2 3 6" xfId="2349" xr:uid="{954A0B53-5E27-45F1-A517-979E78BC8DC0}"/>
    <cellStyle name="Normal 7 2 3 2 3 6 2" xfId="7425" xr:uid="{1E384EF9-4410-409F-8573-F3906CD7E253}"/>
    <cellStyle name="Normal 7 2 3 2 3 7" xfId="4020" xr:uid="{06B82CC4-469A-4BDD-A4F0-123CA1E85141}"/>
    <cellStyle name="Normal 7 2 3 2 4" xfId="467" xr:uid="{1A1327C5-4481-4A88-B1BE-FB0003C8A5FB}"/>
    <cellStyle name="Normal 7 2 3 2 4 2" xfId="1198" xr:uid="{B11F3935-6969-4D8B-B4F9-B6E10C5D558D}"/>
    <cellStyle name="Normal 7 2 3 2 4 2 2" xfId="3674" xr:uid="{A16B5285-6B14-4C6E-AEFB-1ED4FA4AC46C}"/>
    <cellStyle name="Normal 7 2 3 2 4 2 2 2" xfId="5553" xr:uid="{E650DF64-A6CF-47BD-986F-A7ECB84CAEB9}"/>
    <cellStyle name="Normal 7 2 3 2 4 2 3" xfId="2752" xr:uid="{D07BBEF4-9362-4C75-8415-E9CBAE148C4A}"/>
    <cellStyle name="Normal 7 2 3 2 4 2 4" xfId="4423" xr:uid="{1BEEF3C1-45FB-459E-BB53-5EA9EFAB2775}"/>
    <cellStyle name="Normal 7 2 3 2 4 3" xfId="2082" xr:uid="{65624E98-431E-407F-9881-CFBC3031F63A}"/>
    <cellStyle name="Normal 7 2 3 2 4 3 2" xfId="3279" xr:uid="{92160AE3-8534-4844-B949-989977BCFF49}"/>
    <cellStyle name="Normal 7 2 3 2 4 3 3" xfId="4985" xr:uid="{DE44D9FA-9D05-455F-BEC5-10E951568618}"/>
    <cellStyle name="Normal 7 2 3 2 4 4" xfId="720" xr:uid="{48E2BB46-2326-4D32-8D01-D82CF3A9DFAD}"/>
    <cellStyle name="Normal 7 2 3 2 4 4 2" xfId="5205" xr:uid="{94494A27-C18E-42EC-B3CF-4CD1BA01D56D}"/>
    <cellStyle name="Normal 7 2 3 2 4 5" xfId="2404" xr:uid="{FF5D04A3-2716-4762-A89B-A931AE66B0B1}"/>
    <cellStyle name="Normal 7 2 3 2 4 5 2" xfId="7426" xr:uid="{E58086B6-8E86-418E-A0EF-2D958B377FD9}"/>
    <cellStyle name="Normal 7 2 3 2 4 6" xfId="4075" xr:uid="{5E044682-D4CD-4DB9-A4DF-CF401CC43C79}"/>
    <cellStyle name="Normal 7 2 3 2 5" xfId="784" xr:uid="{EA74B2CC-EFB9-459C-860F-E02FE10C57B3}"/>
    <cellStyle name="Normal 7 2 3 2 5 2" xfId="1263" xr:uid="{D94FA416-05F4-47B4-A0D8-A620F41265CA}"/>
    <cellStyle name="Normal 7 2 3 2 5 2 2" xfId="3737" xr:uid="{DB9BF552-E6A6-44DA-80EE-FAEEC8941582}"/>
    <cellStyle name="Normal 7 2 3 2 5 2 2 2" xfId="5608" xr:uid="{7BCC87AF-DF3E-494F-A84D-9E5D091EC473}"/>
    <cellStyle name="Normal 7 2 3 2 5 2 3" xfId="2807" xr:uid="{0D200D61-FCA7-49D0-BF1B-035F0A8305C6}"/>
    <cellStyle name="Normal 7 2 3 2 5 2 4" xfId="4478" xr:uid="{683618DB-06A2-4EDA-8230-5AD1DC1049B4}"/>
    <cellStyle name="Normal 7 2 3 2 5 3" xfId="3334" xr:uid="{7DC4061B-B1DF-4852-9D4F-C8E67D126E59}"/>
    <cellStyle name="Normal 7 2 3 2 5 3 2" xfId="5260" xr:uid="{2549F820-F000-4EB2-8596-8F5E4FF8097C}"/>
    <cellStyle name="Normal 7 2 3 2 5 4" xfId="2459" xr:uid="{DFC73E00-A318-49A3-B249-6EFB918AEEDF}"/>
    <cellStyle name="Normal 7 2 3 2 5 4 2" xfId="7427" xr:uid="{D59130F5-7CC2-45F8-9B71-EC6C86530F1F}"/>
    <cellStyle name="Normal 7 2 3 2 5 5" xfId="4130" xr:uid="{A1218E23-BA31-4730-8945-B83EBCF5BA02}"/>
    <cellStyle name="Normal 7 2 3 2 6" xfId="848" xr:uid="{C7371388-A604-41C0-8598-A188656BAD2B}"/>
    <cellStyle name="Normal 7 2 3 2 6 2" xfId="1327" xr:uid="{BE4EA3D3-9084-4D0F-B279-D215FE1A66B4}"/>
    <cellStyle name="Normal 7 2 3 2 6 2 2" xfId="3801" xr:uid="{C73563D7-0E7A-4E66-94D8-C9EF2FACC2A7}"/>
    <cellStyle name="Normal 7 2 3 2 6 2 2 2" xfId="5663" xr:uid="{3230B2ED-4F96-405A-ACCC-4076EBE29F94}"/>
    <cellStyle name="Normal 7 2 3 2 6 2 3" xfId="2862" xr:uid="{7E0EB442-0934-4443-B197-FD43163E5EAE}"/>
    <cellStyle name="Normal 7 2 3 2 6 2 4" xfId="4533" xr:uid="{A0198E01-5A8C-45C8-B6A5-39B776B84D21}"/>
    <cellStyle name="Normal 7 2 3 2 6 3" xfId="3389" xr:uid="{4C12AE9B-F66C-4A93-9BD1-5507C43D1C24}"/>
    <cellStyle name="Normal 7 2 3 2 6 3 2" xfId="5315" xr:uid="{936F6C6E-2A92-488D-A25C-F6EC6DA60A2F}"/>
    <cellStyle name="Normal 7 2 3 2 6 4" xfId="2514" xr:uid="{A3123BBF-C905-4B8C-83F5-C1823F7FF605}"/>
    <cellStyle name="Normal 7 2 3 2 6 4 2" xfId="7428" xr:uid="{27C03C09-7DB6-416D-B336-48FE522FD307}"/>
    <cellStyle name="Normal 7 2 3 2 6 5" xfId="4185" xr:uid="{6BBCB674-9E90-4302-87A2-36E0D6B0E1DF}"/>
    <cellStyle name="Normal 7 2 3 2 7" xfId="1017" xr:uid="{64287904-4C1D-406D-9DF3-C5F7C81BFEF6}"/>
    <cellStyle name="Normal 7 2 3 2 7 2" xfId="3514" xr:uid="{298CCD96-5A63-4235-8B9E-4799B4AEFAE2}"/>
    <cellStyle name="Normal 7 2 3 2 7 2 2" xfId="5399" xr:uid="{18C7AF4A-FE9A-45DA-B29F-EC3A6B9DD54E}"/>
    <cellStyle name="Normal 7 2 3 2 7 3" xfId="2598" xr:uid="{CF9892AB-8912-4AAD-9155-1C4C411EAF77}"/>
    <cellStyle name="Normal 7 2 3 2 7 4" xfId="4269" xr:uid="{AC6E63B7-D8D3-42BD-A03E-46BD5BF5CCB0}"/>
    <cellStyle name="Normal 7 2 3 2 8" xfId="1480" xr:uid="{CDE09E29-433D-418C-B29A-AF08F2AB56A9}"/>
    <cellStyle name="Normal 7 2 3 2 8 2" xfId="3064" xr:uid="{2651DA81-E788-436C-9812-AB4F67596420}"/>
    <cellStyle name="Normal 7 2 3 2 8 2 2" xfId="5754" xr:uid="{77412982-B3E5-4AC6-99D7-88D252486C4B}"/>
    <cellStyle name="Normal 7 2 3 2 8 3" xfId="4615" xr:uid="{DFDAF804-2E89-4981-A382-0F92F199F273}"/>
    <cellStyle name="Normal 7 2 3 2 9" xfId="1783" xr:uid="{2F24ED69-8026-4C67-A8C0-A2FA66D8A182}"/>
    <cellStyle name="Normal 7 2 3 2 9 2" xfId="4801" xr:uid="{685AEF1C-D7EC-441A-85BF-1226DA107927}"/>
    <cellStyle name="Normal 7 2 3 3" xfId="266" xr:uid="{8F5438C5-FAF4-4801-9C38-A8A9422EE416}"/>
    <cellStyle name="Normal 7 2 3 3 2" xfId="1069" xr:uid="{A357A69E-96A7-4AA2-ACD8-79E376DDA742}"/>
    <cellStyle name="Normal 7 2 3 3 2 2" xfId="3557" xr:uid="{1FCDCF3F-D2E4-4039-A5C7-A62EB04FCEA6}"/>
    <cellStyle name="Normal 7 2 3 3 2 2 2" xfId="5442" xr:uid="{F7B4E5CA-6CC6-42A3-A3AD-DD9D6ADC2FE1}"/>
    <cellStyle name="Normal 7 2 3 3 2 3" xfId="2641" xr:uid="{17AA5115-CBFB-4B4E-8D08-20AE368BD3FD}"/>
    <cellStyle name="Normal 7 2 3 3 2 4" xfId="4312" xr:uid="{B5F98090-8CB2-4753-95F6-91CD3266B72D}"/>
    <cellStyle name="Normal 7 2 3 3 3" xfId="1580" xr:uid="{5E0BEBCC-8E00-4DBF-BCF0-3A09C271A369}"/>
    <cellStyle name="Normal 7 2 3 3 3 2" xfId="3169" xr:uid="{00B2D33E-D6DD-4058-87E1-885B74C0854D}"/>
    <cellStyle name="Normal 7 2 3 3 3 2 2" xfId="5846" xr:uid="{D8138FC4-CA45-49F5-AAB6-41F1771710B7}"/>
    <cellStyle name="Normal 7 2 3 3 3 3" xfId="4675" xr:uid="{92FE5143-CA05-4A21-BC65-1773EB768851}"/>
    <cellStyle name="Normal 7 2 3 3 4" xfId="1882" xr:uid="{A0BFEE87-A207-4DE2-9F6E-4654EE47DC57}"/>
    <cellStyle name="Normal 7 2 3 3 4 2" xfId="4861" xr:uid="{57824F14-A752-4D9A-9C11-8B122EA9E52E}"/>
    <cellStyle name="Normal 7 2 3 3 5" xfId="591" xr:uid="{AFE6C914-6966-4D52-B28C-FDA00C748254}"/>
    <cellStyle name="Normal 7 2 3 3 5 2" xfId="5094" xr:uid="{B961AA7C-8016-4C09-B4F1-6B53BB603F52}"/>
    <cellStyle name="Normal 7 2 3 3 6" xfId="2293" xr:uid="{0976CE4D-F8FA-4F40-BDAA-8E09128DE024}"/>
    <cellStyle name="Normal 7 2 3 3 6 2" xfId="7429" xr:uid="{02DF596D-83E1-4CCE-8742-69FD8562F02D}"/>
    <cellStyle name="Normal 7 2 3 3 7" xfId="3964" xr:uid="{6D511C67-4CA5-45FC-A31D-9C9C4E822C3E}"/>
    <cellStyle name="Normal 7 2 3 4" xfId="366" xr:uid="{E89AB8BB-BF0C-42B9-BBC7-9E11B0B57372}"/>
    <cellStyle name="Normal 7 2 3 4 2" xfId="1133" xr:uid="{EE5D96D9-4F6B-4DDD-9F66-468C9D7AA408}"/>
    <cellStyle name="Normal 7 2 3 4 2 2" xfId="3612" xr:uid="{9868D538-8F6E-4E4E-B072-C5F179DE3628}"/>
    <cellStyle name="Normal 7 2 3 4 2 2 2" xfId="5497" xr:uid="{10EF4C3C-82E1-4C9A-ABE7-174C27D679F0}"/>
    <cellStyle name="Normal 7 2 3 4 2 3" xfId="2696" xr:uid="{D12832A0-3DFD-4703-8135-FB58EF32E21F}"/>
    <cellStyle name="Normal 7 2 3 4 2 4" xfId="4367" xr:uid="{D5F37FD4-7D03-4888-970D-571536ABD5EC}"/>
    <cellStyle name="Normal 7 2 3 4 3" xfId="1679" xr:uid="{A323E577-9630-4AC3-A21C-FA379A7563FB}"/>
    <cellStyle name="Normal 7 2 3 4 3 2" xfId="3223" xr:uid="{2A8C07F7-7965-4994-9490-E751C2C5BD31}"/>
    <cellStyle name="Normal 7 2 3 4 3 2 2" xfId="5923" xr:uid="{355C0A2E-5338-4D4E-A1D2-975831C414FC}"/>
    <cellStyle name="Normal 7 2 3 4 3 3" xfId="4736" xr:uid="{CE900FDD-DCA9-4C20-9404-4EBE295B77B1}"/>
    <cellStyle name="Normal 7 2 3 4 4" xfId="1981" xr:uid="{15B75581-730E-41B1-A426-0203530BCE22}"/>
    <cellStyle name="Normal 7 2 3 4 4 2" xfId="4922" xr:uid="{5AB8BD09-F505-49A5-9B56-3413B16FDE0F}"/>
    <cellStyle name="Normal 7 2 3 4 5" xfId="655" xr:uid="{D9539691-664F-47C4-BC6B-14F84BFB074E}"/>
    <cellStyle name="Normal 7 2 3 4 5 2" xfId="5149" xr:uid="{F3E5C61E-44CB-431C-9009-56948B26BB5E}"/>
    <cellStyle name="Normal 7 2 3 4 6" xfId="2348" xr:uid="{785EDDBD-D96A-43E7-9CA0-643B9990C4C9}"/>
    <cellStyle name="Normal 7 2 3 4 6 2" xfId="7430" xr:uid="{138534D9-D611-4293-99CC-26BF5E8D9006}"/>
    <cellStyle name="Normal 7 2 3 4 7" xfId="4019" xr:uid="{EA45B548-F017-4ADB-97F9-88304AD46D0F}"/>
    <cellStyle name="Normal 7 2 3 5" xfId="466" xr:uid="{A98B60C5-4867-4644-B7AA-58006FA08B09}"/>
    <cellStyle name="Normal 7 2 3 5 2" xfId="1197" xr:uid="{EE11E6C7-3D2A-427D-9F4A-7C0204C30DE3}"/>
    <cellStyle name="Normal 7 2 3 5 2 2" xfId="3673" xr:uid="{CCD98B8C-FF08-40F1-A962-4F2DB42D2D60}"/>
    <cellStyle name="Normal 7 2 3 5 2 2 2" xfId="5552" xr:uid="{7C00EC10-89E0-4CEB-A53C-2655FC068236}"/>
    <cellStyle name="Normal 7 2 3 5 2 3" xfId="2751" xr:uid="{F751A75B-71EB-4137-A0B9-7A9F8710B872}"/>
    <cellStyle name="Normal 7 2 3 5 2 4" xfId="4422" xr:uid="{0CC06775-1587-451B-99C0-18E397A163E8}"/>
    <cellStyle name="Normal 7 2 3 5 3" xfId="2081" xr:uid="{847D904F-656D-4208-AAC0-B6B024BBFFF3}"/>
    <cellStyle name="Normal 7 2 3 5 3 2" xfId="3278" xr:uid="{3EE08565-D957-4BD0-AA6C-6987BC839B86}"/>
    <cellStyle name="Normal 7 2 3 5 3 3" xfId="4984" xr:uid="{684E6A9E-3347-4698-9FE2-BF446F5A9D8E}"/>
    <cellStyle name="Normal 7 2 3 5 4" xfId="719" xr:uid="{52ED0935-F3B7-4258-ABDA-F7DB72EA0DA8}"/>
    <cellStyle name="Normal 7 2 3 5 4 2" xfId="5204" xr:uid="{4F9B3F06-58A4-43E2-9061-6A14A930609A}"/>
    <cellStyle name="Normal 7 2 3 5 5" xfId="2403" xr:uid="{2C1E86D9-F3D6-4843-A0B9-FBED815D21AB}"/>
    <cellStyle name="Normal 7 2 3 5 5 2" xfId="7431" xr:uid="{16A9909F-B717-42A5-84F8-E01B74D5D923}"/>
    <cellStyle name="Normal 7 2 3 5 6" xfId="4074" xr:uid="{33334D26-4395-4AAC-9CD1-EAE3F7BDB8CE}"/>
    <cellStyle name="Normal 7 2 3 6" xfId="783" xr:uid="{0B1053CE-0D3F-406F-AD4D-71988BF5944B}"/>
    <cellStyle name="Normal 7 2 3 6 2" xfId="1262" xr:uid="{1074FF2B-B53A-421C-8FAF-1AE67CD1501C}"/>
    <cellStyle name="Normal 7 2 3 6 2 2" xfId="3736" xr:uid="{0BAF2E52-DF0C-44FC-8123-68BBC30EE107}"/>
    <cellStyle name="Normal 7 2 3 6 2 2 2" xfId="5607" xr:uid="{A2A4906C-ABF7-4B90-AFE1-E0C452A9FF6B}"/>
    <cellStyle name="Normal 7 2 3 6 2 3" xfId="2806" xr:uid="{42D0F6AE-5316-4D18-BB27-30A7C6882FE7}"/>
    <cellStyle name="Normal 7 2 3 6 2 4" xfId="4477" xr:uid="{B46EA6E4-FA7A-4E1B-98C4-DB8BD9880719}"/>
    <cellStyle name="Normal 7 2 3 6 3" xfId="3333" xr:uid="{C37CD515-A58E-41B9-843E-4050585FB425}"/>
    <cellStyle name="Normal 7 2 3 6 3 2" xfId="5259" xr:uid="{D45A87FC-AC68-492A-AFD2-C3D3C8DD7929}"/>
    <cellStyle name="Normal 7 2 3 6 4" xfId="2458" xr:uid="{9EED70E6-EDDD-4460-B56C-9E0066352754}"/>
    <cellStyle name="Normal 7 2 3 6 4 2" xfId="7432" xr:uid="{2A1F51DF-FF36-4AF8-ABE0-2EC93C6F950B}"/>
    <cellStyle name="Normal 7 2 3 6 5" xfId="4129" xr:uid="{B85A9EE0-14CE-426B-93CA-71C0828A4E82}"/>
    <cellStyle name="Normal 7 2 3 7" xfId="847" xr:uid="{CEAD471F-20FC-4593-A11A-B8D6E45934A3}"/>
    <cellStyle name="Normal 7 2 3 7 2" xfId="1326" xr:uid="{6B2E8A60-F159-48A2-849E-6A41AB653B80}"/>
    <cellStyle name="Normal 7 2 3 7 2 2" xfId="3800" xr:uid="{A8E74A2F-8891-43C7-8602-12835AF0E622}"/>
    <cellStyle name="Normal 7 2 3 7 2 2 2" xfId="5662" xr:uid="{FE2DE225-3F23-4450-951A-69F91B09B591}"/>
    <cellStyle name="Normal 7 2 3 7 2 3" xfId="2861" xr:uid="{11CF85BA-77B7-4C21-BDD5-497F7625A4F2}"/>
    <cellStyle name="Normal 7 2 3 7 2 4" xfId="4532" xr:uid="{FF2A6242-E998-4ED0-93CF-A70378D25022}"/>
    <cellStyle name="Normal 7 2 3 7 3" xfId="3388" xr:uid="{C30FF6C3-5237-49EC-820E-9500AD87222E}"/>
    <cellStyle name="Normal 7 2 3 7 3 2" xfId="5314" xr:uid="{9F74A0C1-4469-4696-96C9-54622406F309}"/>
    <cellStyle name="Normal 7 2 3 7 4" xfId="2513" xr:uid="{FE0D8CCF-B231-48FA-971D-351909E1D3BA}"/>
    <cellStyle name="Normal 7 2 3 7 4 2" xfId="7433" xr:uid="{1DE31E7D-623A-410C-85AD-6C819B3AF4B1}"/>
    <cellStyle name="Normal 7 2 3 7 5" xfId="4184" xr:uid="{B58F662E-6B3C-40A7-BC36-083905EE16C3}"/>
    <cellStyle name="Normal 7 2 3 8" xfId="983" xr:uid="{132F1A6C-CF98-49E6-AF24-795E34DC3CDA}"/>
    <cellStyle name="Normal 7 2 3 8 2" xfId="3480" xr:uid="{2A474759-6159-4448-96F7-2530F9EB011B}"/>
    <cellStyle name="Normal 7 2 3 8 2 2" xfId="5369" xr:uid="{E93FBCF3-4389-4D05-B269-7A9E5E59DA50}"/>
    <cellStyle name="Normal 7 2 3 8 3" xfId="2568" xr:uid="{0C0B1840-099F-4D1A-A1FB-EA570EBDB4FC}"/>
    <cellStyle name="Normal 7 2 3 8 4" xfId="4239" xr:uid="{7A8A0969-FA47-42B0-A5B0-E5E4C4E883AD}"/>
    <cellStyle name="Normal 7 2 3 9" xfId="1479" xr:uid="{3712F644-C15A-4540-83A3-A0C8041F9AAC}"/>
    <cellStyle name="Normal 7 2 3 9 2" xfId="3106" xr:uid="{E450F1B5-F1E1-462B-9A52-E70E6D7C5861}"/>
    <cellStyle name="Normal 7 2 3 9 2 2" xfId="5753" xr:uid="{4B365840-9000-42A0-AAD3-70799EC6FE1A}"/>
    <cellStyle name="Normal 7 2 3 9 3" xfId="4614" xr:uid="{F0BFF803-AE4E-4E5D-B10B-818356270848}"/>
    <cellStyle name="Normal 7 2 4" xfId="157" xr:uid="{015BD8B1-CC54-436A-B69D-ED107A7A807E}"/>
    <cellStyle name="Normal 7 2 4 10" xfId="536" xr:uid="{316411D5-6DF8-45E4-996B-B9CE8C75EBB6}"/>
    <cellStyle name="Normal 7 2 4 10 2" xfId="5048" xr:uid="{80FE7BED-505B-4C0F-B634-23BD146092BB}"/>
    <cellStyle name="Normal 7 2 4 11" xfId="2185" xr:uid="{7A68E940-E459-4701-BABA-867B7D844B52}"/>
    <cellStyle name="Normal 7 2 4 11 2" xfId="7434" xr:uid="{5FC9F75D-8ADD-486E-9B93-7CEEAF0C4A4C}"/>
    <cellStyle name="Normal 7 2 4 12" xfId="2247" xr:uid="{0299D8DA-49A3-4506-8BE9-72DDE70020EF}"/>
    <cellStyle name="Normal 7 2 4 13" xfId="3918" xr:uid="{B365DD8C-8710-4592-B2DD-08B4A022DADE}"/>
    <cellStyle name="Normal 7 2 4 2" xfId="268" xr:uid="{AF70055D-FD7B-4916-B8F2-77007C4232F0}"/>
    <cellStyle name="Normal 7 2 4 2 2" xfId="1071" xr:uid="{83082ED6-3007-4C8F-84A8-B8A294A6F85C}"/>
    <cellStyle name="Normal 7 2 4 2 2 2" xfId="3559" xr:uid="{E0A64FA2-37A9-4EA2-BBC7-46972D7CDD47}"/>
    <cellStyle name="Normal 7 2 4 2 2 2 2" xfId="5444" xr:uid="{6B6C9372-FAE2-4A03-B7CA-21FB31931188}"/>
    <cellStyle name="Normal 7 2 4 2 2 3" xfId="2643" xr:uid="{A0959990-C8F2-41E5-B963-124AC018362A}"/>
    <cellStyle name="Normal 7 2 4 2 2 4" xfId="4314" xr:uid="{A1262432-A40C-4522-A698-26BD72E9D666}"/>
    <cellStyle name="Normal 7 2 4 2 3" xfId="1582" xr:uid="{16A363F6-8FB0-4C94-BAD2-32195391E51A}"/>
    <cellStyle name="Normal 7 2 4 2 3 2" xfId="3171" xr:uid="{20DC79A2-D513-490B-89EA-7CF89FB25AE4}"/>
    <cellStyle name="Normal 7 2 4 2 3 2 2" xfId="5848" xr:uid="{F0F68EE1-CFBB-4DC5-BFD1-3AA511578903}"/>
    <cellStyle name="Normal 7 2 4 2 3 3" xfId="4677" xr:uid="{6CFC048E-75AB-444D-B9DC-A6E0D5F831D4}"/>
    <cellStyle name="Normal 7 2 4 2 4" xfId="1884" xr:uid="{61836D99-FD3C-418D-B831-6555B6165D98}"/>
    <cellStyle name="Normal 7 2 4 2 4 2" xfId="4863" xr:uid="{1C851A1F-6AC3-4FE9-BB1F-B13ADD4F845C}"/>
    <cellStyle name="Normal 7 2 4 2 5" xfId="593" xr:uid="{5FAB7A45-416B-4F67-9861-A4B2D6633363}"/>
    <cellStyle name="Normal 7 2 4 2 5 2" xfId="5096" xr:uid="{29C63D94-3F24-4F4E-B121-BF1E33E33B21}"/>
    <cellStyle name="Normal 7 2 4 2 6" xfId="2295" xr:uid="{33A31E00-C2A9-47E5-8253-B0500F6F0A87}"/>
    <cellStyle name="Normal 7 2 4 2 6 2" xfId="7435" xr:uid="{03A16FCB-A185-4B1C-8E30-04CE7901484A}"/>
    <cellStyle name="Normal 7 2 4 2 7" xfId="3966" xr:uid="{D67B7B35-5F55-4D92-B2AB-59BF2B2E97C0}"/>
    <cellStyle name="Normal 7 2 4 3" xfId="368" xr:uid="{B4EB6914-29EF-4768-9F55-21A6BB0378EE}"/>
    <cellStyle name="Normal 7 2 4 3 2" xfId="1135" xr:uid="{2C02B852-F638-4CE7-B7FC-6BC7D498E7D7}"/>
    <cellStyle name="Normal 7 2 4 3 2 2" xfId="3614" xr:uid="{79A54029-6F6E-47BD-9B7D-95667BC439BE}"/>
    <cellStyle name="Normal 7 2 4 3 2 2 2" xfId="5499" xr:uid="{374BEE22-0E06-4795-A4D6-D92E4E7E0E3A}"/>
    <cellStyle name="Normal 7 2 4 3 2 3" xfId="2698" xr:uid="{5048F946-C8CA-404E-B3B3-2EF00ED03F6D}"/>
    <cellStyle name="Normal 7 2 4 3 2 4" xfId="4369" xr:uid="{2FB114E8-492B-41F5-BACC-B09C57EE367A}"/>
    <cellStyle name="Normal 7 2 4 3 3" xfId="1681" xr:uid="{CB3763E5-538D-426B-B911-D57CC5B3753A}"/>
    <cellStyle name="Normal 7 2 4 3 3 2" xfId="3225" xr:uid="{2A6E8BE6-6C17-466D-8F2E-DF224F07C734}"/>
    <cellStyle name="Normal 7 2 4 3 3 2 2" xfId="5925" xr:uid="{0EF50036-ED5A-497C-84B9-6F1E84C403C1}"/>
    <cellStyle name="Normal 7 2 4 3 3 3" xfId="4738" xr:uid="{EE5A4F2C-DDE4-4A33-9B9A-594A708C7313}"/>
    <cellStyle name="Normal 7 2 4 3 4" xfId="1983" xr:uid="{98A716FD-EB28-40C6-B185-F7EC22B4D1A2}"/>
    <cellStyle name="Normal 7 2 4 3 4 2" xfId="4924" xr:uid="{91C78975-E171-43E7-A171-C67B43295F47}"/>
    <cellStyle name="Normal 7 2 4 3 5" xfId="657" xr:uid="{A929826C-0AC3-470D-AB5F-F3CF149FFF56}"/>
    <cellStyle name="Normal 7 2 4 3 5 2" xfId="5151" xr:uid="{3EA9C70C-8CB4-4822-91D9-0DCF7D17AB74}"/>
    <cellStyle name="Normal 7 2 4 3 6" xfId="2350" xr:uid="{E21F45EE-8D60-4459-9755-F0756884819D}"/>
    <cellStyle name="Normal 7 2 4 3 6 2" xfId="7436" xr:uid="{30F05D26-0ADA-4E6A-9987-10338A9E3721}"/>
    <cellStyle name="Normal 7 2 4 3 7" xfId="4021" xr:uid="{F5C19181-4C39-4C33-8E66-700EB83350BE}"/>
    <cellStyle name="Normal 7 2 4 4" xfId="468" xr:uid="{8BF6BBFE-2458-4144-B493-812BA6DAA809}"/>
    <cellStyle name="Normal 7 2 4 4 2" xfId="1199" xr:uid="{DFB0EE1C-9FDB-47DD-B40B-7352615A3F57}"/>
    <cellStyle name="Normal 7 2 4 4 2 2" xfId="3675" xr:uid="{0F9BD920-BD04-4933-B23E-A1674486650D}"/>
    <cellStyle name="Normal 7 2 4 4 2 2 2" xfId="5554" xr:uid="{C987E2DF-FBDA-47BF-BDEC-29423EFC28F0}"/>
    <cellStyle name="Normal 7 2 4 4 2 3" xfId="2753" xr:uid="{0FEA231B-37E0-42A0-BC57-656157A86669}"/>
    <cellStyle name="Normal 7 2 4 4 2 4" xfId="4424" xr:uid="{43D7F0FC-154D-46ED-9173-865198A7DF28}"/>
    <cellStyle name="Normal 7 2 4 4 3" xfId="2083" xr:uid="{C4E11858-8F36-43A3-A094-B2A9E7E6786B}"/>
    <cellStyle name="Normal 7 2 4 4 3 2" xfId="3280" xr:uid="{F374E08D-7E10-4303-89C8-FBD1B5C45678}"/>
    <cellStyle name="Normal 7 2 4 4 3 3" xfId="4986" xr:uid="{CA93E9E8-A38F-4938-A9D2-639800B9F9C2}"/>
    <cellStyle name="Normal 7 2 4 4 4" xfId="721" xr:uid="{C9C140E2-4ECE-4392-9C94-1FC31BB021E7}"/>
    <cellStyle name="Normal 7 2 4 4 4 2" xfId="5206" xr:uid="{880BCBE7-9C80-4CE0-9477-350735E23DD2}"/>
    <cellStyle name="Normal 7 2 4 4 5" xfId="2405" xr:uid="{4D083614-E38D-449C-98D9-6C03EA848ED1}"/>
    <cellStyle name="Normal 7 2 4 4 5 2" xfId="7437" xr:uid="{DB908F14-B4E2-4115-B60C-E9D086D7931C}"/>
    <cellStyle name="Normal 7 2 4 4 6" xfId="4076" xr:uid="{00BB6100-4024-49F5-B9E5-B9C412893E34}"/>
    <cellStyle name="Normal 7 2 4 5" xfId="785" xr:uid="{123351CF-BB8E-45B1-A8FC-F083E59AEEC2}"/>
    <cellStyle name="Normal 7 2 4 5 2" xfId="1264" xr:uid="{5EA74D5C-4FB5-4968-9137-430550F5FB70}"/>
    <cellStyle name="Normal 7 2 4 5 2 2" xfId="3738" xr:uid="{6C6EA19F-2C92-49CF-86A7-C5CB8CB4BD79}"/>
    <cellStyle name="Normal 7 2 4 5 2 2 2" xfId="5609" xr:uid="{712D5895-9B92-4BB1-A6FC-18DDF632331C}"/>
    <cellStyle name="Normal 7 2 4 5 2 3" xfId="2808" xr:uid="{79A45FF9-34B4-497E-A5B7-68B5542046BE}"/>
    <cellStyle name="Normal 7 2 4 5 2 4" xfId="4479" xr:uid="{F80DAA42-FE40-4448-8448-2DB30E6359F7}"/>
    <cellStyle name="Normal 7 2 4 5 3" xfId="3335" xr:uid="{ABE7CF7E-EBAE-410C-9271-3A090D30675D}"/>
    <cellStyle name="Normal 7 2 4 5 3 2" xfId="5261" xr:uid="{BA173FA3-A626-4ABB-A14E-19301E045FF8}"/>
    <cellStyle name="Normal 7 2 4 5 4" xfId="2460" xr:uid="{B5E67791-A6EE-4953-BB1C-DCBE6139B40B}"/>
    <cellStyle name="Normal 7 2 4 5 4 2" xfId="7438" xr:uid="{DD47CEC9-A07C-43AD-9B72-32E1254B1AE2}"/>
    <cellStyle name="Normal 7 2 4 5 5" xfId="4131" xr:uid="{DBB5CC48-1B58-4ADD-813C-AACB435978B5}"/>
    <cellStyle name="Normal 7 2 4 6" xfId="849" xr:uid="{31D0024A-D263-4A8D-9B11-B0ED9729BD11}"/>
    <cellStyle name="Normal 7 2 4 6 2" xfId="1328" xr:uid="{0299EB99-3C71-473A-BA13-189E020FDFBE}"/>
    <cellStyle name="Normal 7 2 4 6 2 2" xfId="3802" xr:uid="{7334D98C-FE6B-4BBE-B228-4F20DBE3789B}"/>
    <cellStyle name="Normal 7 2 4 6 2 2 2" xfId="5664" xr:uid="{30238D0F-46A9-4F38-A981-D1A593BCE200}"/>
    <cellStyle name="Normal 7 2 4 6 2 3" xfId="2863" xr:uid="{7308597F-E34A-46F3-8CA9-B91DCB70CED3}"/>
    <cellStyle name="Normal 7 2 4 6 2 4" xfId="4534" xr:uid="{C060A28F-AB8C-4F29-B96C-678E120ADE55}"/>
    <cellStyle name="Normal 7 2 4 6 3" xfId="3390" xr:uid="{DCB4DB57-2496-4DF5-B9B2-EE9154EFE68E}"/>
    <cellStyle name="Normal 7 2 4 6 3 2" xfId="5316" xr:uid="{7D10A2E5-EF32-44FE-A480-114F3981DD32}"/>
    <cellStyle name="Normal 7 2 4 6 4" xfId="2515" xr:uid="{022C6E5A-8822-43CE-91A5-0EB4F1DE0011}"/>
    <cellStyle name="Normal 7 2 4 6 4 2" xfId="7439" xr:uid="{993A4198-4452-4FAE-9B09-EB122599860B}"/>
    <cellStyle name="Normal 7 2 4 6 5" xfId="4186" xr:uid="{EE5624B3-7C94-4680-AFB1-8FCA2E49BAD0}"/>
    <cellStyle name="Normal 7 2 4 7" xfId="1014" xr:uid="{A2ABC9CE-E1EF-45E1-8008-0BA292223574}"/>
    <cellStyle name="Normal 7 2 4 7 2" xfId="3511" xr:uid="{27C42DCE-75D4-476C-8C77-4BF00D24099D}"/>
    <cellStyle name="Normal 7 2 4 7 2 2" xfId="5396" xr:uid="{3F6F8E07-0981-44C4-8E19-137BDD0DDD77}"/>
    <cellStyle name="Normal 7 2 4 7 3" xfId="2595" xr:uid="{6A29CA35-1A7F-4A8B-B71A-57DB4970691E}"/>
    <cellStyle name="Normal 7 2 4 7 4" xfId="4266" xr:uid="{26CD9205-BF8B-4057-8DA1-B8335015E4AB}"/>
    <cellStyle name="Normal 7 2 4 8" xfId="1481" xr:uid="{D62BE771-2E2C-4E79-A061-449B9B6331D6}"/>
    <cellStyle name="Normal 7 2 4 8 2" xfId="3107" xr:uid="{98B2A763-B91C-4CB2-B90E-62B4273DE3D5}"/>
    <cellStyle name="Normal 7 2 4 8 2 2" xfId="5755" xr:uid="{9B4D8B00-C9AC-406E-9F36-B9B1BDE6C734}"/>
    <cellStyle name="Normal 7 2 4 8 3" xfId="4616" xr:uid="{4D779286-9369-401E-9B35-83D1F6A4E38C}"/>
    <cellStyle name="Normal 7 2 4 9" xfId="1784" xr:uid="{4690D7C3-136C-4366-89E3-8E7CA8AA05CA}"/>
    <cellStyle name="Normal 7 2 4 9 2" xfId="4802" xr:uid="{0DB30314-4C80-4408-8AEF-5437BADCC667}"/>
    <cellStyle name="Normal 7 2 5" xfId="261" xr:uid="{29BB1639-1528-4DB7-B05F-DE42752D8379}"/>
    <cellStyle name="Normal 7 2 5 2" xfId="1064" xr:uid="{133148BC-F11B-4DAE-AC7D-D2A7B4927501}"/>
    <cellStyle name="Normal 7 2 5 2 2" xfId="3552" xr:uid="{955DFA83-574C-4007-B6F5-798A706687AC}"/>
    <cellStyle name="Normal 7 2 5 2 2 2" xfId="5437" xr:uid="{F161E4FE-B816-47B5-9AE1-26A75F0EA11D}"/>
    <cellStyle name="Normal 7 2 5 2 3" xfId="2636" xr:uid="{C0A82A91-1BDF-4CE5-B0A0-7ECD5E9A9326}"/>
    <cellStyle name="Normal 7 2 5 2 4" xfId="4307" xr:uid="{7B8E38E1-9A85-47BB-AD7D-281933466E23}"/>
    <cellStyle name="Normal 7 2 5 3" xfId="1575" xr:uid="{0C832708-B305-4CEA-B8FC-7147E06085FF}"/>
    <cellStyle name="Normal 7 2 5 3 2" xfId="3164" xr:uid="{CFEA8CB1-5A05-4038-867E-AB7E80D36FFC}"/>
    <cellStyle name="Normal 7 2 5 3 2 2" xfId="5841" xr:uid="{4118C196-D09D-42C8-9020-E576076C06B9}"/>
    <cellStyle name="Normal 7 2 5 3 3" xfId="4670" xr:uid="{0F406E2B-B5B1-4CAF-9069-6FA5A3440178}"/>
    <cellStyle name="Normal 7 2 5 4" xfId="1877" xr:uid="{0CA5E2EA-02D0-4CE8-8B0D-EBF26BD9C248}"/>
    <cellStyle name="Normal 7 2 5 4 2" xfId="4856" xr:uid="{4137A549-015E-4EC3-99EB-447FCB64AC6A}"/>
    <cellStyle name="Normal 7 2 5 5" xfId="586" xr:uid="{53B3D3BD-74DC-4D3B-9537-3CE8D00AB033}"/>
    <cellStyle name="Normal 7 2 5 5 2" xfId="5089" xr:uid="{D9511D96-7949-4021-94F9-BA06650F8F36}"/>
    <cellStyle name="Normal 7 2 5 6" xfId="2288" xr:uid="{211567A4-A800-4F33-BE4B-93233060E512}"/>
    <cellStyle name="Normal 7 2 5 6 2" xfId="7440" xr:uid="{32088E20-160F-45BA-8BA6-237B40EB18DF}"/>
    <cellStyle name="Normal 7 2 5 7" xfId="3959" xr:uid="{661B288E-B5BD-4D67-ABC9-8D66AF1FEE36}"/>
    <cellStyle name="Normal 7 2 6" xfId="361" xr:uid="{51783D2D-C220-4685-A83C-8B32AD897E24}"/>
    <cellStyle name="Normal 7 2 6 2" xfId="1128" xr:uid="{1362E9F1-DEAC-4E6F-99AE-FD8BF4756370}"/>
    <cellStyle name="Normal 7 2 6 2 2" xfId="3607" xr:uid="{2C84FD7A-F844-4AA9-AE12-7B9CC2A836D9}"/>
    <cellStyle name="Normal 7 2 6 2 2 2" xfId="5492" xr:uid="{4EC0273D-3458-4E40-812E-F7D19420B71A}"/>
    <cellStyle name="Normal 7 2 6 2 3" xfId="2691" xr:uid="{2EBB410C-BF97-470F-A23D-97CD297491F1}"/>
    <cellStyle name="Normal 7 2 6 2 4" xfId="4362" xr:uid="{81B792DD-5294-41C1-AB5E-7FCDC9098E3A}"/>
    <cellStyle name="Normal 7 2 6 3" xfId="1674" xr:uid="{545B30ED-2264-4DF7-A147-B7994543A054}"/>
    <cellStyle name="Normal 7 2 6 3 2" xfId="3218" xr:uid="{3A1D44EB-2834-47C0-9190-A9499798E0BD}"/>
    <cellStyle name="Normal 7 2 6 3 2 2" xfId="5918" xr:uid="{74685A37-C14B-46B6-A780-EF27111269A3}"/>
    <cellStyle name="Normal 7 2 6 3 3" xfId="4731" xr:uid="{649F54CD-9671-4111-96CE-2B035BC7F5AC}"/>
    <cellStyle name="Normal 7 2 6 4" xfId="1976" xr:uid="{DD35703E-0C91-42CF-A62F-D96ECBEA2AC6}"/>
    <cellStyle name="Normal 7 2 6 4 2" xfId="4917" xr:uid="{78A543F8-F7B4-4AD1-B388-032AFD32D4EF}"/>
    <cellStyle name="Normal 7 2 6 5" xfId="650" xr:uid="{62054053-53A2-4DAE-9100-99762BECEA10}"/>
    <cellStyle name="Normal 7 2 6 5 2" xfId="5144" xr:uid="{FB1A0515-98F7-4C99-959D-E640BCA39A95}"/>
    <cellStyle name="Normal 7 2 6 6" xfId="2343" xr:uid="{8B6CA1AF-BD2A-4436-9E97-8557A7850CF4}"/>
    <cellStyle name="Normal 7 2 6 6 2" xfId="7441" xr:uid="{C73FE958-878F-48B7-8C93-CA42CF633058}"/>
    <cellStyle name="Normal 7 2 6 7" xfId="4014" xr:uid="{260AD20E-2FCF-4104-9C22-7C26F83348E5}"/>
    <cellStyle name="Normal 7 2 7" xfId="461" xr:uid="{F0FEF344-8D81-4FAB-AE58-010112D8FCC8}"/>
    <cellStyle name="Normal 7 2 7 2" xfId="1192" xr:uid="{5976289B-B8C1-4D7F-9948-997D65417296}"/>
    <cellStyle name="Normal 7 2 7 2 2" xfId="3668" xr:uid="{21D7B2E4-F172-4794-AC26-1FD92CD22CDE}"/>
    <cellStyle name="Normal 7 2 7 2 2 2" xfId="5547" xr:uid="{7DE1979C-E553-416D-8002-3B3C4263C8EA}"/>
    <cellStyle name="Normal 7 2 7 2 3" xfId="2746" xr:uid="{447C7BF9-13ED-4901-B024-92E1A1B08091}"/>
    <cellStyle name="Normal 7 2 7 2 4" xfId="4417" xr:uid="{8F1633DF-E1C6-4A5C-8DEA-346F2B2C3068}"/>
    <cellStyle name="Normal 7 2 7 3" xfId="2076" xr:uid="{EE8EE56F-E596-43A3-A135-2E08BDC829A7}"/>
    <cellStyle name="Normal 7 2 7 3 2" xfId="3273" xr:uid="{1341ECF0-20B4-4DA5-A20A-17835362AA87}"/>
    <cellStyle name="Normal 7 2 7 3 3" xfId="4979" xr:uid="{0A899DC4-D3D5-4EFC-8456-F388BC6ACBA4}"/>
    <cellStyle name="Normal 7 2 7 4" xfId="714" xr:uid="{A8EFE6DF-B300-4373-94A5-77CCCF980FDC}"/>
    <cellStyle name="Normal 7 2 7 4 2" xfId="5199" xr:uid="{06F80A9D-47D0-46C0-822B-F7901DC5EE8C}"/>
    <cellStyle name="Normal 7 2 7 5" xfId="2398" xr:uid="{606C33C7-88CE-4D10-BCB0-3ECE7171689B}"/>
    <cellStyle name="Normal 7 2 7 5 2" xfId="7442" xr:uid="{914A1B25-57F9-4B75-83DE-1A5662FCF0F4}"/>
    <cellStyle name="Normal 7 2 7 6" xfId="4069" xr:uid="{018856F2-B858-484D-931B-75448D20750F}"/>
    <cellStyle name="Normal 7 2 8" xfId="778" xr:uid="{4D210D2C-A6B5-428B-8A9E-433D30039B44}"/>
    <cellStyle name="Normal 7 2 8 2" xfId="1257" xr:uid="{032827AD-77A3-4C26-AC6B-C42DF37E191A}"/>
    <cellStyle name="Normal 7 2 8 2 2" xfId="3731" xr:uid="{3E38FD3E-E4BD-42E0-8774-7687F5B01C5A}"/>
    <cellStyle name="Normal 7 2 8 2 2 2" xfId="5602" xr:uid="{37F0065B-6AED-42D6-A93E-D1E45CD33AF4}"/>
    <cellStyle name="Normal 7 2 8 2 3" xfId="2801" xr:uid="{851AF111-80D7-49C5-BC3A-31DE247B670E}"/>
    <cellStyle name="Normal 7 2 8 2 4" xfId="4472" xr:uid="{47598E6B-BFDB-4F31-963C-73596FEC683E}"/>
    <cellStyle name="Normal 7 2 8 3" xfId="3328" xr:uid="{93FFDADB-F28B-4CFB-B369-CC90F08B2CA6}"/>
    <cellStyle name="Normal 7 2 8 3 2" xfId="5254" xr:uid="{C97D1982-8A2E-41D7-B90B-452AA70D4D78}"/>
    <cellStyle name="Normal 7 2 8 4" xfId="2453" xr:uid="{309DE2C7-3BD4-40CA-8ACC-31B03D7C70C1}"/>
    <cellStyle name="Normal 7 2 8 4 2" xfId="7443" xr:uid="{5662F4B7-7EA4-4507-9BF8-A72A0DDF4369}"/>
    <cellStyle name="Normal 7 2 8 5" xfId="4124" xr:uid="{1F86E517-A52A-4757-A942-EF2DA9665A10}"/>
    <cellStyle name="Normal 7 2 9" xfId="842" xr:uid="{4ACB212C-5449-428A-BD3E-DAC3A5DA595E}"/>
    <cellStyle name="Normal 7 2 9 2" xfId="1321" xr:uid="{5CFA3B70-C9E5-43C8-AA09-5D2A9EBA834D}"/>
    <cellStyle name="Normal 7 2 9 2 2" xfId="3795" xr:uid="{7B3C6745-D76A-4E9D-AC8C-3A386519244F}"/>
    <cellStyle name="Normal 7 2 9 2 2 2" xfId="5657" xr:uid="{2CA4D817-FB14-4B93-8B32-1E36366F86FC}"/>
    <cellStyle name="Normal 7 2 9 2 3" xfId="2856" xr:uid="{4A0DD4EB-C576-40CB-A640-89A28857F06A}"/>
    <cellStyle name="Normal 7 2 9 2 4" xfId="4527" xr:uid="{9E0AA1CF-3753-4A64-9FC8-3AEF48139BFE}"/>
    <cellStyle name="Normal 7 2 9 3" xfId="3383" xr:uid="{610C798D-F995-4F1F-A780-EA659D33A6D5}"/>
    <cellStyle name="Normal 7 2 9 3 2" xfId="5309" xr:uid="{240B9BBC-D732-40E3-A168-6FD3FBD7FCFC}"/>
    <cellStyle name="Normal 7 2 9 4" xfId="2508" xr:uid="{3253DEB0-9AC5-4330-84D8-6635878306F4}"/>
    <cellStyle name="Normal 7 2 9 4 2" xfId="7444" xr:uid="{B940EFA8-3ADD-4502-B146-0EBDB4C703BD}"/>
    <cellStyle name="Normal 7 2 9 5" xfId="4179" xr:uid="{A5F9A266-2FB2-4AC7-99DA-24A1AD513D17}"/>
    <cellStyle name="Normal 7 20" xfId="3878" xr:uid="{ABF166AD-3CD2-4CD7-9C59-8BAC422FB6F1}"/>
    <cellStyle name="Normal 7 3" xfId="158" xr:uid="{6AC43974-2D7E-4753-BFBE-0090D0CCB56D}"/>
    <cellStyle name="Normal 7 3 10" xfId="1482" xr:uid="{781929C1-1E4E-4929-86FF-AE2A949F1B6C}"/>
    <cellStyle name="Normal 7 3 10 2" xfId="3854" xr:uid="{3BDA8BA1-F8E8-4F00-B27D-AF6A24C0EC91}"/>
    <cellStyle name="Normal 7 3 10 2 2" xfId="5756" xr:uid="{929BAAED-466F-4519-AE56-ACBAA917E5C4}"/>
    <cellStyle name="Normal 7 3 10 3" xfId="2908" xr:uid="{15FC30F1-56C5-4F00-8EAB-11FDBABB6E3A}"/>
    <cellStyle name="Normal 7 3 10 4" xfId="4617" xr:uid="{FB379F2E-8E78-4B65-80F7-55ACA75AEB38}"/>
    <cellStyle name="Normal 7 3 11" xfId="1785" xr:uid="{366FE7EA-F236-439A-9E73-38E28B377C87}"/>
    <cellStyle name="Normal 7 3 11 2" xfId="3108" xr:uid="{97400A10-20EA-49D7-8C95-1958C4228505}"/>
    <cellStyle name="Normal 7 3 11 3" xfId="4803" xr:uid="{EE40222C-5701-4769-A08C-7243EDBD30E2}"/>
    <cellStyle name="Normal 7 3 12" xfId="492" xr:uid="{CD7A40F7-F980-4FDF-95A3-6342508A855E}"/>
    <cellStyle name="Normal 7 3 12 2" xfId="5010" xr:uid="{359A6F43-F0C8-41A5-AD5A-707BB02ED49C}"/>
    <cellStyle name="Normal 7 3 13" xfId="2186" xr:uid="{B575A722-0CED-4395-A7F5-A6A8BC409302}"/>
    <cellStyle name="Normal 7 3 13 2" xfId="5954" xr:uid="{7AB9BEC8-A356-41E0-9046-8DAF952EA7A5}"/>
    <cellStyle name="Normal 7 3 14" xfId="2209" xr:uid="{4A89945C-ECC0-4426-B62D-CB2BAD4F6273}"/>
    <cellStyle name="Normal 7 3 14 2" xfId="7445" xr:uid="{2D81C6FE-4F68-4C96-AA67-8E71B6DD981B}"/>
    <cellStyle name="Normal 7 3 15" xfId="3880" xr:uid="{196EE469-A188-4B88-9221-62925479CA01}"/>
    <cellStyle name="Normal 7 3 2" xfId="159" xr:uid="{C2A8C5B3-459A-4181-BCFC-47068CD86521}"/>
    <cellStyle name="Normal 7 3 2 10" xfId="1786" xr:uid="{5197B434-4AF3-4E14-B6D6-7B84AB0D4EF9}"/>
    <cellStyle name="Normal 7 3 2 10 2" xfId="4804" xr:uid="{84B36DDF-14CE-4C8A-B1A5-2C632C831DE3}"/>
    <cellStyle name="Normal 7 3 2 11" xfId="506" xr:uid="{B6AFF8DE-954D-4B73-B96D-88A31102CB8F}"/>
    <cellStyle name="Normal 7 3 2 11 2" xfId="5022" xr:uid="{F1490E80-C315-48ED-9C5C-8A3D258652DC}"/>
    <cellStyle name="Normal 7 3 2 12" xfId="2187" xr:uid="{CAB5D75D-B6F8-4833-9A17-FF163909E0F8}"/>
    <cellStyle name="Normal 7 3 2 12 2" xfId="7446" xr:uid="{4EF190D7-6335-4A57-8F0A-A6D928AD5FDC}"/>
    <cellStyle name="Normal 7 3 2 13" xfId="2221" xr:uid="{FB69AFA1-3D25-46B1-A62A-21DB681B65E9}"/>
    <cellStyle name="Normal 7 3 2 14" xfId="3892" xr:uid="{AE2C3D0D-DDCA-42B2-9F41-0F59967D62DE}"/>
    <cellStyle name="Normal 7 3 2 2" xfId="160" xr:uid="{F32913FF-D20F-4429-8998-8ECE6A3304F3}"/>
    <cellStyle name="Normal 7 3 2 2 10" xfId="541" xr:uid="{85F8B810-62F5-4C4D-9305-13F22BAC1C3E}"/>
    <cellStyle name="Normal 7 3 2 2 10 2" xfId="5053" xr:uid="{EB8864CB-E47B-40CE-980C-E022AAD8F2DC}"/>
    <cellStyle name="Normal 7 3 2 2 11" xfId="2188" xr:uid="{6EA21B94-2F4B-455A-89B1-ABDD9F1C0550}"/>
    <cellStyle name="Normal 7 3 2 2 11 2" xfId="7447" xr:uid="{51A6AE93-B588-4A68-B2E2-42B6B5F4C3D3}"/>
    <cellStyle name="Normal 7 3 2 2 12" xfId="2252" xr:uid="{E45B6A47-B39F-48EE-AE88-63C59EDB3534}"/>
    <cellStyle name="Normal 7 3 2 2 13" xfId="3923" xr:uid="{34C59AF0-1C96-43DB-95A0-AC9136CF9A16}"/>
    <cellStyle name="Normal 7 3 2 2 2" xfId="271" xr:uid="{79A6FC02-945E-4440-ACDB-A2050AC8DB67}"/>
    <cellStyle name="Normal 7 3 2 2 2 2" xfId="1074" xr:uid="{2CEF5AEA-14FE-4954-9130-6CE0816A62A2}"/>
    <cellStyle name="Normal 7 3 2 2 2 2 2" xfId="3562" xr:uid="{3FA29771-12E9-4608-8CF6-14DBFF650423}"/>
    <cellStyle name="Normal 7 3 2 2 2 2 2 2" xfId="5447" xr:uid="{C2FDA6FF-78F7-4037-B977-5E8111EB1067}"/>
    <cellStyle name="Normal 7 3 2 2 2 2 3" xfId="2646" xr:uid="{438EB5DC-C311-464E-9AA7-20A64B265B3B}"/>
    <cellStyle name="Normal 7 3 2 2 2 2 4" xfId="4317" xr:uid="{37851451-E9E2-4EBF-A087-A5286F260717}"/>
    <cellStyle name="Normal 7 3 2 2 2 3" xfId="1585" xr:uid="{57A36344-C4B1-4BB9-A9C4-9DA95695B746}"/>
    <cellStyle name="Normal 7 3 2 2 2 3 2" xfId="3174" xr:uid="{6EEEA480-0C1E-486E-9FA3-960D97895F1A}"/>
    <cellStyle name="Normal 7 3 2 2 2 3 2 2" xfId="5851" xr:uid="{C910781C-B875-4637-A9FA-AC992D82215D}"/>
    <cellStyle name="Normal 7 3 2 2 2 3 3" xfId="4680" xr:uid="{3E8D3151-12B7-4AFB-A9D0-812742E967D1}"/>
    <cellStyle name="Normal 7 3 2 2 2 4" xfId="1887" xr:uid="{20CA0F69-4CA2-4BEE-BBD1-84BF5BFCA44A}"/>
    <cellStyle name="Normal 7 3 2 2 2 4 2" xfId="4866" xr:uid="{10411A01-A76E-42FA-BC65-119370502A30}"/>
    <cellStyle name="Normal 7 3 2 2 2 5" xfId="596" xr:uid="{E8B653DF-164B-4F19-B046-6BB04B6B89EF}"/>
    <cellStyle name="Normal 7 3 2 2 2 5 2" xfId="5099" xr:uid="{60738EE4-19EC-4C94-ADD5-89109DC3B7F7}"/>
    <cellStyle name="Normal 7 3 2 2 2 6" xfId="2298" xr:uid="{D0D120CA-C48B-4EFF-AD25-EBDA123D4930}"/>
    <cellStyle name="Normal 7 3 2 2 2 6 2" xfId="7448" xr:uid="{27503550-5E7E-42FD-9315-BFA033E47BDC}"/>
    <cellStyle name="Normal 7 3 2 2 2 7" xfId="3969" xr:uid="{47172302-97BC-4036-888F-D7F9963D1781}"/>
    <cellStyle name="Normal 7 3 2 2 3" xfId="371" xr:uid="{4CF9F3E3-F6FB-45E5-B4E8-F58C48167B76}"/>
    <cellStyle name="Normal 7 3 2 2 3 2" xfId="1138" xr:uid="{5FE97309-FED4-41A8-ABC6-B0D85246DC51}"/>
    <cellStyle name="Normal 7 3 2 2 3 2 2" xfId="3617" xr:uid="{179FFE02-63EC-43A3-876E-9CAD38F763C7}"/>
    <cellStyle name="Normal 7 3 2 2 3 2 2 2" xfId="5502" xr:uid="{094E6B74-D682-4CE0-925C-A112DB48B97C}"/>
    <cellStyle name="Normal 7 3 2 2 3 2 3" xfId="2701" xr:uid="{9866E215-660A-4137-B5B0-773739423D56}"/>
    <cellStyle name="Normal 7 3 2 2 3 2 4" xfId="4372" xr:uid="{701A6CE1-48FE-4187-94EE-0D1375130970}"/>
    <cellStyle name="Normal 7 3 2 2 3 3" xfId="1684" xr:uid="{56466169-2509-48F4-9D9A-FF02F52C9544}"/>
    <cellStyle name="Normal 7 3 2 2 3 3 2" xfId="3228" xr:uid="{B3D8EAEA-E270-4C9A-A094-76E66B02DD9C}"/>
    <cellStyle name="Normal 7 3 2 2 3 3 2 2" xfId="5928" xr:uid="{EC244BBE-7323-4AE0-9FAB-BF0CB9D604D7}"/>
    <cellStyle name="Normal 7 3 2 2 3 3 3" xfId="4741" xr:uid="{74DA6A3A-D5EC-47B1-A8E2-D2917A92AD10}"/>
    <cellStyle name="Normal 7 3 2 2 3 4" xfId="1986" xr:uid="{26161993-D77C-427A-A6DB-D9B90071A1A6}"/>
    <cellStyle name="Normal 7 3 2 2 3 4 2" xfId="4927" xr:uid="{B9E6C17C-7943-4BF2-8834-FECA9E6C571A}"/>
    <cellStyle name="Normal 7 3 2 2 3 5" xfId="660" xr:uid="{2735CCDD-76EE-43CE-9D1F-B7BE5FC382DE}"/>
    <cellStyle name="Normal 7 3 2 2 3 5 2" xfId="5154" xr:uid="{6897793F-4396-4A64-A5D6-A9ABC5CDB321}"/>
    <cellStyle name="Normal 7 3 2 2 3 6" xfId="2353" xr:uid="{A6C8CBE8-E289-4372-87D0-354DA9DEDBF0}"/>
    <cellStyle name="Normal 7 3 2 2 3 6 2" xfId="7449" xr:uid="{63572905-7AF5-43F1-854C-77036B37D98C}"/>
    <cellStyle name="Normal 7 3 2 2 3 7" xfId="4024" xr:uid="{A8E41413-3513-4B95-B6BA-995CB775FEE4}"/>
    <cellStyle name="Normal 7 3 2 2 4" xfId="471" xr:uid="{4E9879BD-C293-4A73-9E1A-458D9DB29000}"/>
    <cellStyle name="Normal 7 3 2 2 4 2" xfId="1202" xr:uid="{61CEDCDE-05C3-43AD-A344-F038AB553161}"/>
    <cellStyle name="Normal 7 3 2 2 4 2 2" xfId="3678" xr:uid="{EA5CDE8D-D0E5-463A-A882-5345E1DBD19C}"/>
    <cellStyle name="Normal 7 3 2 2 4 2 2 2" xfId="5557" xr:uid="{E042CA02-F8E9-43BE-92DE-E2CCC373AF2D}"/>
    <cellStyle name="Normal 7 3 2 2 4 2 3" xfId="2756" xr:uid="{74895D88-12EB-423E-A536-1ED6D569F5C5}"/>
    <cellStyle name="Normal 7 3 2 2 4 2 4" xfId="4427" xr:uid="{9DA66A95-E064-4EDD-909B-13AEE65BCBD8}"/>
    <cellStyle name="Normal 7 3 2 2 4 3" xfId="2086" xr:uid="{3EDB1BBD-DD92-449A-BFD4-E5ADEE0C0522}"/>
    <cellStyle name="Normal 7 3 2 2 4 3 2" xfId="3283" xr:uid="{099F12E4-DC64-4CB1-A558-674742418F62}"/>
    <cellStyle name="Normal 7 3 2 2 4 3 3" xfId="4989" xr:uid="{6C2CFE4E-1B94-4436-A178-AA032B4BA3CE}"/>
    <cellStyle name="Normal 7 3 2 2 4 4" xfId="724" xr:uid="{A7268489-11D4-4BBC-8B13-82FA73B9AED7}"/>
    <cellStyle name="Normal 7 3 2 2 4 4 2" xfId="5209" xr:uid="{1731D0B3-5306-41F9-A3BD-C90D6E150810}"/>
    <cellStyle name="Normal 7 3 2 2 4 5" xfId="2408" xr:uid="{C93C843E-4932-48C7-9F48-52850972FD97}"/>
    <cellStyle name="Normal 7 3 2 2 4 5 2" xfId="7450" xr:uid="{2A3543D2-7632-43C1-8263-71E816473611}"/>
    <cellStyle name="Normal 7 3 2 2 4 6" xfId="4079" xr:uid="{85A63546-587C-4268-BF78-EDC3E3AB15E2}"/>
    <cellStyle name="Normal 7 3 2 2 5" xfId="788" xr:uid="{DE82840E-6F99-4C4C-B666-2E0010C93279}"/>
    <cellStyle name="Normal 7 3 2 2 5 2" xfId="1267" xr:uid="{78E9968D-126B-41D2-9F23-05B80CD58416}"/>
    <cellStyle name="Normal 7 3 2 2 5 2 2" xfId="3741" xr:uid="{4DCC1F32-EC4D-45C3-BAFE-3EDB1B14652E}"/>
    <cellStyle name="Normal 7 3 2 2 5 2 2 2" xfId="5612" xr:uid="{924847A9-DE3F-443A-A3AD-B024E1BE2173}"/>
    <cellStyle name="Normal 7 3 2 2 5 2 3" xfId="2811" xr:uid="{264CF543-AF93-41AD-AC48-67A55B597188}"/>
    <cellStyle name="Normal 7 3 2 2 5 2 4" xfId="4482" xr:uid="{594EF322-F05A-4D96-BF68-84849D5225FE}"/>
    <cellStyle name="Normal 7 3 2 2 5 3" xfId="3338" xr:uid="{D3B55956-3667-4D39-9A07-5137F00D9649}"/>
    <cellStyle name="Normal 7 3 2 2 5 3 2" xfId="5264" xr:uid="{31F86AD0-770A-40A6-8406-DAFA14E878C0}"/>
    <cellStyle name="Normal 7 3 2 2 5 4" xfId="2463" xr:uid="{8332164A-3CDD-4D50-B159-85B422E86EEA}"/>
    <cellStyle name="Normal 7 3 2 2 5 4 2" xfId="7451" xr:uid="{2914DD66-5BAD-4254-A2CF-947CA1776809}"/>
    <cellStyle name="Normal 7 3 2 2 5 5" xfId="4134" xr:uid="{8C7F9CE8-F126-4C8D-8EBD-A082F6FE7649}"/>
    <cellStyle name="Normal 7 3 2 2 6" xfId="852" xr:uid="{E90AD77E-008C-4C8B-87D9-C307B1B48639}"/>
    <cellStyle name="Normal 7 3 2 2 6 2" xfId="1331" xr:uid="{3758F843-B1CE-4B7D-8E39-6182E5DD4C09}"/>
    <cellStyle name="Normal 7 3 2 2 6 2 2" xfId="3805" xr:uid="{F4848A26-09BD-4224-9946-CB0CCCF258C9}"/>
    <cellStyle name="Normal 7 3 2 2 6 2 2 2" xfId="5667" xr:uid="{BF113240-9285-4320-8842-F44501F25224}"/>
    <cellStyle name="Normal 7 3 2 2 6 2 3" xfId="2866" xr:uid="{6C946415-74E6-4077-BA14-651AF530E086}"/>
    <cellStyle name="Normal 7 3 2 2 6 2 4" xfId="4537" xr:uid="{91100BDC-67A5-41AF-B3AE-356A855F9327}"/>
    <cellStyle name="Normal 7 3 2 2 6 3" xfId="3393" xr:uid="{F48B1BF0-75D5-4A9F-809C-9B3659BFCD72}"/>
    <cellStyle name="Normal 7 3 2 2 6 3 2" xfId="5319" xr:uid="{BFE1A9AF-E04A-4DF5-B31C-64A9BBAB4F1F}"/>
    <cellStyle name="Normal 7 3 2 2 6 4" xfId="2518" xr:uid="{CA3EBBFC-3B3D-462D-8516-E8EE765FC1C4}"/>
    <cellStyle name="Normal 7 3 2 2 6 4 2" xfId="7452" xr:uid="{302A53A3-E46F-4223-AE59-A0AD1350BB0F}"/>
    <cellStyle name="Normal 7 3 2 2 6 5" xfId="4189" xr:uid="{2E7B310C-4C9F-4F78-9BED-096767768361}"/>
    <cellStyle name="Normal 7 3 2 2 7" xfId="1019" xr:uid="{97B6B99D-D4DE-4C93-959A-5DCE61AF0867}"/>
    <cellStyle name="Normal 7 3 2 2 7 2" xfId="3516" xr:uid="{1245350F-0A48-41B8-B281-3E681A927DC2}"/>
    <cellStyle name="Normal 7 3 2 2 7 2 2" xfId="5401" xr:uid="{11E942F9-D210-4125-B883-CC12E35A4E64}"/>
    <cellStyle name="Normal 7 3 2 2 7 3" xfId="2600" xr:uid="{9FA4A3B7-6F16-45DE-B779-67CEE204F051}"/>
    <cellStyle name="Normal 7 3 2 2 7 4" xfId="4271" xr:uid="{16F188C9-65CF-423B-9A69-B87D9DABCE84}"/>
    <cellStyle name="Normal 7 3 2 2 8" xfId="1484" xr:uid="{33DEA833-6FDD-4A76-9F9A-079DC23F317A}"/>
    <cellStyle name="Normal 7 3 2 2 8 2" xfId="3110" xr:uid="{7A045589-D379-427B-89A3-DD3CD8800191}"/>
    <cellStyle name="Normal 7 3 2 2 8 2 2" xfId="5758" xr:uid="{60B89F69-D3F5-4C51-95E7-DE821A9B9A0F}"/>
    <cellStyle name="Normal 7 3 2 2 8 3" xfId="4619" xr:uid="{9A174B1C-1D3A-4540-AEB3-7664942E5AE5}"/>
    <cellStyle name="Normal 7 3 2 2 9" xfId="1787" xr:uid="{BF34434B-3BCF-415A-9BA4-B5BE70534DC2}"/>
    <cellStyle name="Normal 7 3 2 2 9 2" xfId="4805" xr:uid="{DDDA3A9A-6534-43E2-9997-EC2CE6261C0D}"/>
    <cellStyle name="Normal 7 3 2 3" xfId="270" xr:uid="{91D87080-4FA6-4D96-820F-B55925B6F8CE}"/>
    <cellStyle name="Normal 7 3 2 3 2" xfId="1073" xr:uid="{73590AD5-E578-4E23-8485-A7FF011DB278}"/>
    <cellStyle name="Normal 7 3 2 3 2 2" xfId="3561" xr:uid="{C6BC5C75-DAB7-4E7B-804C-14B8D423D1B9}"/>
    <cellStyle name="Normal 7 3 2 3 2 2 2" xfId="5446" xr:uid="{00D626E6-68B0-481F-99E5-2FDEEBECD4BA}"/>
    <cellStyle name="Normal 7 3 2 3 2 3" xfId="2645" xr:uid="{794951B7-051A-407F-868E-698BBADF1FAB}"/>
    <cellStyle name="Normal 7 3 2 3 2 4" xfId="4316" xr:uid="{A2197352-8D43-4AE6-B941-7F64970DD17D}"/>
    <cellStyle name="Normal 7 3 2 3 3" xfId="1584" xr:uid="{92DE58CC-C472-4B73-B480-979A6A1BE061}"/>
    <cellStyle name="Normal 7 3 2 3 3 2" xfId="3173" xr:uid="{6572CACC-F556-42D0-A392-F3AC8B0C65A1}"/>
    <cellStyle name="Normal 7 3 2 3 3 2 2" xfId="5850" xr:uid="{34C936D2-951F-4201-A2AF-C54943DA8488}"/>
    <cellStyle name="Normal 7 3 2 3 3 3" xfId="4679" xr:uid="{2A6AA864-E230-4D6C-9E33-00CEA6579370}"/>
    <cellStyle name="Normal 7 3 2 3 4" xfId="1886" xr:uid="{C01F35F9-C3F8-4775-A06A-AAF092D28FE5}"/>
    <cellStyle name="Normal 7 3 2 3 4 2" xfId="4865" xr:uid="{BE1D4C66-EB24-401E-A02E-BF7C60B805FC}"/>
    <cellStyle name="Normal 7 3 2 3 5" xfId="595" xr:uid="{48E83108-BED8-4200-8FE0-91657453FFD3}"/>
    <cellStyle name="Normal 7 3 2 3 5 2" xfId="5098" xr:uid="{E5F3727B-92AB-4F61-8FFD-300F527C56FC}"/>
    <cellStyle name="Normal 7 3 2 3 6" xfId="2297" xr:uid="{02DD5441-2103-4A76-ABE0-FD1D59932EC6}"/>
    <cellStyle name="Normal 7 3 2 3 6 2" xfId="7453" xr:uid="{20CB5461-9BD4-4641-A279-DB54182CA7E5}"/>
    <cellStyle name="Normal 7 3 2 3 7" xfId="3968" xr:uid="{9AF386A6-6051-4D11-8DB5-D1F2FD8D0EAD}"/>
    <cellStyle name="Normal 7 3 2 4" xfId="370" xr:uid="{EE688F7A-00BE-41C9-8AED-A2303006FE2E}"/>
    <cellStyle name="Normal 7 3 2 4 2" xfId="1137" xr:uid="{A9A1EC99-AD0B-4B2B-A0A2-80A94505E6B8}"/>
    <cellStyle name="Normal 7 3 2 4 2 2" xfId="3616" xr:uid="{BE16EBCB-B1F1-480F-8325-2DC6FD9CD38E}"/>
    <cellStyle name="Normal 7 3 2 4 2 2 2" xfId="5501" xr:uid="{7BE0794E-D416-4948-A754-41AE2813E64C}"/>
    <cellStyle name="Normal 7 3 2 4 2 3" xfId="2700" xr:uid="{566F8261-3564-4FF8-9EF7-EF2AF0DAF4BE}"/>
    <cellStyle name="Normal 7 3 2 4 2 4" xfId="4371" xr:uid="{D7C57BF4-B5C5-456C-A34F-477BCCE26195}"/>
    <cellStyle name="Normal 7 3 2 4 3" xfId="1683" xr:uid="{21B3CAEE-6B43-4CDE-9645-BBC3381BF47D}"/>
    <cellStyle name="Normal 7 3 2 4 3 2" xfId="3227" xr:uid="{D4A6A912-D782-448F-9E6C-871CA916F59F}"/>
    <cellStyle name="Normal 7 3 2 4 3 2 2" xfId="5927" xr:uid="{D9BB3F70-0A3D-4E9D-B92D-99D0FB8A6F30}"/>
    <cellStyle name="Normal 7 3 2 4 3 3" xfId="4740" xr:uid="{939E47F6-BB4A-4F1E-B70D-6D8C9182DCC5}"/>
    <cellStyle name="Normal 7 3 2 4 4" xfId="1985" xr:uid="{2AC9D2D7-F360-4EF3-9472-94C31765AD70}"/>
    <cellStyle name="Normal 7 3 2 4 4 2" xfId="4926" xr:uid="{C7C6D6FF-04E1-4668-B193-945F7FA410B5}"/>
    <cellStyle name="Normal 7 3 2 4 5" xfId="659" xr:uid="{58128065-D28E-4701-9452-FB802805A9DA}"/>
    <cellStyle name="Normal 7 3 2 4 5 2" xfId="5153" xr:uid="{F6A9821F-3BBE-40B4-8EEB-C72E0D618FFF}"/>
    <cellStyle name="Normal 7 3 2 4 6" xfId="2352" xr:uid="{E88A3511-390E-4843-9C0D-08BFE343809C}"/>
    <cellStyle name="Normal 7 3 2 4 6 2" xfId="7454" xr:uid="{38F84D75-A1D9-4E45-B660-F1924724F868}"/>
    <cellStyle name="Normal 7 3 2 4 7" xfId="4023" xr:uid="{697E690A-07DC-4840-AA15-6BC5F5DC1DB2}"/>
    <cellStyle name="Normal 7 3 2 5" xfId="470" xr:uid="{653E5318-A4B7-447C-832C-AB3C24001198}"/>
    <cellStyle name="Normal 7 3 2 5 2" xfId="1201" xr:uid="{2EAC511F-1B9E-485B-8345-EF04D7F90DDE}"/>
    <cellStyle name="Normal 7 3 2 5 2 2" xfId="3677" xr:uid="{98EF1190-BAF5-464E-A875-2B1E6C1B7FE5}"/>
    <cellStyle name="Normal 7 3 2 5 2 2 2" xfId="5556" xr:uid="{8992CC98-C704-481D-BBDE-9EA29CE11D8E}"/>
    <cellStyle name="Normal 7 3 2 5 2 3" xfId="2755" xr:uid="{42B66106-53F7-4EA3-A3C0-8BD35784B6C2}"/>
    <cellStyle name="Normal 7 3 2 5 2 4" xfId="4426" xr:uid="{3581A3F6-B352-45C0-964A-74BA6A6122F5}"/>
    <cellStyle name="Normal 7 3 2 5 3" xfId="2085" xr:uid="{0A24E4EF-F73F-4160-8634-5F82E4A2FCDA}"/>
    <cellStyle name="Normal 7 3 2 5 3 2" xfId="3282" xr:uid="{086EBB33-4148-4E98-8EF1-25E61A9BB075}"/>
    <cellStyle name="Normal 7 3 2 5 3 3" xfId="4988" xr:uid="{576BA7A8-108C-4115-AB95-999202667115}"/>
    <cellStyle name="Normal 7 3 2 5 4" xfId="723" xr:uid="{925A15BF-6EFE-4AFF-A3CF-2532B8BC5F37}"/>
    <cellStyle name="Normal 7 3 2 5 4 2" xfId="5208" xr:uid="{C57D770A-447A-4EB9-8A5C-B968E778E993}"/>
    <cellStyle name="Normal 7 3 2 5 5" xfId="2407" xr:uid="{E8CEAA08-B992-4572-9466-DA0951252F79}"/>
    <cellStyle name="Normal 7 3 2 5 5 2" xfId="7455" xr:uid="{516DB46E-0625-4A16-9F60-024C65AF07C0}"/>
    <cellStyle name="Normal 7 3 2 5 6" xfId="4078" xr:uid="{02545315-BFC4-4078-AD3A-EB14B475845F}"/>
    <cellStyle name="Normal 7 3 2 6" xfId="787" xr:uid="{7AC473D6-64E2-4AC4-86AD-75F8965F10AB}"/>
    <cellStyle name="Normal 7 3 2 6 2" xfId="1266" xr:uid="{D659EC6E-3530-4147-BE6C-AA4CCCF83C14}"/>
    <cellStyle name="Normal 7 3 2 6 2 2" xfId="3740" xr:uid="{6F0C55F5-F34D-4E7A-A7C2-4337D48B98C5}"/>
    <cellStyle name="Normal 7 3 2 6 2 2 2" xfId="5611" xr:uid="{39BA71A0-8542-468B-A1ED-1D9F45677964}"/>
    <cellStyle name="Normal 7 3 2 6 2 3" xfId="2810" xr:uid="{3DEAC104-035A-4326-AC6F-DC63B619EEDE}"/>
    <cellStyle name="Normal 7 3 2 6 2 4" xfId="4481" xr:uid="{0A714742-0644-4A16-970F-7DBC7032B969}"/>
    <cellStyle name="Normal 7 3 2 6 3" xfId="3337" xr:uid="{BD56DE48-0F1E-4B70-88B7-4E96426690BF}"/>
    <cellStyle name="Normal 7 3 2 6 3 2" xfId="5263" xr:uid="{B8DAD123-D564-495B-B090-29E3969674BA}"/>
    <cellStyle name="Normal 7 3 2 6 4" xfId="2462" xr:uid="{DBE81C70-9A01-420D-B01C-9F96C06AD58C}"/>
    <cellStyle name="Normal 7 3 2 6 4 2" xfId="7456" xr:uid="{7C739B40-F4C5-4834-A237-76E634634088}"/>
    <cellStyle name="Normal 7 3 2 6 5" xfId="4133" xr:uid="{64146988-E115-4EF0-900F-77C2CEBB12D3}"/>
    <cellStyle name="Normal 7 3 2 7" xfId="851" xr:uid="{EE9059E2-589E-4246-AFAA-07046EA4CC1C}"/>
    <cellStyle name="Normal 7 3 2 7 2" xfId="1330" xr:uid="{4E316A38-7892-40FF-A68C-A39D603582D6}"/>
    <cellStyle name="Normal 7 3 2 7 2 2" xfId="3804" xr:uid="{0BAF031B-CE5B-4499-930F-53E010C19310}"/>
    <cellStyle name="Normal 7 3 2 7 2 2 2" xfId="5666" xr:uid="{6B9C7F47-A288-4EDF-BF70-E4AC192ED2F6}"/>
    <cellStyle name="Normal 7 3 2 7 2 3" xfId="2865" xr:uid="{F8579EAB-AAF0-4527-AB1D-7CB0E0F44D88}"/>
    <cellStyle name="Normal 7 3 2 7 2 4" xfId="4536" xr:uid="{7CAA875E-10E3-498A-A316-0D39AB0ADF17}"/>
    <cellStyle name="Normal 7 3 2 7 3" xfId="3392" xr:uid="{2F99DD89-8A51-4FDF-A7CE-570917CD0DEA}"/>
    <cellStyle name="Normal 7 3 2 7 3 2" xfId="5318" xr:uid="{4B56F169-871F-48F1-8740-E2CB3779A8D0}"/>
    <cellStyle name="Normal 7 3 2 7 4" xfId="2517" xr:uid="{3D94E488-9B04-4B6F-A65D-308C5EF259FA}"/>
    <cellStyle name="Normal 7 3 2 7 4 2" xfId="7457" xr:uid="{8C4D0976-28C9-4282-8E04-075040698C8F}"/>
    <cellStyle name="Normal 7 3 2 7 5" xfId="4188" xr:uid="{CE837A4A-02D7-4929-8642-B0E646AFCD43}"/>
    <cellStyle name="Normal 7 3 2 8" xfId="984" xr:uid="{21AC8146-3A87-4AB7-8B99-FF2BB76A9750}"/>
    <cellStyle name="Normal 7 3 2 8 2" xfId="3481" xr:uid="{365C9A53-110F-4DBB-9A31-CAE64F1E3FAD}"/>
    <cellStyle name="Normal 7 3 2 8 2 2" xfId="5370" xr:uid="{51AEB787-BF39-4A0A-99F1-2FC2E165F302}"/>
    <cellStyle name="Normal 7 3 2 8 3" xfId="2569" xr:uid="{9BF36583-6C8E-46B4-9693-F2872357B785}"/>
    <cellStyle name="Normal 7 3 2 8 4" xfId="4240" xr:uid="{27A473F1-E479-439A-AC25-8C70CC1DA686}"/>
    <cellStyle name="Normal 7 3 2 9" xfId="1483" xr:uid="{72C0E6B6-FDF6-4C78-9118-1C7B2244F2B2}"/>
    <cellStyle name="Normal 7 3 2 9 2" xfId="3109" xr:uid="{A358B90A-075E-4DD8-A675-D113C107D4FB}"/>
    <cellStyle name="Normal 7 3 2 9 2 2" xfId="5757" xr:uid="{6F91911A-0AB4-47D6-A6AF-C6FFB8B35E22}"/>
    <cellStyle name="Normal 7 3 2 9 3" xfId="4618" xr:uid="{391C5350-1FA6-41D8-8409-3D57DF5F8B39}"/>
    <cellStyle name="Normal 7 3 3" xfId="161" xr:uid="{F49D2BF2-ABAC-43EB-ABAC-718E4633949F}"/>
    <cellStyle name="Normal 7 3 3 10" xfId="540" xr:uid="{40772708-33A2-4299-851B-96DF4E6B2A26}"/>
    <cellStyle name="Normal 7 3 3 10 2" xfId="5052" xr:uid="{05A7BC0B-DFA8-4DED-ACCB-5AB07859671E}"/>
    <cellStyle name="Normal 7 3 3 11" xfId="2189" xr:uid="{E75B15F0-FDE3-4CFD-8456-BACBCCDA9EEA}"/>
    <cellStyle name="Normal 7 3 3 11 2" xfId="7458" xr:uid="{DF99E65F-C7A5-4CA1-8EF9-2ACE7E74CB7F}"/>
    <cellStyle name="Normal 7 3 3 12" xfId="2251" xr:uid="{4910A219-CBC1-4A1F-B130-75E7567101AC}"/>
    <cellStyle name="Normal 7 3 3 13" xfId="3922" xr:uid="{38CF75DB-A610-4407-B975-CBFAE73E210D}"/>
    <cellStyle name="Normal 7 3 3 2" xfId="272" xr:uid="{1A018038-AE28-4655-BEB6-8CFB160B5C66}"/>
    <cellStyle name="Normal 7 3 3 2 2" xfId="1075" xr:uid="{23C0176F-12D9-43B9-99F7-0F4CE2B02D25}"/>
    <cellStyle name="Normal 7 3 3 2 2 2" xfId="3563" xr:uid="{013C7B0A-7CD9-4559-9CFD-34E37E0F5C95}"/>
    <cellStyle name="Normal 7 3 3 2 2 2 2" xfId="5448" xr:uid="{D9D776B7-F50A-4106-947A-29424E9D5472}"/>
    <cellStyle name="Normal 7 3 3 2 2 3" xfId="2647" xr:uid="{ACC9EBD2-439B-47A0-A977-0BB71C97826E}"/>
    <cellStyle name="Normal 7 3 3 2 2 4" xfId="4318" xr:uid="{6CE00384-EB99-41C0-96F1-5453974218DD}"/>
    <cellStyle name="Normal 7 3 3 2 3" xfId="1586" xr:uid="{34BDE8D9-5359-41E9-A81A-B3E1BC2C7DBF}"/>
    <cellStyle name="Normal 7 3 3 2 3 2" xfId="3175" xr:uid="{913F0766-4A07-4DF7-8D9E-9402859AB8F8}"/>
    <cellStyle name="Normal 7 3 3 2 3 2 2" xfId="5852" xr:uid="{D943900E-9B27-4C06-9C09-67B76B7395F8}"/>
    <cellStyle name="Normal 7 3 3 2 3 3" xfId="4681" xr:uid="{1193BABC-4DD2-498D-9746-43CB87DF464B}"/>
    <cellStyle name="Normal 7 3 3 2 4" xfId="1888" xr:uid="{5AECE7C5-1300-484E-A595-443004CED2A0}"/>
    <cellStyle name="Normal 7 3 3 2 4 2" xfId="4867" xr:uid="{3A3D1255-FA93-42EB-BCDA-06FD61569A8C}"/>
    <cellStyle name="Normal 7 3 3 2 5" xfId="597" xr:uid="{7A2CE935-9182-432C-B343-124F1BBFAEE2}"/>
    <cellStyle name="Normal 7 3 3 2 5 2" xfId="5100" xr:uid="{0F089723-33E3-4EBB-88D4-CA88A25DD94B}"/>
    <cellStyle name="Normal 7 3 3 2 6" xfId="2299" xr:uid="{76188F30-4559-4414-800D-C56EC8ED34C0}"/>
    <cellStyle name="Normal 7 3 3 2 6 2" xfId="7459" xr:uid="{8744CA1D-F3BA-441A-9F36-65D32F26B5D8}"/>
    <cellStyle name="Normal 7 3 3 2 7" xfId="3970" xr:uid="{284007F4-0643-40DC-B8DB-498CF031CCC6}"/>
    <cellStyle name="Normal 7 3 3 3" xfId="372" xr:uid="{4975F87C-008A-477C-BD24-069632657C40}"/>
    <cellStyle name="Normal 7 3 3 3 2" xfId="1139" xr:uid="{C31F7B08-4FF1-4B47-8043-2E7238A80564}"/>
    <cellStyle name="Normal 7 3 3 3 2 2" xfId="3618" xr:uid="{3DE569D5-41A2-4D21-B4A4-60FF270A22D9}"/>
    <cellStyle name="Normal 7 3 3 3 2 2 2" xfId="5503" xr:uid="{C861E714-C04C-45B0-B832-777E07F6B73D}"/>
    <cellStyle name="Normal 7 3 3 3 2 3" xfId="2702" xr:uid="{A88E2551-F900-4ADE-8C03-348A028CA31C}"/>
    <cellStyle name="Normal 7 3 3 3 2 4" xfId="4373" xr:uid="{E67FEC9D-7BDF-4B18-A579-20361697415A}"/>
    <cellStyle name="Normal 7 3 3 3 3" xfId="1685" xr:uid="{5AFF6D78-A6B5-4CB7-B345-BB897E00DD25}"/>
    <cellStyle name="Normal 7 3 3 3 3 2" xfId="3229" xr:uid="{D22F2CE9-A1BC-433A-9F21-7031E1C8D1F3}"/>
    <cellStyle name="Normal 7 3 3 3 3 2 2" xfId="5929" xr:uid="{17C8D7E9-AFD5-4837-964A-883538F0AC9D}"/>
    <cellStyle name="Normal 7 3 3 3 3 3" xfId="4742" xr:uid="{AB3CA62F-A3E4-41BD-9B4B-2DBDE4774573}"/>
    <cellStyle name="Normal 7 3 3 3 4" xfId="1987" xr:uid="{F3D0A0FF-51EA-4724-88BF-A6C87F9E5AC9}"/>
    <cellStyle name="Normal 7 3 3 3 4 2" xfId="4928" xr:uid="{78541638-9826-4439-AC8E-41625CE506AD}"/>
    <cellStyle name="Normal 7 3 3 3 5" xfId="661" xr:uid="{7A69C337-76E5-4A62-9BA2-264454DF2F7A}"/>
    <cellStyle name="Normal 7 3 3 3 5 2" xfId="5155" xr:uid="{8EBA54DE-BEFD-4A87-9D41-EABEDB2E30E0}"/>
    <cellStyle name="Normal 7 3 3 3 6" xfId="2354" xr:uid="{18AA0BBF-E838-440E-9F95-D0DD8B4A4C5B}"/>
    <cellStyle name="Normal 7 3 3 3 6 2" xfId="7460" xr:uid="{43E282EE-46D1-4E83-B452-2B10D0BBC585}"/>
    <cellStyle name="Normal 7 3 3 3 7" xfId="4025" xr:uid="{A48D7F9F-9F36-4F6B-B8BF-0B60E1BF8D42}"/>
    <cellStyle name="Normal 7 3 3 4" xfId="472" xr:uid="{2FF5124E-2C21-4C17-9F02-A6B1E50D3EF6}"/>
    <cellStyle name="Normal 7 3 3 4 2" xfId="1203" xr:uid="{574EE1C3-AC72-4FDE-84C5-361F7CC6BFC0}"/>
    <cellStyle name="Normal 7 3 3 4 2 2" xfId="3679" xr:uid="{7699B4B7-65DB-4CA7-AAEA-4DB8B230F33F}"/>
    <cellStyle name="Normal 7 3 3 4 2 2 2" xfId="5558" xr:uid="{72664B25-8C9A-4F75-882E-2808E2D9238B}"/>
    <cellStyle name="Normal 7 3 3 4 2 3" xfId="2757" xr:uid="{C2A05F46-7B90-4F24-B2C9-B35AB91CFCCB}"/>
    <cellStyle name="Normal 7 3 3 4 2 4" xfId="4428" xr:uid="{A8F4DB17-DE59-4B9C-A0FD-2EC90DBDCEC1}"/>
    <cellStyle name="Normal 7 3 3 4 3" xfId="2087" xr:uid="{A82C8CBF-E4EB-4CB9-A544-68BDEDDB417F}"/>
    <cellStyle name="Normal 7 3 3 4 3 2" xfId="3284" xr:uid="{8BA670D2-F18B-4A5F-A1C2-3F2C3CEFB089}"/>
    <cellStyle name="Normal 7 3 3 4 3 3" xfId="4990" xr:uid="{838337CA-6212-45C9-87CB-C22E87321AA1}"/>
    <cellStyle name="Normal 7 3 3 4 4" xfId="725" xr:uid="{1A348A10-C6C0-4451-82EF-F849B98C369B}"/>
    <cellStyle name="Normal 7 3 3 4 4 2" xfId="5210" xr:uid="{B5397CE6-2EAB-4F37-AE9D-205B7A59B25B}"/>
    <cellStyle name="Normal 7 3 3 4 5" xfId="2409" xr:uid="{7C58E7B3-53AE-4C74-944E-B5CC678D81F3}"/>
    <cellStyle name="Normal 7 3 3 4 5 2" xfId="7461" xr:uid="{D28E062D-DED2-4EDC-9034-6A25DA7C78E1}"/>
    <cellStyle name="Normal 7 3 3 4 6" xfId="4080" xr:uid="{A190BEC9-1499-43F8-BFE2-4A83D6FB9C73}"/>
    <cellStyle name="Normal 7 3 3 5" xfId="789" xr:uid="{6C834582-779A-479F-B5FE-4CB0BD400430}"/>
    <cellStyle name="Normal 7 3 3 5 2" xfId="1268" xr:uid="{F3C2E7B5-6539-41D5-9975-0F91111619A3}"/>
    <cellStyle name="Normal 7 3 3 5 2 2" xfId="3742" xr:uid="{4058D8F2-0A7D-40F4-A253-25938F1E2552}"/>
    <cellStyle name="Normal 7 3 3 5 2 2 2" xfId="5613" xr:uid="{7F0BE81D-8577-41F1-94DA-6C3EE135446A}"/>
    <cellStyle name="Normal 7 3 3 5 2 3" xfId="2812" xr:uid="{A702EEDC-96D1-4E21-B61D-F3712C21E2AC}"/>
    <cellStyle name="Normal 7 3 3 5 2 4" xfId="4483" xr:uid="{27453085-8145-4228-8459-7A1EEC9D4349}"/>
    <cellStyle name="Normal 7 3 3 5 3" xfId="3339" xr:uid="{96E50696-02CE-4810-AED2-80FAA6208BD5}"/>
    <cellStyle name="Normal 7 3 3 5 3 2" xfId="5265" xr:uid="{23B5B982-4960-498E-866D-615C75CE564C}"/>
    <cellStyle name="Normal 7 3 3 5 4" xfId="2464" xr:uid="{6DF48F73-CF86-4E42-9D83-BAD1DB019957}"/>
    <cellStyle name="Normal 7 3 3 5 4 2" xfId="7462" xr:uid="{43322321-5EC5-4035-B22D-9E35025D4505}"/>
    <cellStyle name="Normal 7 3 3 5 5" xfId="4135" xr:uid="{E40AF4D6-E886-4E10-A9D6-7AFFD19AB992}"/>
    <cellStyle name="Normal 7 3 3 6" xfId="853" xr:uid="{9B3D46EE-FFBE-48DB-B0AA-73F5712184A1}"/>
    <cellStyle name="Normal 7 3 3 6 2" xfId="1332" xr:uid="{F0679E6C-C1DB-461C-A2D6-C2973D01B075}"/>
    <cellStyle name="Normal 7 3 3 6 2 2" xfId="3806" xr:uid="{DDB58C86-6904-4666-B53E-BD5FC836B299}"/>
    <cellStyle name="Normal 7 3 3 6 2 2 2" xfId="5668" xr:uid="{761EA27F-5680-47A0-B0AD-5B6D73A03B5F}"/>
    <cellStyle name="Normal 7 3 3 6 2 3" xfId="2867" xr:uid="{6AA64524-53F0-42B3-B2A1-D69C11165F62}"/>
    <cellStyle name="Normal 7 3 3 6 2 4" xfId="4538" xr:uid="{FB3A016A-C396-4B6E-9303-A685F590D86E}"/>
    <cellStyle name="Normal 7 3 3 6 3" xfId="3394" xr:uid="{04D25079-1242-4489-86BE-C828201608ED}"/>
    <cellStyle name="Normal 7 3 3 6 3 2" xfId="5320" xr:uid="{95270845-FD1E-451D-8C82-958F3D154EB9}"/>
    <cellStyle name="Normal 7 3 3 6 4" xfId="2519" xr:uid="{FE60E945-8567-4927-B718-E18E52AF9986}"/>
    <cellStyle name="Normal 7 3 3 6 4 2" xfId="7463" xr:uid="{B0D39925-6E7C-46AB-BDF8-70E6B17CAF20}"/>
    <cellStyle name="Normal 7 3 3 6 5" xfId="4190" xr:uid="{B988867F-6948-4082-9724-9D3A1B45E0E9}"/>
    <cellStyle name="Normal 7 3 3 7" xfId="1018" xr:uid="{AD0EA1B3-F9DA-4F78-BF09-A809E3B8CF85}"/>
    <cellStyle name="Normal 7 3 3 7 2" xfId="3515" xr:uid="{DB6FCC6B-201C-4098-9D3B-647BB1F7E684}"/>
    <cellStyle name="Normal 7 3 3 7 2 2" xfId="5400" xr:uid="{E3BDEE24-6CB9-4493-A3B1-5517DA8E1A3F}"/>
    <cellStyle name="Normal 7 3 3 7 3" xfId="2599" xr:uid="{568DA84E-5608-414C-A9BC-8D04F557B8A5}"/>
    <cellStyle name="Normal 7 3 3 7 4" xfId="4270" xr:uid="{DB37C52B-F7E3-4C86-98DA-CB5533B25197}"/>
    <cellStyle name="Normal 7 3 3 8" xfId="1485" xr:uid="{3C2F3512-79F1-40B3-8EEE-6F3374642141}"/>
    <cellStyle name="Normal 7 3 3 8 2" xfId="3065" xr:uid="{3ED0F2DE-BBE1-47D5-ABA8-C461B729E0C3}"/>
    <cellStyle name="Normal 7 3 3 8 2 2" xfId="5759" xr:uid="{274CAD3B-E9E3-4C45-BE9F-D184685FF2F7}"/>
    <cellStyle name="Normal 7 3 3 8 3" xfId="4620" xr:uid="{5C644A12-FA48-4E56-A226-8D69D76BEDC4}"/>
    <cellStyle name="Normal 7 3 3 9" xfId="1788" xr:uid="{EDE65658-4D64-461D-817D-6F97024DCF0B}"/>
    <cellStyle name="Normal 7 3 3 9 2" xfId="4806" xr:uid="{BB30BC8B-F1E6-4641-9D0E-C71800E774F6}"/>
    <cellStyle name="Normal 7 3 4" xfId="269" xr:uid="{9723BC75-319A-4999-A612-04C133579E06}"/>
    <cellStyle name="Normal 7 3 4 2" xfId="1072" xr:uid="{4AB09792-1E57-4D91-9A02-9DAA95C88CB5}"/>
    <cellStyle name="Normal 7 3 4 2 2" xfId="3560" xr:uid="{3C966F3F-DC5F-4862-8E4D-0605EB0E5EE8}"/>
    <cellStyle name="Normal 7 3 4 2 2 2" xfId="5445" xr:uid="{510CE66B-9CC0-4507-A330-6BE4299F8763}"/>
    <cellStyle name="Normal 7 3 4 2 3" xfId="2644" xr:uid="{6A5F9E05-E657-4BEE-937D-91517972863E}"/>
    <cellStyle name="Normal 7 3 4 2 4" xfId="4315" xr:uid="{5C99FEB1-38D2-403B-A679-D3EA6D3C61F8}"/>
    <cellStyle name="Normal 7 3 4 3" xfId="1583" xr:uid="{F3F62BE8-A43D-4242-94C4-8EA4450D1415}"/>
    <cellStyle name="Normal 7 3 4 3 2" xfId="3172" xr:uid="{B5D3C4B0-DEA0-4237-B36A-F24BB5FB918B}"/>
    <cellStyle name="Normal 7 3 4 3 2 2" xfId="5849" xr:uid="{FED5AC20-5929-4E4E-8FBC-918E523CA27D}"/>
    <cellStyle name="Normal 7 3 4 3 3" xfId="4678" xr:uid="{D3BB91D9-FC1B-4CD5-9DBB-31ED419CA36E}"/>
    <cellStyle name="Normal 7 3 4 4" xfId="1885" xr:uid="{95FC04CB-4791-4A96-A152-01E858FAC717}"/>
    <cellStyle name="Normal 7 3 4 4 2" xfId="4864" xr:uid="{A76397FA-1105-4AF6-9FCE-F79E66E8CF49}"/>
    <cellStyle name="Normal 7 3 4 5" xfId="594" xr:uid="{48705BBC-19F5-4E70-B544-45A13F0C3C41}"/>
    <cellStyle name="Normal 7 3 4 5 2" xfId="5097" xr:uid="{AC31B801-56F8-402F-8C5F-1134CE8F33DA}"/>
    <cellStyle name="Normal 7 3 4 6" xfId="2296" xr:uid="{E536C413-DE3E-4B8D-A669-8D6CDB69FDE6}"/>
    <cellStyle name="Normal 7 3 4 6 2" xfId="7464" xr:uid="{316F0932-5FE9-41B1-888B-DFBAD881DC4D}"/>
    <cellStyle name="Normal 7 3 4 7" xfId="3967" xr:uid="{A02E1FBF-F6DF-4C4A-87A1-6C053A943AC0}"/>
    <cellStyle name="Normal 7 3 5" xfId="369" xr:uid="{A65AF3F8-D2A1-4E32-B0C7-98AC85BD7DA2}"/>
    <cellStyle name="Normal 7 3 5 2" xfId="1136" xr:uid="{37721BFA-882D-41A6-8FB1-4AF6F495C1F6}"/>
    <cellStyle name="Normal 7 3 5 2 2" xfId="3615" xr:uid="{46D0552B-A720-4FA0-B6B6-64031A520F78}"/>
    <cellStyle name="Normal 7 3 5 2 2 2" xfId="5500" xr:uid="{44D48F97-98E1-488C-AAA8-192FABE86742}"/>
    <cellStyle name="Normal 7 3 5 2 3" xfId="2699" xr:uid="{2D2FB737-F721-4A9C-BCE6-11BA3B8DE813}"/>
    <cellStyle name="Normal 7 3 5 2 4" xfId="4370" xr:uid="{AC5A549F-E5D2-4331-9688-874AC1B58F4C}"/>
    <cellStyle name="Normal 7 3 5 3" xfId="1682" xr:uid="{06EAA85F-0978-4CC0-A2DF-6A927D2B33E0}"/>
    <cellStyle name="Normal 7 3 5 3 2" xfId="3226" xr:uid="{1941FB26-3751-4BCA-8FB0-FE4BEA7F8453}"/>
    <cellStyle name="Normal 7 3 5 3 2 2" xfId="5926" xr:uid="{7E29743C-35E5-4F82-8DBC-0CD718CB9052}"/>
    <cellStyle name="Normal 7 3 5 3 3" xfId="4739" xr:uid="{214B7076-672E-4478-B21D-461A4CEFECBB}"/>
    <cellStyle name="Normal 7 3 5 4" xfId="1984" xr:uid="{A2AAC72A-BF5C-47CE-A384-D8D95178F66F}"/>
    <cellStyle name="Normal 7 3 5 4 2" xfId="4925" xr:uid="{46C87DC2-083F-4B0A-ACE3-53583DD6FD1B}"/>
    <cellStyle name="Normal 7 3 5 5" xfId="658" xr:uid="{794A0433-3C40-41A5-8B89-CEF143E442DA}"/>
    <cellStyle name="Normal 7 3 5 5 2" xfId="5152" xr:uid="{182C872F-2EE5-4339-BE64-5A0EC5EF0889}"/>
    <cellStyle name="Normal 7 3 5 6" xfId="2351" xr:uid="{18A62E71-F762-48E5-A16C-BAD075E77182}"/>
    <cellStyle name="Normal 7 3 5 6 2" xfId="7465" xr:uid="{1BFF5670-63ED-4556-87A1-5CF3B5D300F9}"/>
    <cellStyle name="Normal 7 3 5 7" xfId="4022" xr:uid="{535FA41F-2BB8-4E02-87A7-68F655A6AC7A}"/>
    <cellStyle name="Normal 7 3 6" xfId="469" xr:uid="{3A076173-EF6B-487E-B6DE-4B92378D26B3}"/>
    <cellStyle name="Normal 7 3 6 2" xfId="1200" xr:uid="{9E0F5DBD-6332-4519-8EDD-0E96142CF7E8}"/>
    <cellStyle name="Normal 7 3 6 2 2" xfId="3676" xr:uid="{8F428788-A1E7-4D58-B891-D819F428B50C}"/>
    <cellStyle name="Normal 7 3 6 2 2 2" xfId="5555" xr:uid="{2CEEC7B3-263F-45C8-A2ED-8CD3E3F7F911}"/>
    <cellStyle name="Normal 7 3 6 2 3" xfId="2754" xr:uid="{5C5962A2-DB54-4E1B-9E19-D5795ED6C06B}"/>
    <cellStyle name="Normal 7 3 6 2 4" xfId="4425" xr:uid="{86F52B02-7F02-4A8E-B3DF-0653F4951DAD}"/>
    <cellStyle name="Normal 7 3 6 3" xfId="2084" xr:uid="{AEB8910A-819F-4DEB-9BAE-2C18F949BBF1}"/>
    <cellStyle name="Normal 7 3 6 3 2" xfId="3281" xr:uid="{A8DF0A97-BB3F-4B03-AB25-0FD1577AB4BC}"/>
    <cellStyle name="Normal 7 3 6 3 3" xfId="4987" xr:uid="{9EE65C34-8571-46C5-8593-31B2DB1A53A6}"/>
    <cellStyle name="Normal 7 3 6 4" xfId="722" xr:uid="{B25A59F5-56C7-47FC-8185-0C1B47E1E77A}"/>
    <cellStyle name="Normal 7 3 6 4 2" xfId="5207" xr:uid="{1250E6F3-B8B4-469A-8DB4-6E9A92E2158C}"/>
    <cellStyle name="Normal 7 3 6 5" xfId="2406" xr:uid="{7C35DC17-FED3-4594-A6A8-6B40BF84A0A7}"/>
    <cellStyle name="Normal 7 3 6 5 2" xfId="7466" xr:uid="{D72DE655-68F7-4E4E-9D1D-A00BCFE59325}"/>
    <cellStyle name="Normal 7 3 6 6" xfId="4077" xr:uid="{32B8F46E-7EB8-405C-AACE-31548971F4D2}"/>
    <cellStyle name="Normal 7 3 7" xfId="786" xr:uid="{DA537A32-F4BB-4E74-95F8-4730CC35940A}"/>
    <cellStyle name="Normal 7 3 7 2" xfId="1265" xr:uid="{6E53E554-DA64-40F6-8B4D-CB7AEFA2042C}"/>
    <cellStyle name="Normal 7 3 7 2 2" xfId="3739" xr:uid="{0D271E18-0B02-4975-B54A-226DDCD0BCFB}"/>
    <cellStyle name="Normal 7 3 7 2 2 2" xfId="5610" xr:uid="{A20C619D-D43D-4234-85B8-DEA977DEE19D}"/>
    <cellStyle name="Normal 7 3 7 2 3" xfId="2809" xr:uid="{EF10EA26-BB50-46F5-B08C-F206F0C4EE0C}"/>
    <cellStyle name="Normal 7 3 7 2 4" xfId="4480" xr:uid="{0C8D3311-10BD-4E71-92F4-7CE7BDC05AD2}"/>
    <cellStyle name="Normal 7 3 7 3" xfId="3336" xr:uid="{13732BAE-944B-437E-95E2-079D373714F6}"/>
    <cellStyle name="Normal 7 3 7 3 2" xfId="5262" xr:uid="{F5170596-90D4-491B-94DC-28118D924D37}"/>
    <cellStyle name="Normal 7 3 7 4" xfId="2461" xr:uid="{5233B683-6C3C-47EB-8891-C715F94CA6E5}"/>
    <cellStyle name="Normal 7 3 7 4 2" xfId="7467" xr:uid="{E901B778-EC91-4500-B377-8A81B95131A3}"/>
    <cellStyle name="Normal 7 3 7 5" xfId="4132" xr:uid="{61E4C07A-0968-4743-A540-96A6BF209736}"/>
    <cellStyle name="Normal 7 3 8" xfId="850" xr:uid="{F8AA88D1-AA1D-4D0F-829A-34E5E448519C}"/>
    <cellStyle name="Normal 7 3 8 2" xfId="1329" xr:uid="{5C843A3C-C93B-4442-8416-405A2ED2BFC8}"/>
    <cellStyle name="Normal 7 3 8 2 2" xfId="3803" xr:uid="{29F8ED13-B3D2-4B51-A31C-5F805291D9C4}"/>
    <cellStyle name="Normal 7 3 8 2 2 2" xfId="5665" xr:uid="{C4F54F11-F4E0-4C61-87CB-8C514AB91848}"/>
    <cellStyle name="Normal 7 3 8 2 3" xfId="2864" xr:uid="{A765E879-0164-468E-A20F-D9A77D363836}"/>
    <cellStyle name="Normal 7 3 8 2 4" xfId="4535" xr:uid="{13E32BA8-7DB5-43D6-8973-ADB1075A8D97}"/>
    <cellStyle name="Normal 7 3 8 3" xfId="3391" xr:uid="{AE533AD9-9475-47D3-95F9-7CFE518B636E}"/>
    <cellStyle name="Normal 7 3 8 3 2" xfId="5317" xr:uid="{4D4518B3-FFB3-423C-B513-D4516DC7EF61}"/>
    <cellStyle name="Normal 7 3 8 4" xfId="2516" xr:uid="{05D60A96-131C-4915-877B-906C2C913160}"/>
    <cellStyle name="Normal 7 3 8 4 2" xfId="7468" xr:uid="{54CA52EC-F813-4B1F-B04F-0524124A6CF9}"/>
    <cellStyle name="Normal 7 3 8 5" xfId="4187" xr:uid="{967196ED-1B2E-4138-8B22-B5CA7505BBF2}"/>
    <cellStyle name="Normal 7 3 9" xfId="968" xr:uid="{766DEE66-7B70-4C95-A215-81CA1F15CBAD}"/>
    <cellStyle name="Normal 7 3 9 2" xfId="3465" xr:uid="{3AB6C44E-FF17-43AB-8982-D5E831CC94D0}"/>
    <cellStyle name="Normal 7 3 9 2 2" xfId="5358" xr:uid="{AB236DFA-C84C-4D10-BC78-2C63BA4A20C9}"/>
    <cellStyle name="Normal 7 3 9 3" xfId="2557" xr:uid="{09A55685-5F39-49AC-B37B-502B3FD7BA59}"/>
    <cellStyle name="Normal 7 3 9 4" xfId="4228" xr:uid="{3FDA1CBD-20D3-47FB-BA0E-F63734391DC3}"/>
    <cellStyle name="Normal 7 4" xfId="162" xr:uid="{4E024660-F424-479A-8358-73268C48B054}"/>
    <cellStyle name="Normal 7 4 10" xfId="1486" xr:uid="{30E83F8E-630A-478E-B5A1-70062E412D04}"/>
    <cellStyle name="Normal 7 4 10 2" xfId="3856" xr:uid="{AE1588CA-3EF1-4BF7-BCDD-33F20780F0DD}"/>
    <cellStyle name="Normal 7 4 10 2 2" xfId="5760" xr:uid="{3E92ACED-F504-4279-A6EB-B4AE294A15C1}"/>
    <cellStyle name="Normal 7 4 10 3" xfId="2910" xr:uid="{89485ECB-2187-408E-ACE7-A35D1EA208A8}"/>
    <cellStyle name="Normal 7 4 10 4" xfId="4621" xr:uid="{B221B109-631C-4E1D-A97E-5E56977E1D32}"/>
    <cellStyle name="Normal 7 4 11" xfId="1789" xr:uid="{3D0D3076-CE6D-43B6-993B-4FDE2C9AE57A}"/>
    <cellStyle name="Normal 7 4 11 2" xfId="3066" xr:uid="{8F70C2B8-846D-4757-A3DF-64E09CE4ACEA}"/>
    <cellStyle name="Normal 7 4 11 3" xfId="4807" xr:uid="{B2913A72-4B26-4657-90EE-103A59CE2A68}"/>
    <cellStyle name="Normal 7 4 12" xfId="499" xr:uid="{5F412167-CF83-4BA4-BDCF-89144B30D13B}"/>
    <cellStyle name="Normal 7 4 12 2" xfId="5017" xr:uid="{16911EF8-8779-4FFB-BAB7-7134607A5E51}"/>
    <cellStyle name="Normal 7 4 13" xfId="2190" xr:uid="{9BD08B7A-BAEB-4EF0-9217-FDC9733FAFB2}"/>
    <cellStyle name="Normal 7 4 13 2" xfId="5956" xr:uid="{F0C1C277-D807-4043-816B-BB7EBD0059B0}"/>
    <cellStyle name="Normal 7 4 14" xfId="2216" xr:uid="{03DB8608-A0A6-4E1D-B0DA-5970E7BFBF4C}"/>
    <cellStyle name="Normal 7 4 14 2" xfId="7469" xr:uid="{EE2AB914-F8CD-456C-BDD5-A518443F15D9}"/>
    <cellStyle name="Normal 7 4 15" xfId="3887" xr:uid="{BEBA3950-1EBA-4D64-B773-C61E2D12F753}"/>
    <cellStyle name="Normal 7 4 2" xfId="163" xr:uid="{A732E7F6-4F57-4404-97E4-3DDD8EA64242}"/>
    <cellStyle name="Normal 7 4 2 10" xfId="1790" xr:uid="{841A15FD-7F4C-4D95-BC98-0A8EFA6BFB3F}"/>
    <cellStyle name="Normal 7 4 2 10 2" xfId="4808" xr:uid="{77EE0F69-C171-405C-9AD3-F81341B6857E}"/>
    <cellStyle name="Normal 7 4 2 11" xfId="513" xr:uid="{B56CC3E6-07B6-4704-9BCA-D64CFEB4DD22}"/>
    <cellStyle name="Normal 7 4 2 11 2" xfId="5029" xr:uid="{00CD7331-7A79-459F-A999-38F0B1B48915}"/>
    <cellStyle name="Normal 7 4 2 12" xfId="2191" xr:uid="{7FFDFCE6-048F-45C5-AEA6-122682BC5649}"/>
    <cellStyle name="Normal 7 4 2 12 2" xfId="7470" xr:uid="{B1EF31C5-01BD-4F37-8CB8-5FCD0194F9D0}"/>
    <cellStyle name="Normal 7 4 2 13" xfId="2228" xr:uid="{317773E3-BB8E-4497-BB06-ED706AD78D11}"/>
    <cellStyle name="Normal 7 4 2 14" xfId="3899" xr:uid="{124EA1D8-F105-4BEC-A312-53975407866C}"/>
    <cellStyle name="Normal 7 4 2 2" xfId="164" xr:uid="{24912786-0FEA-4998-A807-31C3A8AE70A8}"/>
    <cellStyle name="Normal 7 4 2 2 10" xfId="543" xr:uid="{D4147834-74BC-4DD8-844A-A105A168174C}"/>
    <cellStyle name="Normal 7 4 2 2 10 2" xfId="5055" xr:uid="{9FBC5383-DBA1-4BFB-8889-83A412B6CC97}"/>
    <cellStyle name="Normal 7 4 2 2 11" xfId="2192" xr:uid="{6BB0BEF9-6ECD-435C-AD53-E3110FC84D36}"/>
    <cellStyle name="Normal 7 4 2 2 11 2" xfId="7471" xr:uid="{2F4F9AF1-2FC0-411B-BFA0-6D74D3E84717}"/>
    <cellStyle name="Normal 7 4 2 2 12" xfId="2254" xr:uid="{6AC1DF82-713C-4FC0-ADE8-0158B39F9CEE}"/>
    <cellStyle name="Normal 7 4 2 2 13" xfId="3925" xr:uid="{130F7E40-92A9-4E3C-AB62-98743EAF7559}"/>
    <cellStyle name="Normal 7 4 2 2 2" xfId="275" xr:uid="{3532FC51-1D57-4125-A721-B44B3D3FB78F}"/>
    <cellStyle name="Normal 7 4 2 2 2 2" xfId="1078" xr:uid="{7A72CA18-60A1-48A5-9DB3-5A8A3F54E00B}"/>
    <cellStyle name="Normal 7 4 2 2 2 2 2" xfId="3566" xr:uid="{9ADCD329-7563-4CFF-B21F-589692723CDE}"/>
    <cellStyle name="Normal 7 4 2 2 2 2 2 2" xfId="5451" xr:uid="{4ACE6379-116D-4D75-AEAF-08F72AC7A823}"/>
    <cellStyle name="Normal 7 4 2 2 2 2 3" xfId="2650" xr:uid="{7DDAB268-A1DE-4635-A766-E2C910DF0E80}"/>
    <cellStyle name="Normal 7 4 2 2 2 2 4" xfId="4321" xr:uid="{7FB8F833-2099-44FE-BC2C-5AABC6C8BF2D}"/>
    <cellStyle name="Normal 7 4 2 2 2 3" xfId="1589" xr:uid="{2D6CE991-8E4D-4D05-B998-0544F6846863}"/>
    <cellStyle name="Normal 7 4 2 2 2 3 2" xfId="3178" xr:uid="{FB55E87A-5926-4D1A-82F6-E8997AD98CF6}"/>
    <cellStyle name="Normal 7 4 2 2 2 3 2 2" xfId="5855" xr:uid="{45BD1F81-7FBF-4DAE-B1CC-4C0B094D093E}"/>
    <cellStyle name="Normal 7 4 2 2 2 3 3" xfId="4684" xr:uid="{BEC3DE40-6423-403D-A326-76BA4294DFA5}"/>
    <cellStyle name="Normal 7 4 2 2 2 4" xfId="1891" xr:uid="{99F796FD-4C58-48E1-BB2E-62EC81716B53}"/>
    <cellStyle name="Normal 7 4 2 2 2 4 2" xfId="4870" xr:uid="{0587490C-FB22-41E6-83D3-DC2495743802}"/>
    <cellStyle name="Normal 7 4 2 2 2 5" xfId="600" xr:uid="{2E1DFAFD-4A90-460C-A4BE-CF37F7D6AC01}"/>
    <cellStyle name="Normal 7 4 2 2 2 5 2" xfId="5103" xr:uid="{1ED69243-0E1C-4A07-A22C-E8D9EE182D4D}"/>
    <cellStyle name="Normal 7 4 2 2 2 6" xfId="2302" xr:uid="{7B4B0631-DA22-4DC4-9AF3-E55CC1582299}"/>
    <cellStyle name="Normal 7 4 2 2 2 6 2" xfId="7472" xr:uid="{DB92E9E0-AB79-4F67-BC58-B22CF28AAC4C}"/>
    <cellStyle name="Normal 7 4 2 2 2 7" xfId="3973" xr:uid="{7068540B-543C-4C6B-995B-31F230917F8E}"/>
    <cellStyle name="Normal 7 4 2 2 3" xfId="375" xr:uid="{6DC57DC9-156E-4FCB-BE5F-CFA7ADA50DF7}"/>
    <cellStyle name="Normal 7 4 2 2 3 2" xfId="1142" xr:uid="{94D078A0-8617-4C07-96F7-07431FFE8493}"/>
    <cellStyle name="Normal 7 4 2 2 3 2 2" xfId="3621" xr:uid="{5C7B8A88-98A9-466A-9121-51E9C51DE1EF}"/>
    <cellStyle name="Normal 7 4 2 2 3 2 2 2" xfId="5506" xr:uid="{7B8348BC-10C5-45D9-B04A-C178CED6E090}"/>
    <cellStyle name="Normal 7 4 2 2 3 2 3" xfId="2705" xr:uid="{09E9DB8F-D176-410E-AA6E-7F8652EF3EEE}"/>
    <cellStyle name="Normal 7 4 2 2 3 2 4" xfId="4376" xr:uid="{772B5F72-7A5D-4374-B690-B6AD73CE0149}"/>
    <cellStyle name="Normal 7 4 2 2 3 3" xfId="1688" xr:uid="{DAC064AA-850B-47EA-B6CE-F7D316B5545C}"/>
    <cellStyle name="Normal 7 4 2 2 3 3 2" xfId="3232" xr:uid="{9805C51B-0C14-42F3-B176-4552C9C7272D}"/>
    <cellStyle name="Normal 7 4 2 2 3 3 2 2" xfId="5932" xr:uid="{48A23C22-6997-4AA0-BBD9-E216E5407D39}"/>
    <cellStyle name="Normal 7 4 2 2 3 3 3" xfId="4745" xr:uid="{AF4ECB24-E81B-4986-A3F1-B537F35842D4}"/>
    <cellStyle name="Normal 7 4 2 2 3 4" xfId="1990" xr:uid="{3E670C87-A851-4B6C-8DAD-6E20CAD74A8F}"/>
    <cellStyle name="Normal 7 4 2 2 3 4 2" xfId="4931" xr:uid="{7900027C-5B66-49DE-A16B-1EB590071DC0}"/>
    <cellStyle name="Normal 7 4 2 2 3 5" xfId="664" xr:uid="{BBEBBB9E-9A5B-4B7A-BA0A-E9E27CAA884C}"/>
    <cellStyle name="Normal 7 4 2 2 3 5 2" xfId="5158" xr:uid="{397C39F0-C759-4FB4-BDC7-7B03E39F9B1B}"/>
    <cellStyle name="Normal 7 4 2 2 3 6" xfId="2357" xr:uid="{33CAFD35-24D1-4889-BAC8-01A7414BFC94}"/>
    <cellStyle name="Normal 7 4 2 2 3 6 2" xfId="7473" xr:uid="{195CFB74-6B56-4043-9B3D-4F73D56085D3}"/>
    <cellStyle name="Normal 7 4 2 2 3 7" xfId="4028" xr:uid="{091C6946-9E6B-4697-A325-1048FC922529}"/>
    <cellStyle name="Normal 7 4 2 2 4" xfId="475" xr:uid="{3C9E3BFB-7AAF-40C4-963B-E3D8013CD5CA}"/>
    <cellStyle name="Normal 7 4 2 2 4 2" xfId="1206" xr:uid="{03D34919-E4DC-482B-8CFB-538EAFB3EE20}"/>
    <cellStyle name="Normal 7 4 2 2 4 2 2" xfId="3682" xr:uid="{96E168F2-CE64-4E6D-8939-66676D69A357}"/>
    <cellStyle name="Normal 7 4 2 2 4 2 2 2" xfId="5561" xr:uid="{6113ECD1-8138-4252-9F7E-0B1F4295FA0F}"/>
    <cellStyle name="Normal 7 4 2 2 4 2 3" xfId="2760" xr:uid="{FD83A5E4-9077-42FB-A464-AAE74E3C536E}"/>
    <cellStyle name="Normal 7 4 2 2 4 2 4" xfId="4431" xr:uid="{0E0A7D7A-CA1B-44E1-BD25-85AF75FB0DC8}"/>
    <cellStyle name="Normal 7 4 2 2 4 3" xfId="2090" xr:uid="{5ACC0C51-AB3F-4972-8A72-D6AA0D4DE25E}"/>
    <cellStyle name="Normal 7 4 2 2 4 3 2" xfId="3287" xr:uid="{37B97DB0-14C8-45A0-A14A-D51604A8C398}"/>
    <cellStyle name="Normal 7 4 2 2 4 3 3" xfId="4993" xr:uid="{213F7E35-980E-4CA9-9CBC-91144E9E72B8}"/>
    <cellStyle name="Normal 7 4 2 2 4 4" xfId="728" xr:uid="{4C64A0B3-CD64-4B8F-83D6-8C6478177EFC}"/>
    <cellStyle name="Normal 7 4 2 2 4 4 2" xfId="5213" xr:uid="{1E33362F-7D5A-477E-BBF3-22E0C6A9FC49}"/>
    <cellStyle name="Normal 7 4 2 2 4 5" xfId="2412" xr:uid="{ECACF27C-6623-4C52-8782-9C74F33A549A}"/>
    <cellStyle name="Normal 7 4 2 2 4 5 2" xfId="7474" xr:uid="{BBCA5029-1A4E-493C-B20B-8868B98281A1}"/>
    <cellStyle name="Normal 7 4 2 2 4 6" xfId="4083" xr:uid="{85427725-FEDE-4BE2-9874-E0F4E9DD2C62}"/>
    <cellStyle name="Normal 7 4 2 2 5" xfId="792" xr:uid="{2410285A-F5D0-4CBD-A7AB-EF2703B1FFDF}"/>
    <cellStyle name="Normal 7 4 2 2 5 2" xfId="1271" xr:uid="{6A1DC147-4897-4AEC-8EDC-74773240CF3B}"/>
    <cellStyle name="Normal 7 4 2 2 5 2 2" xfId="3745" xr:uid="{000E66C2-8324-499E-A109-FCE403846336}"/>
    <cellStyle name="Normal 7 4 2 2 5 2 2 2" xfId="5616" xr:uid="{F117280B-F432-458A-B4E0-09C67D3C587D}"/>
    <cellStyle name="Normal 7 4 2 2 5 2 3" xfId="2815" xr:uid="{8AE826B2-4199-47CF-AAB2-3E1BF5977500}"/>
    <cellStyle name="Normal 7 4 2 2 5 2 4" xfId="4486" xr:uid="{B5B97FD4-DDD1-4738-8DBB-B92D0EB24FD8}"/>
    <cellStyle name="Normal 7 4 2 2 5 3" xfId="3342" xr:uid="{A8705742-672C-4C72-BD75-33B0284571BE}"/>
    <cellStyle name="Normal 7 4 2 2 5 3 2" xfId="5268" xr:uid="{0DFA44A9-E7F7-47CB-9939-DC3097AC7D0C}"/>
    <cellStyle name="Normal 7 4 2 2 5 4" xfId="2467" xr:uid="{3C7F2B69-7AA6-40A0-8E6B-76DE408289C1}"/>
    <cellStyle name="Normal 7 4 2 2 5 4 2" xfId="7475" xr:uid="{8899859C-B3BF-46E8-ABEE-CFF79D177B15}"/>
    <cellStyle name="Normal 7 4 2 2 5 5" xfId="4138" xr:uid="{933D22A4-7996-488C-9FD0-F9FED18D9AF6}"/>
    <cellStyle name="Normal 7 4 2 2 6" xfId="856" xr:uid="{2EAA05DD-5E5F-4DE4-96C3-A0D5DE68025B}"/>
    <cellStyle name="Normal 7 4 2 2 6 2" xfId="1335" xr:uid="{C786E153-10DA-402E-ABFC-B396B8E592FD}"/>
    <cellStyle name="Normal 7 4 2 2 6 2 2" xfId="3809" xr:uid="{0E5E6E8D-6AFB-4556-ABD9-7213E7E50478}"/>
    <cellStyle name="Normal 7 4 2 2 6 2 2 2" xfId="5671" xr:uid="{530D8508-F577-4719-B1C6-D3F2DDB696A7}"/>
    <cellStyle name="Normal 7 4 2 2 6 2 3" xfId="2870" xr:uid="{E657F9E0-83C3-4D09-A7A0-04EFA46D511B}"/>
    <cellStyle name="Normal 7 4 2 2 6 2 4" xfId="4541" xr:uid="{0B5F0BFE-6FC5-4D23-ABFD-D8BDD3E02387}"/>
    <cellStyle name="Normal 7 4 2 2 6 3" xfId="3397" xr:uid="{AAE24EF2-F533-4CA6-807C-2F883B3DA1CD}"/>
    <cellStyle name="Normal 7 4 2 2 6 3 2" xfId="5323" xr:uid="{D0830937-45B2-494A-8A7B-875E022F2DC9}"/>
    <cellStyle name="Normal 7 4 2 2 6 4" xfId="2522" xr:uid="{D5E6F5EF-F8B1-4DE7-9D45-80423D5FAF28}"/>
    <cellStyle name="Normal 7 4 2 2 6 4 2" xfId="7476" xr:uid="{638B624D-CC79-47CC-9888-FF12558A1208}"/>
    <cellStyle name="Normal 7 4 2 2 6 5" xfId="4193" xr:uid="{075BA554-D020-4F1F-9BBC-0651AB03D0C2}"/>
    <cellStyle name="Normal 7 4 2 2 7" xfId="1021" xr:uid="{BA1C6C52-07EC-4969-B76B-C78A5FC07163}"/>
    <cellStyle name="Normal 7 4 2 2 7 2" xfId="3518" xr:uid="{19AC3622-127F-4930-86EB-9E5DF1871041}"/>
    <cellStyle name="Normal 7 4 2 2 7 2 2" xfId="5403" xr:uid="{34D1C267-9284-470A-881B-5D4C19C830C3}"/>
    <cellStyle name="Normal 7 4 2 2 7 3" xfId="2602" xr:uid="{CFF737E5-6308-41B9-B655-18CDEA1F5A38}"/>
    <cellStyle name="Normal 7 4 2 2 7 4" xfId="4273" xr:uid="{6479B344-3284-41FA-BE57-4EF38FC61447}"/>
    <cellStyle name="Normal 7 4 2 2 8" xfId="1488" xr:uid="{CE0C75DA-C234-4BD3-A764-7CF1F60EF42D}"/>
    <cellStyle name="Normal 7 4 2 2 8 2" xfId="3068" xr:uid="{4875509C-4E72-4931-9581-8DE84D722996}"/>
    <cellStyle name="Normal 7 4 2 2 8 2 2" xfId="5762" xr:uid="{A25E19AC-EF9C-499A-BAA1-3B33D7A826DA}"/>
    <cellStyle name="Normal 7 4 2 2 8 3" xfId="4623" xr:uid="{0138B7C9-2A4B-4ABE-8D88-C8066C0BEC84}"/>
    <cellStyle name="Normal 7 4 2 2 9" xfId="1791" xr:uid="{3A933B56-4FDD-49EB-9CB2-1593D8FB77B3}"/>
    <cellStyle name="Normal 7 4 2 2 9 2" xfId="4809" xr:uid="{B3842AAB-BBA2-4E05-8203-DA499402D8AA}"/>
    <cellStyle name="Normal 7 4 2 3" xfId="274" xr:uid="{B5C24A77-9F2D-4986-A2E5-52AF452EAFB0}"/>
    <cellStyle name="Normal 7 4 2 3 2" xfId="1077" xr:uid="{49697B60-6AED-494B-905D-526A85202690}"/>
    <cellStyle name="Normal 7 4 2 3 2 2" xfId="3565" xr:uid="{EA2FCC3E-2274-47FF-B3DD-D0955B35D9DE}"/>
    <cellStyle name="Normal 7 4 2 3 2 2 2" xfId="5450" xr:uid="{8A266CCE-8477-44C7-85E5-FDBBB8A3B84D}"/>
    <cellStyle name="Normal 7 4 2 3 2 3" xfId="2649" xr:uid="{FF4E3C6C-D72D-4896-9A0F-566C2B9A6918}"/>
    <cellStyle name="Normal 7 4 2 3 2 4" xfId="4320" xr:uid="{2C7A2608-5F71-43B8-AC86-E67243CBC9F8}"/>
    <cellStyle name="Normal 7 4 2 3 3" xfId="1588" xr:uid="{2D861E9E-7B3B-40EC-A013-290E9255F461}"/>
    <cellStyle name="Normal 7 4 2 3 3 2" xfId="3177" xr:uid="{AC909071-0684-40CD-87D0-42DD8A1ABEAF}"/>
    <cellStyle name="Normal 7 4 2 3 3 2 2" xfId="5854" xr:uid="{3B763635-ADB8-41D7-9751-91BE8C753119}"/>
    <cellStyle name="Normal 7 4 2 3 3 3" xfId="4683" xr:uid="{C54B07D6-21E3-4D7D-B454-CA3F73A9E3F8}"/>
    <cellStyle name="Normal 7 4 2 3 4" xfId="1890" xr:uid="{38B20A90-DCC9-47BF-8D36-576638DE5124}"/>
    <cellStyle name="Normal 7 4 2 3 4 2" xfId="4869" xr:uid="{28AF03F7-A010-4DC7-988B-20F5AE752F67}"/>
    <cellStyle name="Normal 7 4 2 3 5" xfId="599" xr:uid="{4CF7857E-31BB-4287-8072-723752F871EF}"/>
    <cellStyle name="Normal 7 4 2 3 5 2" xfId="5102" xr:uid="{37B1FF42-9482-47E4-BA0D-252C84CC992A}"/>
    <cellStyle name="Normal 7 4 2 3 6" xfId="2301" xr:uid="{F4A3DEB9-613E-4515-A5C8-FC5591FF24C0}"/>
    <cellStyle name="Normal 7 4 2 3 6 2" xfId="7477" xr:uid="{B2304756-6CF4-4D9D-B461-9EE10409695F}"/>
    <cellStyle name="Normal 7 4 2 3 7" xfId="3972" xr:uid="{F9BF9B05-2EDA-48C2-8B2A-445C478B1242}"/>
    <cellStyle name="Normal 7 4 2 4" xfId="374" xr:uid="{8ACE54FF-DB30-4AA0-AB67-3816F94BEA02}"/>
    <cellStyle name="Normal 7 4 2 4 2" xfId="1141" xr:uid="{AA6D1D58-1F1A-4452-94D1-F2B2281001B4}"/>
    <cellStyle name="Normal 7 4 2 4 2 2" xfId="3620" xr:uid="{C3BC48B0-7050-497A-B8D7-53EB46BCD2E5}"/>
    <cellStyle name="Normal 7 4 2 4 2 2 2" xfId="5505" xr:uid="{6FECBFAC-20D7-481D-83FF-A96BC1E972AD}"/>
    <cellStyle name="Normal 7 4 2 4 2 3" xfId="2704" xr:uid="{6B24E77D-8502-4B75-A8AF-7D7E5C430C9C}"/>
    <cellStyle name="Normal 7 4 2 4 2 4" xfId="4375" xr:uid="{24FD2ED4-DED2-458A-8FC7-49C6A4B9E2A8}"/>
    <cellStyle name="Normal 7 4 2 4 3" xfId="1687" xr:uid="{30733836-4B85-461D-BB17-161A5E289ACF}"/>
    <cellStyle name="Normal 7 4 2 4 3 2" xfId="3231" xr:uid="{ADA690CE-7ABC-4442-A09E-333695BD9A06}"/>
    <cellStyle name="Normal 7 4 2 4 3 2 2" xfId="5931" xr:uid="{D3DF68C9-8D1A-4233-8E3D-CBBCC29D2A81}"/>
    <cellStyle name="Normal 7 4 2 4 3 3" xfId="4744" xr:uid="{A7B2B72B-4DBD-43F9-8E18-BCEF576ABE87}"/>
    <cellStyle name="Normal 7 4 2 4 4" xfId="1989" xr:uid="{7CF6E2B8-AE21-41D7-847B-41B283C69C99}"/>
    <cellStyle name="Normal 7 4 2 4 4 2" xfId="4930" xr:uid="{2CFCBBAF-EECF-4BA5-A3F3-13D5322F56C6}"/>
    <cellStyle name="Normal 7 4 2 4 5" xfId="663" xr:uid="{F7674E6E-0091-4A8D-8A03-97A4BDA54E4D}"/>
    <cellStyle name="Normal 7 4 2 4 5 2" xfId="5157" xr:uid="{3403E9FC-C3E4-4C79-8E0F-250C5AAE064E}"/>
    <cellStyle name="Normal 7 4 2 4 6" xfId="2356" xr:uid="{47EFE299-A30B-47ED-BD32-47FBFD6CECC9}"/>
    <cellStyle name="Normal 7 4 2 4 6 2" xfId="7478" xr:uid="{18B9881C-2F01-4BBA-A793-8A8068243342}"/>
    <cellStyle name="Normal 7 4 2 4 7" xfId="4027" xr:uid="{719E4545-7C6A-4361-8A06-E5E07D18C281}"/>
    <cellStyle name="Normal 7 4 2 5" xfId="474" xr:uid="{8929FFFB-4813-4047-8403-3A650C9BF3F9}"/>
    <cellStyle name="Normal 7 4 2 5 2" xfId="1205" xr:uid="{29EABC08-3BF7-4CA5-A5C0-14510A752390}"/>
    <cellStyle name="Normal 7 4 2 5 2 2" xfId="3681" xr:uid="{D527406C-120A-41E0-9C5D-E78E5FA5C2A6}"/>
    <cellStyle name="Normal 7 4 2 5 2 2 2" xfId="5560" xr:uid="{17D21A5A-75AD-494F-A28E-28878695DF83}"/>
    <cellStyle name="Normal 7 4 2 5 2 3" xfId="2759" xr:uid="{E03A549E-5A14-4AE7-BC2D-DB18907A55F3}"/>
    <cellStyle name="Normal 7 4 2 5 2 4" xfId="4430" xr:uid="{5A436763-3EC4-4EAE-831A-3383E733622A}"/>
    <cellStyle name="Normal 7 4 2 5 3" xfId="2089" xr:uid="{18F9AD51-5B42-4E47-B4DC-914CD009431C}"/>
    <cellStyle name="Normal 7 4 2 5 3 2" xfId="3286" xr:uid="{3F3C4D23-7E3B-4F0F-993A-A81E8E01CE55}"/>
    <cellStyle name="Normal 7 4 2 5 3 3" xfId="4992" xr:uid="{D18F2854-06ED-41D2-9A73-0B34EE1D4634}"/>
    <cellStyle name="Normal 7 4 2 5 4" xfId="727" xr:uid="{E3048844-8901-4781-961D-2180F7CCD060}"/>
    <cellStyle name="Normal 7 4 2 5 4 2" xfId="5212" xr:uid="{07B5A345-14FF-467F-A77B-CB2782C83535}"/>
    <cellStyle name="Normal 7 4 2 5 5" xfId="2411" xr:uid="{FBB45104-DB61-4DC6-97F4-870ECA4CA7F1}"/>
    <cellStyle name="Normal 7 4 2 5 5 2" xfId="7479" xr:uid="{DA3924A8-C9FD-4367-8426-50A28CA22A16}"/>
    <cellStyle name="Normal 7 4 2 5 6" xfId="4082" xr:uid="{E8031932-6590-409C-B072-81413184FEF0}"/>
    <cellStyle name="Normal 7 4 2 6" xfId="791" xr:uid="{C940AF69-2378-4CF3-9C87-BBB0F909EC0A}"/>
    <cellStyle name="Normal 7 4 2 6 2" xfId="1270" xr:uid="{C2ABAE23-1558-43FB-97C4-B5468A11B68A}"/>
    <cellStyle name="Normal 7 4 2 6 2 2" xfId="3744" xr:uid="{13F6BB69-2466-4DD2-A5A2-D70070A5F040}"/>
    <cellStyle name="Normal 7 4 2 6 2 2 2" xfId="5615" xr:uid="{1BE4088A-5E35-4D4F-B002-D995EDDCA558}"/>
    <cellStyle name="Normal 7 4 2 6 2 3" xfId="2814" xr:uid="{13A9457F-D522-4F6C-9EC1-64A35251CE49}"/>
    <cellStyle name="Normal 7 4 2 6 2 4" xfId="4485" xr:uid="{FBD119A4-F848-4CD4-BED8-C847D7120884}"/>
    <cellStyle name="Normal 7 4 2 6 3" xfId="3341" xr:uid="{F8911C56-E939-45FA-8FFC-ABBFB0D77E9C}"/>
    <cellStyle name="Normal 7 4 2 6 3 2" xfId="5267" xr:uid="{E9540E45-C231-4F1E-890F-D1256449F12A}"/>
    <cellStyle name="Normal 7 4 2 6 4" xfId="2466" xr:uid="{0133AA81-136A-496F-A10B-9076E6FB6923}"/>
    <cellStyle name="Normal 7 4 2 6 4 2" xfId="7480" xr:uid="{B4419F88-62B6-4499-AB0D-BC7A3FB42C4C}"/>
    <cellStyle name="Normal 7 4 2 6 5" xfId="4137" xr:uid="{1ED75E89-FFD7-488E-BACE-75CCB590C927}"/>
    <cellStyle name="Normal 7 4 2 7" xfId="855" xr:uid="{A173C0CD-577F-4CC3-9E1B-7C0091EB9A46}"/>
    <cellStyle name="Normal 7 4 2 7 2" xfId="1334" xr:uid="{46B6D66D-5F50-4421-B3A7-0AC6619CE4C2}"/>
    <cellStyle name="Normal 7 4 2 7 2 2" xfId="3808" xr:uid="{90D39684-41C7-4CA9-A7A0-CEB0A5AB4CEC}"/>
    <cellStyle name="Normal 7 4 2 7 2 2 2" xfId="5670" xr:uid="{9F75269A-F0A0-4205-8E1B-051BFB347AB5}"/>
    <cellStyle name="Normal 7 4 2 7 2 3" xfId="2869" xr:uid="{95F8B597-860B-4FAE-AAB9-49E983619D34}"/>
    <cellStyle name="Normal 7 4 2 7 2 4" xfId="4540" xr:uid="{91BF8184-A13C-46FC-AEEA-2B99A111499C}"/>
    <cellStyle name="Normal 7 4 2 7 3" xfId="3396" xr:uid="{635BF6F9-E035-4890-B789-028DA2784013}"/>
    <cellStyle name="Normal 7 4 2 7 3 2" xfId="5322" xr:uid="{5DA8BC15-F6FC-47C4-9DF5-49F2E4511B3F}"/>
    <cellStyle name="Normal 7 4 2 7 4" xfId="2521" xr:uid="{4EA26F72-A2C6-4E65-8E27-C6F76A5171A2}"/>
    <cellStyle name="Normal 7 4 2 7 4 2" xfId="7481" xr:uid="{CE8FFB9A-640E-4495-9D05-7ADB5154114B}"/>
    <cellStyle name="Normal 7 4 2 7 5" xfId="4192" xr:uid="{A19364B3-0B29-474C-ACC0-B47E1E66928C}"/>
    <cellStyle name="Normal 7 4 2 8" xfId="991" xr:uid="{C1D5E314-7074-4BC3-9F0F-9AA361890A28}"/>
    <cellStyle name="Normal 7 4 2 8 2" xfId="3488" xr:uid="{C324C5BE-E62C-4250-9B09-2B00858ADC3D}"/>
    <cellStyle name="Normal 7 4 2 8 2 2" xfId="5377" xr:uid="{16DED015-7E5E-4081-9D49-9E7B05591EED}"/>
    <cellStyle name="Normal 7 4 2 8 3" xfId="2576" xr:uid="{1887CEC1-EFED-45C8-ADD6-F7B06FE8CD62}"/>
    <cellStyle name="Normal 7 4 2 8 4" xfId="4247" xr:uid="{127A676C-67D0-4C2E-B692-706D023AE10A}"/>
    <cellStyle name="Normal 7 4 2 9" xfId="1487" xr:uid="{AA9E51BB-CC9B-424C-80A0-F260CABC575A}"/>
    <cellStyle name="Normal 7 4 2 9 2" xfId="3067" xr:uid="{F854CC34-7E8B-41C6-B96F-233179B64928}"/>
    <cellStyle name="Normal 7 4 2 9 2 2" xfId="5761" xr:uid="{7B6D9B50-6645-4445-BBF5-962A4071128F}"/>
    <cellStyle name="Normal 7 4 2 9 3" xfId="4622" xr:uid="{EB45786E-9D5C-4ACF-B590-AAFDAC668E0A}"/>
    <cellStyle name="Normal 7 4 3" xfId="165" xr:uid="{057108E4-076A-4CC8-9409-D2D64C333AB4}"/>
    <cellStyle name="Normal 7 4 3 10" xfId="542" xr:uid="{7788E784-01D1-4407-AD61-EDABB3BC9112}"/>
    <cellStyle name="Normal 7 4 3 10 2" xfId="5054" xr:uid="{BC548BD8-727B-4D87-9EAD-EDA5417A5FB3}"/>
    <cellStyle name="Normal 7 4 3 11" xfId="2193" xr:uid="{F1CB0CB3-79D7-4D29-AE3C-E6BF3192A3C4}"/>
    <cellStyle name="Normal 7 4 3 11 2" xfId="7482" xr:uid="{A32CA7DA-E84E-4FBA-828D-FB4E69AF2875}"/>
    <cellStyle name="Normal 7 4 3 12" xfId="2253" xr:uid="{D33E5092-C0C6-4636-8269-AD56436595C5}"/>
    <cellStyle name="Normal 7 4 3 13" xfId="3924" xr:uid="{EF804AB0-CF22-47BC-B8D2-AD3D555DE255}"/>
    <cellStyle name="Normal 7 4 3 2" xfId="276" xr:uid="{0BAE6E67-B7B5-40ED-A57F-515D27320511}"/>
    <cellStyle name="Normal 7 4 3 2 2" xfId="1079" xr:uid="{CAAF478D-C696-48FB-BE8F-C6E8A0D91AEB}"/>
    <cellStyle name="Normal 7 4 3 2 2 2" xfId="3567" xr:uid="{0355715F-AA4B-409E-B5BE-A2DE7D8D689F}"/>
    <cellStyle name="Normal 7 4 3 2 2 2 2" xfId="5452" xr:uid="{5A9312BE-FC1D-4401-90DA-7A2AF9F2F017}"/>
    <cellStyle name="Normal 7 4 3 2 2 3" xfId="2651" xr:uid="{765213F3-54C3-43A8-AC96-EB50BDA72DFC}"/>
    <cellStyle name="Normal 7 4 3 2 2 4" xfId="4322" xr:uid="{03665DA6-9A05-413C-B1EB-BD4952CC7707}"/>
    <cellStyle name="Normal 7 4 3 2 3" xfId="1590" xr:uid="{02E6B5C1-1F6C-4B38-8D4A-C0FBC31A94BA}"/>
    <cellStyle name="Normal 7 4 3 2 3 2" xfId="3179" xr:uid="{A502B39E-8B2C-4AAC-9F66-7A4A7EA7B21C}"/>
    <cellStyle name="Normal 7 4 3 2 3 2 2" xfId="5856" xr:uid="{E48CCF0A-B18B-4C1C-A786-24796C621038}"/>
    <cellStyle name="Normal 7 4 3 2 3 3" xfId="4685" xr:uid="{B778934B-00C3-4FE7-8E42-982CC34EF328}"/>
    <cellStyle name="Normal 7 4 3 2 4" xfId="1892" xr:uid="{126634AA-D978-4D62-9706-C4E9CA5BEF1E}"/>
    <cellStyle name="Normal 7 4 3 2 4 2" xfId="4871" xr:uid="{2116CAD8-90BA-4A9B-B25C-C87FC6338A22}"/>
    <cellStyle name="Normal 7 4 3 2 5" xfId="601" xr:uid="{45F5485D-79FC-486F-8E08-D9FDAEACFC23}"/>
    <cellStyle name="Normal 7 4 3 2 5 2" xfId="5104" xr:uid="{C623907B-A694-4524-884E-85704C7EAEDB}"/>
    <cellStyle name="Normal 7 4 3 2 6" xfId="2303" xr:uid="{EE21795A-8EAB-4677-B08A-08CF3B7991C5}"/>
    <cellStyle name="Normal 7 4 3 2 6 2" xfId="7483" xr:uid="{474C0F9D-398B-4434-BFF6-98FC30C8F31A}"/>
    <cellStyle name="Normal 7 4 3 2 7" xfId="3974" xr:uid="{FDA8D039-3865-469A-8462-DD5766E63C55}"/>
    <cellStyle name="Normal 7 4 3 3" xfId="376" xr:uid="{ACA3C979-F4E8-4062-B1AB-2091307B8882}"/>
    <cellStyle name="Normal 7 4 3 3 2" xfId="1143" xr:uid="{4AA695F8-46FC-4045-850B-B44F654AD89F}"/>
    <cellStyle name="Normal 7 4 3 3 2 2" xfId="3622" xr:uid="{2ECA661D-8997-4081-9E18-4B9F1B70B7AD}"/>
    <cellStyle name="Normal 7 4 3 3 2 2 2" xfId="5507" xr:uid="{E269A6D5-557E-45AD-9632-3E12F1A35658}"/>
    <cellStyle name="Normal 7 4 3 3 2 3" xfId="2706" xr:uid="{1A36F442-EE4B-4718-A80A-18CE1EF1079C}"/>
    <cellStyle name="Normal 7 4 3 3 2 4" xfId="4377" xr:uid="{0D677F1B-DE49-459E-BE12-E67600470994}"/>
    <cellStyle name="Normal 7 4 3 3 3" xfId="1689" xr:uid="{E819F31F-0D25-4815-9DE6-1E5949281322}"/>
    <cellStyle name="Normal 7 4 3 3 3 2" xfId="3233" xr:uid="{44FA57ED-5BE5-42A0-9023-735C585EBBCA}"/>
    <cellStyle name="Normal 7 4 3 3 3 2 2" xfId="5933" xr:uid="{909B35AC-5049-49B1-90CB-9C6188E4BBF5}"/>
    <cellStyle name="Normal 7 4 3 3 3 3" xfId="4746" xr:uid="{0161FD2E-6CA3-4D5C-B6B6-3334A0E022B7}"/>
    <cellStyle name="Normal 7 4 3 3 4" xfId="1991" xr:uid="{324C349D-8432-43D5-9704-2F8876B5ED7E}"/>
    <cellStyle name="Normal 7 4 3 3 4 2" xfId="4932" xr:uid="{682F4F31-8434-4777-8F0D-A710FAE63D1D}"/>
    <cellStyle name="Normal 7 4 3 3 5" xfId="665" xr:uid="{395E6D89-5407-4307-B594-E05D200FCA1E}"/>
    <cellStyle name="Normal 7 4 3 3 5 2" xfId="5159" xr:uid="{E5ED9D87-7E36-4120-AC66-2EAC72CC55F6}"/>
    <cellStyle name="Normal 7 4 3 3 6" xfId="2358" xr:uid="{A21C7DA1-9B98-4D00-B37A-CBB028F9DB66}"/>
    <cellStyle name="Normal 7 4 3 3 6 2" xfId="7484" xr:uid="{E2491F3F-D93F-489F-8B85-1DC67239B58D}"/>
    <cellStyle name="Normal 7 4 3 3 7" xfId="4029" xr:uid="{C548E786-8ED4-4D99-9531-1011D2329A0F}"/>
    <cellStyle name="Normal 7 4 3 4" xfId="476" xr:uid="{2901F8B4-8D6F-4A4A-BAEB-7F944F29C56A}"/>
    <cellStyle name="Normal 7 4 3 4 2" xfId="1207" xr:uid="{C4677EB1-65CB-482C-83BF-256AB33C14AF}"/>
    <cellStyle name="Normal 7 4 3 4 2 2" xfId="3683" xr:uid="{4DE6D930-AD84-4EEA-88A2-9F4B88547153}"/>
    <cellStyle name="Normal 7 4 3 4 2 2 2" xfId="5562" xr:uid="{71F54E1E-AF56-4116-8516-A80601C1D91F}"/>
    <cellStyle name="Normal 7 4 3 4 2 3" xfId="2761" xr:uid="{B592ED20-B47C-41F5-AC7E-BC0C4B57AAD9}"/>
    <cellStyle name="Normal 7 4 3 4 2 4" xfId="4432" xr:uid="{76A23990-7735-4A89-93F0-B850858648DF}"/>
    <cellStyle name="Normal 7 4 3 4 3" xfId="2091" xr:uid="{2099E45A-C08A-4274-8247-5A67C7149A86}"/>
    <cellStyle name="Normal 7 4 3 4 3 2" xfId="3288" xr:uid="{F9464605-2B03-4059-A4CF-3ABEA8F5C496}"/>
    <cellStyle name="Normal 7 4 3 4 3 3" xfId="4994" xr:uid="{0A596C43-86B6-479A-A2C1-18A8FED1E7C0}"/>
    <cellStyle name="Normal 7 4 3 4 4" xfId="729" xr:uid="{BEA03B8E-72CC-4135-8D5B-4CFD50C8A9C0}"/>
    <cellStyle name="Normal 7 4 3 4 4 2" xfId="5214" xr:uid="{464481D0-06BA-4683-987F-92F86A28D276}"/>
    <cellStyle name="Normal 7 4 3 4 5" xfId="2413" xr:uid="{9E512B18-EE5E-4643-B0EE-EA6804264312}"/>
    <cellStyle name="Normal 7 4 3 4 5 2" xfId="7485" xr:uid="{27033F95-0B31-43B9-98FD-C1BDE787E71F}"/>
    <cellStyle name="Normal 7 4 3 4 6" xfId="4084" xr:uid="{079FA361-FB84-44AE-819F-71326AFA4E91}"/>
    <cellStyle name="Normal 7 4 3 5" xfId="793" xr:uid="{CF0B0D65-E8F4-461C-B23C-69A6565B6898}"/>
    <cellStyle name="Normal 7 4 3 5 2" xfId="1272" xr:uid="{CDC0BD21-F0B7-40FA-8A18-31DC18F5984D}"/>
    <cellStyle name="Normal 7 4 3 5 2 2" xfId="3746" xr:uid="{E43140C2-17F4-4F75-A84A-2B206CEC93F1}"/>
    <cellStyle name="Normal 7 4 3 5 2 2 2" xfId="5617" xr:uid="{A5A6EFFD-7981-4518-A2ED-EE4AB360D441}"/>
    <cellStyle name="Normal 7 4 3 5 2 3" xfId="2816" xr:uid="{85DCA537-7274-4CBC-8DDB-BD41677C64C2}"/>
    <cellStyle name="Normal 7 4 3 5 2 4" xfId="4487" xr:uid="{F1859571-DEA8-4CB7-BE29-0F819B3A6CA7}"/>
    <cellStyle name="Normal 7 4 3 5 3" xfId="3343" xr:uid="{EC58C50C-42F1-482D-A67D-425A58D982B2}"/>
    <cellStyle name="Normal 7 4 3 5 3 2" xfId="5269" xr:uid="{DF00CE67-E1C8-4DD5-8EC7-CC58A6625718}"/>
    <cellStyle name="Normal 7 4 3 5 4" xfId="2468" xr:uid="{5B6600FD-FC4A-4172-9225-BD1E07EDD610}"/>
    <cellStyle name="Normal 7 4 3 5 4 2" xfId="7486" xr:uid="{648A1C88-E9FD-4C40-A20E-06FF8DA643AF}"/>
    <cellStyle name="Normal 7 4 3 5 5" xfId="4139" xr:uid="{C72853A8-41C0-47AF-B53E-3435BA1BC4BB}"/>
    <cellStyle name="Normal 7 4 3 6" xfId="857" xr:uid="{8B40A56B-E9CF-440F-8B52-BE43F19D78B5}"/>
    <cellStyle name="Normal 7 4 3 6 2" xfId="1336" xr:uid="{A96B3B81-32DB-4153-A7A0-D0374D61C33E}"/>
    <cellStyle name="Normal 7 4 3 6 2 2" xfId="3810" xr:uid="{7A8DE5AB-7EA9-4AF6-B1B5-18A0BCFB607B}"/>
    <cellStyle name="Normal 7 4 3 6 2 2 2" xfId="5672" xr:uid="{487006BF-4720-4579-89EA-FCDCDA7A9A14}"/>
    <cellStyle name="Normal 7 4 3 6 2 3" xfId="2871" xr:uid="{17E7DAE3-4A42-407C-BCFF-8917D7E505EC}"/>
    <cellStyle name="Normal 7 4 3 6 2 4" xfId="4542" xr:uid="{5C088603-F8EE-4759-9F13-1A9C93EB4A5C}"/>
    <cellStyle name="Normal 7 4 3 6 3" xfId="3398" xr:uid="{69EFF797-6B7D-472B-B136-E79F37E667F0}"/>
    <cellStyle name="Normal 7 4 3 6 3 2" xfId="5324" xr:uid="{0BBC4534-19A7-4905-87F4-EAD0AD933C2E}"/>
    <cellStyle name="Normal 7 4 3 6 4" xfId="2523" xr:uid="{7332AFA3-8123-4A97-9107-78A67FF9F11C}"/>
    <cellStyle name="Normal 7 4 3 6 4 2" xfId="7487" xr:uid="{39C572A0-7CE5-428D-8E3B-15AED61E3BF7}"/>
    <cellStyle name="Normal 7 4 3 6 5" xfId="4194" xr:uid="{0C25CB32-4A5B-4190-88E9-4BE9FAA438C2}"/>
    <cellStyle name="Normal 7 4 3 7" xfId="1020" xr:uid="{056A3604-7533-4D65-9C41-8DAB11C74C31}"/>
    <cellStyle name="Normal 7 4 3 7 2" xfId="3517" xr:uid="{89E47F8C-A5FC-4B0D-943B-60AF1C8E3B6D}"/>
    <cellStyle name="Normal 7 4 3 7 2 2" xfId="5402" xr:uid="{19FA32D1-6054-4656-A568-EA5AA5D416F0}"/>
    <cellStyle name="Normal 7 4 3 7 3" xfId="2601" xr:uid="{5398788C-D71D-4A78-81EC-6E35BA56BC8B}"/>
    <cellStyle name="Normal 7 4 3 7 4" xfId="4272" xr:uid="{6B0977FE-87BC-4EBA-9901-5CC2A15E7ED2}"/>
    <cellStyle name="Normal 7 4 3 8" xfId="1489" xr:uid="{F6649325-A470-45C8-8405-B3CF3A06623F}"/>
    <cellStyle name="Normal 7 4 3 8 2" xfId="3069" xr:uid="{B63D8BA6-3A4C-47ED-9AA8-D300761794FB}"/>
    <cellStyle name="Normal 7 4 3 8 2 2" xfId="5763" xr:uid="{367FB908-1AD9-42E1-8F62-C5061FF681C1}"/>
    <cellStyle name="Normal 7 4 3 8 3" xfId="4624" xr:uid="{7B4ED884-DD3B-429F-AB5E-2A62419DA0F9}"/>
    <cellStyle name="Normal 7 4 3 9" xfId="1792" xr:uid="{F1A43FE1-511B-4F8A-932F-17F2FFE8AD64}"/>
    <cellStyle name="Normal 7 4 3 9 2" xfId="4810" xr:uid="{80E7D954-6126-4188-BD3A-5A17EEB95B6F}"/>
    <cellStyle name="Normal 7 4 4" xfId="273" xr:uid="{363B5E9D-0149-4EE1-BA60-130E1EEDBB20}"/>
    <cellStyle name="Normal 7 4 4 2" xfId="1076" xr:uid="{077FABF7-5D93-4CFF-86C6-FF07087F4065}"/>
    <cellStyle name="Normal 7 4 4 2 2" xfId="3564" xr:uid="{F71C7970-BB49-4C62-844B-D25C7068F68E}"/>
    <cellStyle name="Normal 7 4 4 2 2 2" xfId="5449" xr:uid="{C3E53133-2570-43F4-8A15-4C23C167BD6D}"/>
    <cellStyle name="Normal 7 4 4 2 3" xfId="2648" xr:uid="{ACE5A7EA-AACF-40D2-889A-69AE14DA5F30}"/>
    <cellStyle name="Normal 7 4 4 2 4" xfId="4319" xr:uid="{FA781105-40B5-46CF-8C1E-554B158137D0}"/>
    <cellStyle name="Normal 7 4 4 3" xfId="1587" xr:uid="{6D57EE46-0ADA-453B-BC5D-4C1AB6BC7ACD}"/>
    <cellStyle name="Normal 7 4 4 3 2" xfId="3176" xr:uid="{4958E97E-9150-4FCE-A7D4-27A498C118E3}"/>
    <cellStyle name="Normal 7 4 4 3 2 2" xfId="5853" xr:uid="{2CD5BD44-5FAD-497E-9820-7B216ABF2296}"/>
    <cellStyle name="Normal 7 4 4 3 3" xfId="4682" xr:uid="{326A3859-A5C1-4865-A92D-F8DC21E2E70E}"/>
    <cellStyle name="Normal 7 4 4 4" xfId="1889" xr:uid="{154C67E5-1E0A-4EE9-9B84-9C3D7560773C}"/>
    <cellStyle name="Normal 7 4 4 4 2" xfId="4868" xr:uid="{BC59FFA6-2142-410D-B93A-4CF43AC25A38}"/>
    <cellStyle name="Normal 7 4 4 5" xfId="598" xr:uid="{9C47B752-3BBE-443D-BB1C-2DD5DF9D0D60}"/>
    <cellStyle name="Normal 7 4 4 5 2" xfId="5101" xr:uid="{7FC97A10-1E72-4789-AAD9-7BEF4D79C512}"/>
    <cellStyle name="Normal 7 4 4 6" xfId="2300" xr:uid="{2871BAA8-B267-4796-A57E-FB4510B20199}"/>
    <cellStyle name="Normal 7 4 4 6 2" xfId="7488" xr:uid="{908A3B16-4B03-4BBB-B4C1-024F35CB9CC9}"/>
    <cellStyle name="Normal 7 4 4 7" xfId="3971" xr:uid="{D9698233-132E-4E63-A7B2-DE28DA50F4E2}"/>
    <cellStyle name="Normal 7 4 5" xfId="373" xr:uid="{277EB7B1-C417-4002-BA5F-1631DB8C2323}"/>
    <cellStyle name="Normal 7 4 5 2" xfId="1140" xr:uid="{B802BE52-4472-448C-BDC9-9549840AE2C1}"/>
    <cellStyle name="Normal 7 4 5 2 2" xfId="3619" xr:uid="{352F78A5-1B3B-42BF-87AB-FC6978CB871B}"/>
    <cellStyle name="Normal 7 4 5 2 2 2" xfId="5504" xr:uid="{6145FD27-B13D-41C3-A07C-0FF8FA378370}"/>
    <cellStyle name="Normal 7 4 5 2 3" xfId="2703" xr:uid="{289C9958-ACD1-466B-8ED3-5AD2DE888981}"/>
    <cellStyle name="Normal 7 4 5 2 4" xfId="4374" xr:uid="{52E7CD75-5B6F-4956-BBF5-6E8F9F1FEE0D}"/>
    <cellStyle name="Normal 7 4 5 3" xfId="1686" xr:uid="{19E67071-7197-4047-889B-A57AC5999EEC}"/>
    <cellStyle name="Normal 7 4 5 3 2" xfId="3230" xr:uid="{CA321338-1851-4239-9449-C1794041EB57}"/>
    <cellStyle name="Normal 7 4 5 3 2 2" xfId="5930" xr:uid="{E78DABC2-BAED-4893-B7B6-5F6F507A1E8F}"/>
    <cellStyle name="Normal 7 4 5 3 3" xfId="4743" xr:uid="{D0DE331D-9106-4280-ADA7-1AE4AFA5B36E}"/>
    <cellStyle name="Normal 7 4 5 4" xfId="1988" xr:uid="{EF8337FA-CD76-4CFE-9B48-0DF26C22AFF3}"/>
    <cellStyle name="Normal 7 4 5 4 2" xfId="4929" xr:uid="{2D0171A2-9749-4F38-B1B6-96E0AB4722F1}"/>
    <cellStyle name="Normal 7 4 5 5" xfId="662" xr:uid="{E0D9B58F-CF58-4441-96D9-0ECE1435536D}"/>
    <cellStyle name="Normal 7 4 5 5 2" xfId="5156" xr:uid="{A8EEBC1A-587E-4EF3-888B-1738BD1B7FF2}"/>
    <cellStyle name="Normal 7 4 5 6" xfId="2355" xr:uid="{EAF7D232-3755-48E9-A1E9-412A97C9BB46}"/>
    <cellStyle name="Normal 7 4 5 6 2" xfId="7489" xr:uid="{5E539324-1B64-4692-BE33-5338E5BA751B}"/>
    <cellStyle name="Normal 7 4 5 7" xfId="4026" xr:uid="{96743551-4C3F-433C-99A1-DE6B228CB01C}"/>
    <cellStyle name="Normal 7 4 6" xfId="473" xr:uid="{BDF338A7-FB99-443F-B678-EB1325F5D61A}"/>
    <cellStyle name="Normal 7 4 6 2" xfId="1204" xr:uid="{F6ADD740-0FBA-47E8-908B-3FF8B919BC98}"/>
    <cellStyle name="Normal 7 4 6 2 2" xfId="3680" xr:uid="{8B02C354-2FED-48AA-A05E-E33F5FFD3E2F}"/>
    <cellStyle name="Normal 7 4 6 2 2 2" xfId="5559" xr:uid="{A8E53965-EB4D-4EE0-8CB6-E95A5A17074D}"/>
    <cellStyle name="Normal 7 4 6 2 3" xfId="2758" xr:uid="{18C20BA9-08CB-4B6F-82B8-ECD5EF169F8F}"/>
    <cellStyle name="Normal 7 4 6 2 4" xfId="4429" xr:uid="{01A62F95-0F8E-4D49-A175-480EABB573CB}"/>
    <cellStyle name="Normal 7 4 6 3" xfId="2088" xr:uid="{7A2A8607-57A6-4E24-833C-94AF0F195EB2}"/>
    <cellStyle name="Normal 7 4 6 3 2" xfId="3285" xr:uid="{E2BD446B-CA7E-482D-B408-2493D48A2566}"/>
    <cellStyle name="Normal 7 4 6 3 3" xfId="4991" xr:uid="{75A160BD-091F-4CD0-89D4-115190B9F9A6}"/>
    <cellStyle name="Normal 7 4 6 4" xfId="726" xr:uid="{F19F3932-5E53-499F-AB87-39FCFB50B5BE}"/>
    <cellStyle name="Normal 7 4 6 4 2" xfId="5211" xr:uid="{64CE4A35-8571-4D36-9718-608C2547E54B}"/>
    <cellStyle name="Normal 7 4 6 5" xfId="2410" xr:uid="{7B65B405-3F96-4DA1-AE54-7520098DE226}"/>
    <cellStyle name="Normal 7 4 6 5 2" xfId="7490" xr:uid="{55431BDA-3ED8-4D41-A8C5-1B393E040FAF}"/>
    <cellStyle name="Normal 7 4 6 6" xfId="4081" xr:uid="{12A923E9-C064-4DF0-AA69-456C794E1908}"/>
    <cellStyle name="Normal 7 4 7" xfId="790" xr:uid="{F3835DC2-9872-42E4-967F-AC9D858E6568}"/>
    <cellStyle name="Normal 7 4 7 2" xfId="1269" xr:uid="{5D55CF01-E3A9-4988-AAAF-AEDBB39BD55C}"/>
    <cellStyle name="Normal 7 4 7 2 2" xfId="3743" xr:uid="{58FD6D07-3475-401C-B6FC-81ABF3903A53}"/>
    <cellStyle name="Normal 7 4 7 2 2 2" xfId="5614" xr:uid="{74443A02-C016-42C0-B630-5868B48E6007}"/>
    <cellStyle name="Normal 7 4 7 2 3" xfId="2813" xr:uid="{EE10445F-B58D-484E-944B-0B2B87846877}"/>
    <cellStyle name="Normal 7 4 7 2 4" xfId="4484" xr:uid="{5416C34B-AC7D-4F5C-B2A3-2FDB9C448108}"/>
    <cellStyle name="Normal 7 4 7 3" xfId="3340" xr:uid="{91E479D4-0269-4BE0-ACC0-F1C9D22687CC}"/>
    <cellStyle name="Normal 7 4 7 3 2" xfId="5266" xr:uid="{0D84E306-09E8-48C7-B815-A6A67F5E553E}"/>
    <cellStyle name="Normal 7 4 7 4" xfId="2465" xr:uid="{769BB35A-BFD3-43F1-A026-E2F9762C1D22}"/>
    <cellStyle name="Normal 7 4 7 4 2" xfId="7491" xr:uid="{7411DFCE-A429-4F85-88C6-FCBFC7C7F811}"/>
    <cellStyle name="Normal 7 4 7 5" xfId="4136" xr:uid="{0F34050C-6FD2-4C45-83D2-58CAEAD885EC}"/>
    <cellStyle name="Normal 7 4 8" xfId="854" xr:uid="{C683C280-8E4F-47C2-AA15-ACC1F39A73C9}"/>
    <cellStyle name="Normal 7 4 8 2" xfId="1333" xr:uid="{93A6744B-FC54-4FEA-A436-35304D0161D4}"/>
    <cellStyle name="Normal 7 4 8 2 2" xfId="3807" xr:uid="{A8096C60-B7D8-426A-9076-10AA1949969F}"/>
    <cellStyle name="Normal 7 4 8 2 2 2" xfId="5669" xr:uid="{99E07621-5D0D-4140-A72B-04CE49FEF3C5}"/>
    <cellStyle name="Normal 7 4 8 2 3" xfId="2868" xr:uid="{B959E915-7824-43F2-B23C-4F20997DD864}"/>
    <cellStyle name="Normal 7 4 8 2 4" xfId="4539" xr:uid="{17D246C7-9102-4090-B8DD-277B9EB8E973}"/>
    <cellStyle name="Normal 7 4 8 3" xfId="3395" xr:uid="{E5BE35DC-7425-4EB5-B0C8-F6AE72DA8784}"/>
    <cellStyle name="Normal 7 4 8 3 2" xfId="5321" xr:uid="{138AC94B-0C08-484B-9995-4BAEE4F3BD6E}"/>
    <cellStyle name="Normal 7 4 8 4" xfId="2520" xr:uid="{666892EA-DB0E-4421-8D28-BCD057D767B3}"/>
    <cellStyle name="Normal 7 4 8 4 2" xfId="7492" xr:uid="{4B125E92-F008-4986-BCEC-0EF7E7786343}"/>
    <cellStyle name="Normal 7 4 8 5" xfId="4191" xr:uid="{8F4FE250-1BE1-4A39-9D04-3C13FA5774A6}"/>
    <cellStyle name="Normal 7 4 9" xfId="976" xr:uid="{2AF09FB1-C200-4FF2-B2DD-A77C4FE48948}"/>
    <cellStyle name="Normal 7 4 9 2" xfId="3473" xr:uid="{B29E50EC-3DE2-4BE8-A2DC-A646A89B9BBE}"/>
    <cellStyle name="Normal 7 4 9 2 2" xfId="5365" xr:uid="{9165BFBD-D0FB-4D82-AF25-54CE7830D078}"/>
    <cellStyle name="Normal 7 4 9 3" xfId="2564" xr:uid="{1C0F7106-579A-4AC3-B21A-E9562118953F}"/>
    <cellStyle name="Normal 7 4 9 4" xfId="4235" xr:uid="{85F62540-EB55-41D7-9E60-6B47F23A20C9}"/>
    <cellStyle name="Normal 7 5" xfId="166" xr:uid="{A887E1C8-BF01-490A-82C6-017D54812673}"/>
    <cellStyle name="Normal 7 5 10" xfId="1793" xr:uid="{2EBEFA3B-3A66-4B8C-BA03-5F449EE80440}"/>
    <cellStyle name="Normal 7 5 10 2" xfId="3111" xr:uid="{B4007820-796B-42F4-81F8-117F7D986E03}"/>
    <cellStyle name="Normal 7 5 10 3" xfId="4811" xr:uid="{FBF06C49-46D3-4695-A45E-9EEA66DAF991}"/>
    <cellStyle name="Normal 7 5 11" xfId="504" xr:uid="{DE3B5B17-83FD-4621-B8D4-D31FC5A9775E}"/>
    <cellStyle name="Normal 7 5 11 2" xfId="5020" xr:uid="{CAEADFB1-2D4A-46FB-B4EF-F7BB1A25A6A3}"/>
    <cellStyle name="Normal 7 5 12" xfId="2194" xr:uid="{CD130D2D-2F42-4F4C-87DF-FEF258879459}"/>
    <cellStyle name="Normal 7 5 12 2" xfId="5958" xr:uid="{1BAD0DCC-2D69-4475-A0FE-D866F2F405F6}"/>
    <cellStyle name="Normal 7 5 13" xfId="2219" xr:uid="{64786361-FE82-462A-B58E-435C30F592C8}"/>
    <cellStyle name="Normal 7 5 13 2" xfId="7493" xr:uid="{6EC262F0-2BCD-4A8A-AA41-DCE0F4680731}"/>
    <cellStyle name="Normal 7 5 14" xfId="3890" xr:uid="{55E3EC13-BA98-4399-B153-FA090E4BD4CF}"/>
    <cellStyle name="Normal 7 5 2" xfId="167" xr:uid="{AEFF9F3F-70B5-4FFE-916B-02732AB003AE}"/>
    <cellStyle name="Normal 7 5 2 10" xfId="544" xr:uid="{54D87D46-4DF2-4FB2-81DD-11180F5672B0}"/>
    <cellStyle name="Normal 7 5 2 10 2" xfId="5056" xr:uid="{CE1F9D25-841A-4D9A-BCAF-B868C6BA64B7}"/>
    <cellStyle name="Normal 7 5 2 11" xfId="2195" xr:uid="{521917B2-E887-4C8F-A3DA-B1015546738D}"/>
    <cellStyle name="Normal 7 5 2 11 2" xfId="7494" xr:uid="{FAAD0820-D5A5-4E64-8AD6-E1C0647E1671}"/>
    <cellStyle name="Normal 7 5 2 12" xfId="2255" xr:uid="{DF11196B-B9DF-4DEB-87FA-5671E24042E8}"/>
    <cellStyle name="Normal 7 5 2 13" xfId="3926" xr:uid="{C3C572E7-E88B-4917-9BE0-2A84C6E81BDE}"/>
    <cellStyle name="Normal 7 5 2 2" xfId="278" xr:uid="{DD7DBC5D-084A-4BF7-8CC9-E84A3B41F8CF}"/>
    <cellStyle name="Normal 7 5 2 2 2" xfId="1081" xr:uid="{4356FFB7-3141-413A-958F-35C3411D90A2}"/>
    <cellStyle name="Normal 7 5 2 2 2 2" xfId="3569" xr:uid="{26D63653-4DED-46E0-ACCB-180B613ADF09}"/>
    <cellStyle name="Normal 7 5 2 2 2 2 2" xfId="5454" xr:uid="{B976CEF4-BBA3-4074-A405-469DC9ECE151}"/>
    <cellStyle name="Normal 7 5 2 2 2 3" xfId="2653" xr:uid="{643F9F59-67E7-4F64-BF33-1AD9AF6D470B}"/>
    <cellStyle name="Normal 7 5 2 2 2 4" xfId="4324" xr:uid="{28311F8E-1963-446C-9C0F-3F011215F38D}"/>
    <cellStyle name="Normal 7 5 2 2 3" xfId="1592" xr:uid="{74BDEC0A-677D-4E6F-B53D-DCEAE03BF6E4}"/>
    <cellStyle name="Normal 7 5 2 2 3 2" xfId="3181" xr:uid="{6CC110A0-BC0F-4DC7-9B76-89A82BE4FF57}"/>
    <cellStyle name="Normal 7 5 2 2 3 2 2" xfId="5858" xr:uid="{8C2380D4-CC61-4DA9-9C7F-6F04A0AA33F1}"/>
    <cellStyle name="Normal 7 5 2 2 3 3" xfId="4687" xr:uid="{02151122-26A7-4C1E-A0FA-D69EB0519D19}"/>
    <cellStyle name="Normal 7 5 2 2 4" xfId="1894" xr:uid="{74E3613C-8C9F-4359-8DD9-CEE5B7332802}"/>
    <cellStyle name="Normal 7 5 2 2 4 2" xfId="4873" xr:uid="{5B89DD7A-DA47-491B-9693-35A61475619D}"/>
    <cellStyle name="Normal 7 5 2 2 5" xfId="603" xr:uid="{041E392B-89E1-422D-AF78-AF04C639A51A}"/>
    <cellStyle name="Normal 7 5 2 2 5 2" xfId="5106" xr:uid="{E864AEB5-288A-4959-96F7-25FAFBED4FFB}"/>
    <cellStyle name="Normal 7 5 2 2 6" xfId="2305" xr:uid="{D4E8D991-8A5B-4268-9BA8-3641EE6BB1E8}"/>
    <cellStyle name="Normal 7 5 2 2 6 2" xfId="7495" xr:uid="{72D06063-7645-41F3-883B-A1AAECFFD22E}"/>
    <cellStyle name="Normal 7 5 2 2 7" xfId="3976" xr:uid="{322A9B04-67D9-477F-9C9B-F02E16CC0BEE}"/>
    <cellStyle name="Normal 7 5 2 3" xfId="378" xr:uid="{8FF5F1A2-A802-4D8C-8448-C27DA48136A0}"/>
    <cellStyle name="Normal 7 5 2 3 2" xfId="1145" xr:uid="{F3272FDF-80B8-4697-AD02-E6315C9E4305}"/>
    <cellStyle name="Normal 7 5 2 3 2 2" xfId="3624" xr:uid="{0F4E2C23-93D0-438E-A208-6A66F36CA25C}"/>
    <cellStyle name="Normal 7 5 2 3 2 2 2" xfId="5509" xr:uid="{C0FB2069-C1B2-43BA-87D0-C047733A6275}"/>
    <cellStyle name="Normal 7 5 2 3 2 3" xfId="2708" xr:uid="{11C81533-11B2-4E31-9CBA-B4E7AB4502F1}"/>
    <cellStyle name="Normal 7 5 2 3 2 4" xfId="4379" xr:uid="{D1840424-F490-4565-B357-055329EDF202}"/>
    <cellStyle name="Normal 7 5 2 3 3" xfId="1691" xr:uid="{A6608C0D-2E26-4CF2-B54A-356CD6C3A47D}"/>
    <cellStyle name="Normal 7 5 2 3 3 2" xfId="3235" xr:uid="{6391E296-C430-4A5E-9C55-5FFC066D0C94}"/>
    <cellStyle name="Normal 7 5 2 3 3 2 2" xfId="5935" xr:uid="{56CBA2C0-C08E-47E6-926F-9D807145AC2B}"/>
    <cellStyle name="Normal 7 5 2 3 3 3" xfId="4748" xr:uid="{0F623F6B-C37B-4844-AF78-EECCB9A2AF0C}"/>
    <cellStyle name="Normal 7 5 2 3 4" xfId="1993" xr:uid="{76B249E8-E2FF-46C1-AD58-B8FD91D3ACDD}"/>
    <cellStyle name="Normal 7 5 2 3 4 2" xfId="4934" xr:uid="{9E0A326A-A595-469D-8F01-48D77A322A4C}"/>
    <cellStyle name="Normal 7 5 2 3 5" xfId="667" xr:uid="{749DF0AC-8431-4565-B688-5C110A80C860}"/>
    <cellStyle name="Normal 7 5 2 3 5 2" xfId="5161" xr:uid="{E99DA4E5-461B-4AFC-AA4F-6F999F02A3D5}"/>
    <cellStyle name="Normal 7 5 2 3 6" xfId="2360" xr:uid="{B3FF3055-7AA9-4E00-A51B-7BDC85946887}"/>
    <cellStyle name="Normal 7 5 2 3 6 2" xfId="7496" xr:uid="{ECE0DAF3-53E5-4BFC-9948-71BBAE902373}"/>
    <cellStyle name="Normal 7 5 2 3 7" xfId="4031" xr:uid="{C6E1E5B5-DBA1-46A3-8767-D8A4E34A10F0}"/>
    <cellStyle name="Normal 7 5 2 4" xfId="478" xr:uid="{A888CAE3-E522-444A-8F23-0BDEAA0C0C3A}"/>
    <cellStyle name="Normal 7 5 2 4 2" xfId="1209" xr:uid="{62E00682-A826-43C1-A979-70E0DAF3E49D}"/>
    <cellStyle name="Normal 7 5 2 4 2 2" xfId="3685" xr:uid="{58066E49-3B4E-477A-B200-8FB52AA38E29}"/>
    <cellStyle name="Normal 7 5 2 4 2 2 2" xfId="5564" xr:uid="{374AA73D-E59E-4B02-87F6-871331C07CCB}"/>
    <cellStyle name="Normal 7 5 2 4 2 3" xfId="2763" xr:uid="{E2A2246C-4890-4D47-A338-F13A62001445}"/>
    <cellStyle name="Normal 7 5 2 4 2 4" xfId="4434" xr:uid="{937869A1-540D-4636-A0FF-790539A935C4}"/>
    <cellStyle name="Normal 7 5 2 4 3" xfId="2093" xr:uid="{82B50E8A-81A4-4711-B067-30B41CE7B566}"/>
    <cellStyle name="Normal 7 5 2 4 3 2" xfId="3290" xr:uid="{EFC4E8F5-AB4E-4E77-99C2-7E5754F9AB76}"/>
    <cellStyle name="Normal 7 5 2 4 3 3" xfId="4996" xr:uid="{BF29BDC9-71DD-47A0-8A33-1A6D6D1B1707}"/>
    <cellStyle name="Normal 7 5 2 4 4" xfId="731" xr:uid="{2DE312E7-CF8D-4419-9C2C-1CE253899DEA}"/>
    <cellStyle name="Normal 7 5 2 4 4 2" xfId="5216" xr:uid="{6D40488E-2095-4BD0-BF50-7D2A963217AE}"/>
    <cellStyle name="Normal 7 5 2 4 5" xfId="2415" xr:uid="{89659A2F-F620-4B37-AF25-B2E83C631417}"/>
    <cellStyle name="Normal 7 5 2 4 5 2" xfId="7497" xr:uid="{D49061E5-82CB-4762-ACC5-8B06A2D83FAB}"/>
    <cellStyle name="Normal 7 5 2 4 6" xfId="4086" xr:uid="{7CA04870-472C-462B-83D4-66119F18D6E8}"/>
    <cellStyle name="Normal 7 5 2 5" xfId="795" xr:uid="{B20667B3-ED71-42AF-8D13-9B9BCAB4DC19}"/>
    <cellStyle name="Normal 7 5 2 5 2" xfId="1274" xr:uid="{10126C98-E2F7-4F83-88B3-8B3EEEB10612}"/>
    <cellStyle name="Normal 7 5 2 5 2 2" xfId="3748" xr:uid="{7075B967-7AA6-45DB-B61B-4A73A8913D82}"/>
    <cellStyle name="Normal 7 5 2 5 2 2 2" xfId="5619" xr:uid="{4238D553-CBF3-46E1-9CEB-FA415ACFC10A}"/>
    <cellStyle name="Normal 7 5 2 5 2 3" xfId="2818" xr:uid="{618FB486-9596-4189-9E51-B85E64A0EC16}"/>
    <cellStyle name="Normal 7 5 2 5 2 4" xfId="4489" xr:uid="{BD9B5A30-5B36-4A2C-8DD1-A6A5540F282C}"/>
    <cellStyle name="Normal 7 5 2 5 3" xfId="3345" xr:uid="{29EAAA79-F6C3-43C5-9ED9-354DFED1FBB6}"/>
    <cellStyle name="Normal 7 5 2 5 3 2" xfId="5271" xr:uid="{511B911C-C146-4CB5-B944-E23AE2084C48}"/>
    <cellStyle name="Normal 7 5 2 5 4" xfId="2470" xr:uid="{8BEB7E2C-13AB-4C0C-8920-36738DBFFD7D}"/>
    <cellStyle name="Normal 7 5 2 5 4 2" xfId="7498" xr:uid="{F547BC62-6DDD-4AF0-8A9A-7CDCAA9AED9E}"/>
    <cellStyle name="Normal 7 5 2 5 5" xfId="4141" xr:uid="{B609E4F6-BF33-4EA1-8AD0-69278D6F5D03}"/>
    <cellStyle name="Normal 7 5 2 6" xfId="859" xr:uid="{DBB00BD2-EEA1-4655-910C-0736FD74CA02}"/>
    <cellStyle name="Normal 7 5 2 6 2" xfId="1338" xr:uid="{37B3C029-809E-4943-B14A-D78A44D5B2C1}"/>
    <cellStyle name="Normal 7 5 2 6 2 2" xfId="3812" xr:uid="{3530523A-B813-40DA-A5A7-0265C93C79B6}"/>
    <cellStyle name="Normal 7 5 2 6 2 2 2" xfId="5674" xr:uid="{A18204E3-1C37-4C8D-AD5A-985D7B3886A8}"/>
    <cellStyle name="Normal 7 5 2 6 2 3" xfId="2873" xr:uid="{AAE3E4FF-8E32-4E19-8F40-826E866698A7}"/>
    <cellStyle name="Normal 7 5 2 6 2 4" xfId="4544" xr:uid="{20A72D56-ABE8-49ED-AF31-71B273CA5D8A}"/>
    <cellStyle name="Normal 7 5 2 6 3" xfId="3400" xr:uid="{82C02D88-F8F2-4C68-8ACF-694EEE70561E}"/>
    <cellStyle name="Normal 7 5 2 6 3 2" xfId="5326" xr:uid="{7FC3A6AA-9D05-47A7-BB88-7AF9D6E1337B}"/>
    <cellStyle name="Normal 7 5 2 6 4" xfId="2525" xr:uid="{F9B238FB-C23E-4049-897A-41C41C2130D5}"/>
    <cellStyle name="Normal 7 5 2 6 4 2" xfId="7499" xr:uid="{8E5B9A0B-B2B4-4722-A85D-C2CDEBF332F1}"/>
    <cellStyle name="Normal 7 5 2 6 5" xfId="4196" xr:uid="{99C05F14-CC3A-41F4-8C22-AFA90DB6AF9E}"/>
    <cellStyle name="Normal 7 5 2 7" xfId="1022" xr:uid="{1F213507-3B12-492B-A912-1AA3A0396C6C}"/>
    <cellStyle name="Normal 7 5 2 7 2" xfId="3519" xr:uid="{8D424744-AAB1-40FC-99A4-042161825F26}"/>
    <cellStyle name="Normal 7 5 2 7 2 2" xfId="5404" xr:uid="{42BFEEA4-8BD4-464E-9C23-BF4DCB1B5D5A}"/>
    <cellStyle name="Normal 7 5 2 7 3" xfId="2603" xr:uid="{04552A5E-57F5-448A-987F-4AF9BF99E3F3}"/>
    <cellStyle name="Normal 7 5 2 7 4" xfId="4274" xr:uid="{D23FEF1D-2813-4FB2-BDF8-FA2AEAA11026}"/>
    <cellStyle name="Normal 7 5 2 8" xfId="1491" xr:uid="{0FA1D58F-65C0-4402-B1C4-2CD979872EAC}"/>
    <cellStyle name="Normal 7 5 2 8 2" xfId="3112" xr:uid="{6D0EF175-90F1-408B-A9E9-0C22A88EAC1B}"/>
    <cellStyle name="Normal 7 5 2 8 2 2" xfId="5765" xr:uid="{161C9540-B8C9-47E8-9062-5981C77BA869}"/>
    <cellStyle name="Normal 7 5 2 8 3" xfId="4626" xr:uid="{E16E4DE7-5199-479D-8EBB-27FBD342C0EB}"/>
    <cellStyle name="Normal 7 5 2 9" xfId="1794" xr:uid="{374BC274-2B2A-4AC6-B4EC-60488AF47C93}"/>
    <cellStyle name="Normal 7 5 2 9 2" xfId="4812" xr:uid="{7E9E67F9-916E-4868-A728-97A99E9A1371}"/>
    <cellStyle name="Normal 7 5 3" xfId="277" xr:uid="{C768D154-0D18-4D92-A2A4-12CCD5BCC184}"/>
    <cellStyle name="Normal 7 5 3 2" xfId="1080" xr:uid="{8ABFAF82-553B-417A-BB88-9B76CB4DA4B8}"/>
    <cellStyle name="Normal 7 5 3 2 2" xfId="3568" xr:uid="{92416691-FD3C-4DE1-963E-DE94EA4794E4}"/>
    <cellStyle name="Normal 7 5 3 2 2 2" xfId="5453" xr:uid="{B0969146-8124-4398-9C62-5DE18242247A}"/>
    <cellStyle name="Normal 7 5 3 2 3" xfId="2652" xr:uid="{02754896-1F20-4B36-89D0-B65781ED9294}"/>
    <cellStyle name="Normal 7 5 3 2 4" xfId="4323" xr:uid="{9689AF06-0061-4A1B-B51D-7C869C84D225}"/>
    <cellStyle name="Normal 7 5 3 3" xfId="1591" xr:uid="{05E50213-6838-4CD0-A88B-CB579D6D1829}"/>
    <cellStyle name="Normal 7 5 3 3 2" xfId="3180" xr:uid="{C457C4FD-639B-46A2-AD89-3744327A32B2}"/>
    <cellStyle name="Normal 7 5 3 3 2 2" xfId="5857" xr:uid="{BB2FF297-CFA4-4733-8633-60D0C0BB935A}"/>
    <cellStyle name="Normal 7 5 3 3 3" xfId="4686" xr:uid="{690E8320-F97B-45B3-BA12-6DE8141FDC87}"/>
    <cellStyle name="Normal 7 5 3 4" xfId="1893" xr:uid="{CEE18554-562D-4D75-9E78-88D2FC340F1A}"/>
    <cellStyle name="Normal 7 5 3 4 2" xfId="4872" xr:uid="{47817830-1CBD-45C5-A6B1-F1DB8ECDF58D}"/>
    <cellStyle name="Normal 7 5 3 5" xfId="602" xr:uid="{D76A01C6-1EDA-4DAC-85C1-26A593F2FF03}"/>
    <cellStyle name="Normal 7 5 3 5 2" xfId="5105" xr:uid="{EF9B69A1-C064-4F6C-851B-66875C4B20C9}"/>
    <cellStyle name="Normal 7 5 3 6" xfId="2304" xr:uid="{5D7A7933-0F0C-49A5-B3D4-6D9C4167F3F9}"/>
    <cellStyle name="Normal 7 5 3 6 2" xfId="7500" xr:uid="{63DEEF86-F172-48CF-8B8B-ED4509468F46}"/>
    <cellStyle name="Normal 7 5 3 7" xfId="3975" xr:uid="{F669EED5-3EFE-472E-B5EB-1748A4B16274}"/>
    <cellStyle name="Normal 7 5 4" xfId="377" xr:uid="{0D2C4E4C-BD7B-473F-88BD-4FF5B29A60C4}"/>
    <cellStyle name="Normal 7 5 4 2" xfId="1144" xr:uid="{AF324D16-23A5-43FF-BE19-50509E2B4128}"/>
    <cellStyle name="Normal 7 5 4 2 2" xfId="3623" xr:uid="{C37597A3-2DBE-4477-9A27-2148EFB763D0}"/>
    <cellStyle name="Normal 7 5 4 2 2 2" xfId="5508" xr:uid="{161AA4FB-C744-4039-AAF9-9F5D3A1D44F9}"/>
    <cellStyle name="Normal 7 5 4 2 3" xfId="2707" xr:uid="{CF795786-A4DE-4710-8CFD-170CD52568C1}"/>
    <cellStyle name="Normal 7 5 4 2 4" xfId="4378" xr:uid="{72D88139-B563-481D-BA7C-A18E18D26D9E}"/>
    <cellStyle name="Normal 7 5 4 3" xfId="1690" xr:uid="{5EBB85D3-4BA1-4894-A8A0-76753CA8ED48}"/>
    <cellStyle name="Normal 7 5 4 3 2" xfId="3234" xr:uid="{268D6495-C070-4D11-9AF3-53557F991B29}"/>
    <cellStyle name="Normal 7 5 4 3 2 2" xfId="5934" xr:uid="{5ECEA293-0219-4B15-AED3-77E731361B19}"/>
    <cellStyle name="Normal 7 5 4 3 3" xfId="4747" xr:uid="{3598846B-C75A-4BA3-BB43-2ECCFFB5C637}"/>
    <cellStyle name="Normal 7 5 4 4" xfId="1992" xr:uid="{A59A4F4A-289B-4839-8137-EE0043A0471D}"/>
    <cellStyle name="Normal 7 5 4 4 2" xfId="4933" xr:uid="{A4F594C7-1B9A-41F1-9A0F-6EF1044F0F6E}"/>
    <cellStyle name="Normal 7 5 4 5" xfId="666" xr:uid="{3E741318-B860-40CE-9C2F-84B54D275C5B}"/>
    <cellStyle name="Normal 7 5 4 5 2" xfId="5160" xr:uid="{7C3CA7BD-1E0E-45C5-AC4B-B64BED2D219B}"/>
    <cellStyle name="Normal 7 5 4 6" xfId="2359" xr:uid="{E7173DF9-E3D3-4E78-9F8D-86AB137BB4ED}"/>
    <cellStyle name="Normal 7 5 4 6 2" xfId="7501" xr:uid="{4CFED3E5-575C-4593-8BC2-66FA138D0021}"/>
    <cellStyle name="Normal 7 5 4 7" xfId="4030" xr:uid="{89631FED-65C4-4BE1-B615-1DE2BBD95039}"/>
    <cellStyle name="Normal 7 5 5" xfId="477" xr:uid="{F3E1A16B-8008-43C4-908B-9B821885295D}"/>
    <cellStyle name="Normal 7 5 5 2" xfId="1208" xr:uid="{45B0756F-4781-40C8-836E-9AD39AA23E7E}"/>
    <cellStyle name="Normal 7 5 5 2 2" xfId="3684" xr:uid="{F862AB4E-AFF1-4DF9-864D-0D47100239B6}"/>
    <cellStyle name="Normal 7 5 5 2 2 2" xfId="5563" xr:uid="{34F318B1-7C2C-495A-A451-94C04DD29840}"/>
    <cellStyle name="Normal 7 5 5 2 3" xfId="2762" xr:uid="{3AFA795D-5C32-4853-A80B-CEA554A014A8}"/>
    <cellStyle name="Normal 7 5 5 2 4" xfId="4433" xr:uid="{18B5728D-512E-4C76-BEA5-E7346DE0D6EE}"/>
    <cellStyle name="Normal 7 5 5 3" xfId="2092" xr:uid="{FC6CE2B6-C0AB-4571-972E-2AD39862362C}"/>
    <cellStyle name="Normal 7 5 5 3 2" xfId="3289" xr:uid="{417A8F9B-AB93-4045-9FB2-E7CDDD2D2C5B}"/>
    <cellStyle name="Normal 7 5 5 3 3" xfId="4995" xr:uid="{1EEA8C79-9804-4972-9A84-ADCD8D72263F}"/>
    <cellStyle name="Normal 7 5 5 4" xfId="730" xr:uid="{5B35ADA1-FC59-47D7-9C2C-D9893764FFF8}"/>
    <cellStyle name="Normal 7 5 5 4 2" xfId="5215" xr:uid="{D00E8E34-BB40-473B-8AEC-BF4E9F826DF7}"/>
    <cellStyle name="Normal 7 5 5 5" xfId="2414" xr:uid="{16F4D37E-0531-4ACA-B9C5-C16A889300C7}"/>
    <cellStyle name="Normal 7 5 5 5 2" xfId="7502" xr:uid="{C7D8D864-F761-4766-8309-F50F9240A345}"/>
    <cellStyle name="Normal 7 5 5 6" xfId="4085" xr:uid="{AE3894B6-7E25-41D9-AD44-A7267819300A}"/>
    <cellStyle name="Normal 7 5 6" xfId="794" xr:uid="{D2ABA7C4-CDE0-432E-AA8E-090AC39597D1}"/>
    <cellStyle name="Normal 7 5 6 2" xfId="1273" xr:uid="{38F54E81-F556-4158-8225-519956796BA9}"/>
    <cellStyle name="Normal 7 5 6 2 2" xfId="3747" xr:uid="{5F019778-4D0D-45C9-8BC0-B7E48A1B6020}"/>
    <cellStyle name="Normal 7 5 6 2 2 2" xfId="5618" xr:uid="{F76D02B9-8DC1-40C0-A4AD-C41407042D49}"/>
    <cellStyle name="Normal 7 5 6 2 3" xfId="2817" xr:uid="{3D7A710E-5E24-4352-8448-309EA9E62042}"/>
    <cellStyle name="Normal 7 5 6 2 4" xfId="4488" xr:uid="{AE11B9FA-B1FD-410C-8783-9EE017A37B0B}"/>
    <cellStyle name="Normal 7 5 6 3" xfId="3344" xr:uid="{F486A378-FFA6-4E20-841E-56A226149835}"/>
    <cellStyle name="Normal 7 5 6 3 2" xfId="5270" xr:uid="{ADBE1EAD-2600-45EB-97F8-069B4A8C898B}"/>
    <cellStyle name="Normal 7 5 6 4" xfId="2469" xr:uid="{FFE11F55-B7BE-4CC8-8B47-B23EDB25FB5A}"/>
    <cellStyle name="Normal 7 5 6 4 2" xfId="7503" xr:uid="{6C5D0BEC-5F60-44E0-978D-4B739DE4322D}"/>
    <cellStyle name="Normal 7 5 6 5" xfId="4140" xr:uid="{0E1649B6-139A-4C44-9C8E-4FB719735995}"/>
    <cellStyle name="Normal 7 5 7" xfId="858" xr:uid="{17FCB9FB-D6FE-4586-B90F-C2A46CE151AF}"/>
    <cellStyle name="Normal 7 5 7 2" xfId="1337" xr:uid="{84B55DA4-677A-4011-82CD-4522690F5611}"/>
    <cellStyle name="Normal 7 5 7 2 2" xfId="3811" xr:uid="{258426BB-7AC3-4640-ADBB-1CE94715F6F9}"/>
    <cellStyle name="Normal 7 5 7 2 2 2" xfId="5673" xr:uid="{B08B18FD-CF65-405B-A0C4-65FBCC0DB2FF}"/>
    <cellStyle name="Normal 7 5 7 2 3" xfId="2872" xr:uid="{F1001A63-BB1D-4767-8622-46E9B9ADD23F}"/>
    <cellStyle name="Normal 7 5 7 2 4" xfId="4543" xr:uid="{802B7CFD-ABBE-4777-9DEB-F928EEA7D4FB}"/>
    <cellStyle name="Normal 7 5 7 3" xfId="3399" xr:uid="{80D4F6AB-ECA7-4A7D-BE76-06DB8E4F9324}"/>
    <cellStyle name="Normal 7 5 7 3 2" xfId="5325" xr:uid="{73E159CB-F09D-43A8-83B9-36708EF39CDD}"/>
    <cellStyle name="Normal 7 5 7 4" xfId="2524" xr:uid="{0DD57C9B-A0E9-49E7-813B-438E6752E875}"/>
    <cellStyle name="Normal 7 5 7 4 2" xfId="7504" xr:uid="{6CCFD073-A8EA-4F4C-8F36-1EF4DEBF2824}"/>
    <cellStyle name="Normal 7 5 7 5" xfId="4195" xr:uid="{91B4BCE6-E5EB-4716-9216-C18BE5F063E1}"/>
    <cellStyle name="Normal 7 5 8" xfId="982" xr:uid="{4E4AFB2E-697E-4348-8AC8-D9A220A33716}"/>
    <cellStyle name="Normal 7 5 8 2" xfId="3479" xr:uid="{9CFD97EF-3533-4888-9590-205CF087BF0D}"/>
    <cellStyle name="Normal 7 5 8 2 2" xfId="5368" xr:uid="{262ED4FA-8219-4C3D-AB94-26AEF09658CA}"/>
    <cellStyle name="Normal 7 5 8 3" xfId="2567" xr:uid="{18FC53A1-F528-433A-BA04-C18E4FD3E684}"/>
    <cellStyle name="Normal 7 5 8 4" xfId="4238" xr:uid="{A96D0545-B06D-4D18-A132-C9DC2D65C8D5}"/>
    <cellStyle name="Normal 7 5 9" xfId="1490" xr:uid="{CC821382-7C4E-4C08-81AF-4DDBA75204C0}"/>
    <cellStyle name="Normal 7 5 9 2" xfId="3858" xr:uid="{601A6A33-CB52-4E7C-BFC1-36E1E150B6D1}"/>
    <cellStyle name="Normal 7 5 9 2 2" xfId="5764" xr:uid="{08B90D66-F98D-41AB-9F08-6CF452645FB5}"/>
    <cellStyle name="Normal 7 5 9 3" xfId="2912" xr:uid="{39562132-D7B8-4F64-9BAB-D2BA53745A26}"/>
    <cellStyle name="Normal 7 5 9 4" xfId="4625" xr:uid="{A84C16AA-4B8A-49E3-9880-F2D372D2260E}"/>
    <cellStyle name="Normal 7 6" xfId="168" xr:uid="{C73D8073-16A8-465E-984F-9534829C9C82}"/>
    <cellStyle name="Normal 7 6 10" xfId="535" xr:uid="{E5D7B382-1BBF-4435-8245-0E18110D6B29}"/>
    <cellStyle name="Normal 7 6 10 2" xfId="5047" xr:uid="{E8B085FE-2521-4455-9759-AEBC6A08C724}"/>
    <cellStyle name="Normal 7 6 11" xfId="2196" xr:uid="{DE44F55A-B926-4A9A-B836-CB631B9BD3D9}"/>
    <cellStyle name="Normal 7 6 11 2" xfId="5960" xr:uid="{D4FB36F3-058D-44AE-BCDD-E92EA7CE913D}"/>
    <cellStyle name="Normal 7 6 12" xfId="2246" xr:uid="{23DF36CF-8780-4949-B032-3F5156A4D683}"/>
    <cellStyle name="Normal 7 6 12 2" xfId="7505" xr:uid="{B00DD6FE-E17C-41EF-B501-83FAA91F9751}"/>
    <cellStyle name="Normal 7 6 13" xfId="3917" xr:uid="{A9AAFD80-209B-4555-A01A-24F4C1844A40}"/>
    <cellStyle name="Normal 7 6 2" xfId="279" xr:uid="{A1D53E3B-BFBC-4AE1-AF4C-699DEB8A174B}"/>
    <cellStyle name="Normal 7 6 2 2" xfId="1082" xr:uid="{F1365286-B949-48AC-9F9B-BE5887844227}"/>
    <cellStyle name="Normal 7 6 2 2 2" xfId="3570" xr:uid="{97EB3337-CB39-4A9B-8DC6-581929684609}"/>
    <cellStyle name="Normal 7 6 2 2 2 2" xfId="5455" xr:uid="{95677571-8FDD-4036-B8FD-F7339B4741D9}"/>
    <cellStyle name="Normal 7 6 2 2 3" xfId="2654" xr:uid="{DFBEF6A3-98DB-46DF-82C0-1B47CFE48F19}"/>
    <cellStyle name="Normal 7 6 2 2 4" xfId="4325" xr:uid="{5EAFA4CF-B795-4A08-A696-8E579F94FCD2}"/>
    <cellStyle name="Normal 7 6 2 3" xfId="1593" xr:uid="{C358096A-36B9-441B-AD4D-B22A9461C851}"/>
    <cellStyle name="Normal 7 6 2 3 2" xfId="3182" xr:uid="{E6B495AA-8B28-4C70-BAF7-9A8FA49B756B}"/>
    <cellStyle name="Normal 7 6 2 3 2 2" xfId="5859" xr:uid="{CBA8FAC9-E7AB-4E48-B953-803C4E399CF7}"/>
    <cellStyle name="Normal 7 6 2 3 3" xfId="4688" xr:uid="{1CDA212C-C84B-4135-87FA-D0313D3D3CA4}"/>
    <cellStyle name="Normal 7 6 2 4" xfId="1895" xr:uid="{D75A0580-B5C0-4A1F-BFFA-0CDBFC7E3B96}"/>
    <cellStyle name="Normal 7 6 2 4 2" xfId="4874" xr:uid="{60E00E3E-66D9-4BE5-ABA9-B69586D6C3BC}"/>
    <cellStyle name="Normal 7 6 2 5" xfId="604" xr:uid="{1DB68729-C62F-4F66-AEDE-7039ECF5D185}"/>
    <cellStyle name="Normal 7 6 2 5 2" xfId="5107" xr:uid="{8E76132E-4F5B-4A99-A6DF-3974B1A48DFD}"/>
    <cellStyle name="Normal 7 6 2 6" xfId="2306" xr:uid="{609D06B6-E0FC-4A6A-A6F0-9CF6E7F62B0A}"/>
    <cellStyle name="Normal 7 6 2 6 2" xfId="7506" xr:uid="{F7E0C9D1-B28C-4873-B9D6-31E626A4CBBE}"/>
    <cellStyle name="Normal 7 6 2 7" xfId="3977" xr:uid="{94446862-C6D5-4571-B88D-7A533CBA1FD9}"/>
    <cellStyle name="Normal 7 6 3" xfId="379" xr:uid="{9B9180FB-E512-4140-A862-AD784968B977}"/>
    <cellStyle name="Normal 7 6 3 2" xfId="1146" xr:uid="{15DF7D42-2180-4073-B425-A44FEE2CA0CA}"/>
    <cellStyle name="Normal 7 6 3 2 2" xfId="3625" xr:uid="{83CD3331-6F3D-408C-8470-6AA7447176F7}"/>
    <cellStyle name="Normal 7 6 3 2 2 2" xfId="5510" xr:uid="{15A02834-23CE-4600-AB46-073FC0C3E4A2}"/>
    <cellStyle name="Normal 7 6 3 2 3" xfId="2709" xr:uid="{FA748A76-E90B-4824-BCA8-528303BF4C4D}"/>
    <cellStyle name="Normal 7 6 3 2 4" xfId="4380" xr:uid="{9685CC9D-B0AA-41BE-AB14-B505DAB8D2D7}"/>
    <cellStyle name="Normal 7 6 3 3" xfId="1692" xr:uid="{5D4E433D-2161-4EBE-96B4-1C4B67C644F4}"/>
    <cellStyle name="Normal 7 6 3 3 2" xfId="3236" xr:uid="{B8EEE3DC-6BE7-4438-9F88-7488D2FDED68}"/>
    <cellStyle name="Normal 7 6 3 3 2 2" xfId="5936" xr:uid="{14C429CE-96EA-45FB-91EE-6780CFF42097}"/>
    <cellStyle name="Normal 7 6 3 3 3" xfId="4749" xr:uid="{374D0EF8-2DCE-43C3-88ED-0875F9545D46}"/>
    <cellStyle name="Normal 7 6 3 4" xfId="1994" xr:uid="{771582F8-EB0E-4756-BBF0-71E13E812366}"/>
    <cellStyle name="Normal 7 6 3 4 2" xfId="4935" xr:uid="{C92139CB-E2AB-41B5-AFC6-5377DD3E111B}"/>
    <cellStyle name="Normal 7 6 3 5" xfId="668" xr:uid="{DA3374BA-3929-497D-AFAA-EA0EF6523EA2}"/>
    <cellStyle name="Normal 7 6 3 5 2" xfId="5162" xr:uid="{277EDCE6-C626-433D-9B53-0FCF42D8C931}"/>
    <cellStyle name="Normal 7 6 3 6" xfId="2361" xr:uid="{BF91919C-F5F7-4317-930E-D56004FDA069}"/>
    <cellStyle name="Normal 7 6 3 6 2" xfId="7507" xr:uid="{EB0FD75A-A038-49DC-A77A-E0BC5E7AD464}"/>
    <cellStyle name="Normal 7 6 3 7" xfId="4032" xr:uid="{E0D1EF2A-E24F-4718-A3CE-E102A5D889BE}"/>
    <cellStyle name="Normal 7 6 4" xfId="479" xr:uid="{685B4F90-4A55-4184-8E6C-F789D811ACB7}"/>
    <cellStyle name="Normal 7 6 4 2" xfId="1210" xr:uid="{9B8D955B-BAD1-46A2-B224-1C75F1183F8C}"/>
    <cellStyle name="Normal 7 6 4 2 2" xfId="3686" xr:uid="{4A18337F-FA3B-45BB-8C9E-A44F6B49735D}"/>
    <cellStyle name="Normal 7 6 4 2 2 2" xfId="5565" xr:uid="{0B3EBD0E-9BEE-4845-B298-73F4FE9ABAA7}"/>
    <cellStyle name="Normal 7 6 4 2 3" xfId="2764" xr:uid="{7646A0D4-2397-49FC-8530-4022A2FFCD08}"/>
    <cellStyle name="Normal 7 6 4 2 4" xfId="4435" xr:uid="{D77EFA5A-E69E-45B7-A57E-D4F731E952E2}"/>
    <cellStyle name="Normal 7 6 4 3" xfId="2094" xr:uid="{936F1444-A6B8-4256-A0C2-A104C8CAAC67}"/>
    <cellStyle name="Normal 7 6 4 3 2" xfId="3291" xr:uid="{C0A9D3D4-5015-4D60-A0F9-726B58F94EC3}"/>
    <cellStyle name="Normal 7 6 4 3 3" xfId="4997" xr:uid="{BD9B8894-79D2-45A8-B643-E37E4296EA39}"/>
    <cellStyle name="Normal 7 6 4 4" xfId="732" xr:uid="{EE2B95D3-40E4-4E36-B11D-6D3B33902280}"/>
    <cellStyle name="Normal 7 6 4 4 2" xfId="5217" xr:uid="{91DA648D-E084-48A8-8DF5-EEF25A1221B2}"/>
    <cellStyle name="Normal 7 6 4 5" xfId="2416" xr:uid="{1270AA86-00B2-4DD1-ACEC-E435B7FBC359}"/>
    <cellStyle name="Normal 7 6 4 5 2" xfId="7508" xr:uid="{07C6B8A4-9F85-45E4-96EC-B49BB7D64FD9}"/>
    <cellStyle name="Normal 7 6 4 6" xfId="4087" xr:uid="{3789D3A0-45E9-4519-9A07-EA6915E0AD43}"/>
    <cellStyle name="Normal 7 6 5" xfId="796" xr:uid="{AFAC704F-C17D-449C-89C4-62C72BDE537E}"/>
    <cellStyle name="Normal 7 6 5 2" xfId="1275" xr:uid="{3325694D-B246-49DF-90B7-17F0805E1B26}"/>
    <cellStyle name="Normal 7 6 5 2 2" xfId="3749" xr:uid="{4F4FB119-DF35-41F3-BB3E-954DB99B88CB}"/>
    <cellStyle name="Normal 7 6 5 2 2 2" xfId="5620" xr:uid="{5A147D39-BBF9-4427-A091-BCD8EE15DA04}"/>
    <cellStyle name="Normal 7 6 5 2 3" xfId="2819" xr:uid="{A156D657-642B-4C54-8855-184A2DF3AA73}"/>
    <cellStyle name="Normal 7 6 5 2 4" xfId="4490" xr:uid="{90E7D02C-6F31-44CB-BAA7-16818EBE05A9}"/>
    <cellStyle name="Normal 7 6 5 3" xfId="3346" xr:uid="{4B3BE1E6-24E1-4611-800E-E960D5C72961}"/>
    <cellStyle name="Normal 7 6 5 3 2" xfId="5272" xr:uid="{60172B46-F285-41BE-8F3B-E6D8225258F6}"/>
    <cellStyle name="Normal 7 6 5 4" xfId="2471" xr:uid="{9F650406-AB91-4E6F-A43B-9562C88A7D6B}"/>
    <cellStyle name="Normal 7 6 5 4 2" xfId="7509" xr:uid="{456973D2-B9A7-4093-8CFB-142D7E4B772A}"/>
    <cellStyle name="Normal 7 6 5 5" xfId="4142" xr:uid="{260149CE-DAD9-4211-B765-13F061C0217B}"/>
    <cellStyle name="Normal 7 6 6" xfId="860" xr:uid="{2F4E1F57-27BA-4F3C-A1A1-74DFA882B1AC}"/>
    <cellStyle name="Normal 7 6 6 2" xfId="1339" xr:uid="{E77EBBE1-1453-486A-B5B8-BCC60A48EA18}"/>
    <cellStyle name="Normal 7 6 6 2 2" xfId="3813" xr:uid="{903BF252-048E-4598-B20D-8B0BFACE505F}"/>
    <cellStyle name="Normal 7 6 6 2 2 2" xfId="5675" xr:uid="{21EEE4CE-CE62-4FCB-8900-43D2E572755D}"/>
    <cellStyle name="Normal 7 6 6 2 3" xfId="2874" xr:uid="{AB30D504-F568-46B9-8145-FF13445891A0}"/>
    <cellStyle name="Normal 7 6 6 2 4" xfId="4545" xr:uid="{6B1F90AA-52FB-45E2-A47F-57F35ABE7802}"/>
    <cellStyle name="Normal 7 6 6 3" xfId="3401" xr:uid="{ACB81F9B-C6AA-4DDF-902C-D78AE321986D}"/>
    <cellStyle name="Normal 7 6 6 3 2" xfId="5327" xr:uid="{7C4B347F-A945-4EED-B186-54D3FCDD9D4E}"/>
    <cellStyle name="Normal 7 6 6 4" xfId="2526" xr:uid="{BD36C0FD-2794-4556-85CC-208D9CC1C59B}"/>
    <cellStyle name="Normal 7 6 6 4 2" xfId="7510" xr:uid="{FE973D47-BF35-40E4-B043-320B719503A8}"/>
    <cellStyle name="Normal 7 6 6 5" xfId="4197" xr:uid="{80178E12-B66E-422C-A528-06240811503E}"/>
    <cellStyle name="Normal 7 6 7" xfId="1013" xr:uid="{4AD995B4-733B-42E6-9022-60F7045353AA}"/>
    <cellStyle name="Normal 7 6 7 2" xfId="3510" xr:uid="{F786D986-0BF0-4873-9DA2-E7989089E032}"/>
    <cellStyle name="Normal 7 6 7 2 2" xfId="5395" xr:uid="{70D08233-A88C-4BFE-8254-B3A1CFF0FFCE}"/>
    <cellStyle name="Normal 7 6 7 3" xfId="2594" xr:uid="{57CA7824-556C-41F9-BB90-432E1FD10ECB}"/>
    <cellStyle name="Normal 7 6 7 4" xfId="4265" xr:uid="{AA785741-D4DD-4149-83D4-299CDBE056EC}"/>
    <cellStyle name="Normal 7 6 8" xfId="1492" xr:uid="{1B3BDAD2-3487-46A6-9506-8226DE29FCF3}"/>
    <cellStyle name="Normal 7 6 8 2" xfId="3860" xr:uid="{AD29A8FD-CDD8-4508-9F1F-6223A47D3F93}"/>
    <cellStyle name="Normal 7 6 8 2 2" xfId="5766" xr:uid="{1E58A635-065C-4B17-8876-6D2DB7E2BEA4}"/>
    <cellStyle name="Normal 7 6 8 3" xfId="2914" xr:uid="{603E8AEA-7837-4D1E-9222-683B0C3F1DD9}"/>
    <cellStyle name="Normal 7 6 8 4" xfId="4627" xr:uid="{5A936B9B-7403-4455-8BF6-2E3D0E12C7B2}"/>
    <cellStyle name="Normal 7 6 9" xfId="1795" xr:uid="{D97A9182-7507-47D4-9D58-A0D3A01516A8}"/>
    <cellStyle name="Normal 7 6 9 2" xfId="3058" xr:uid="{679BCA43-FB0D-436B-B911-20B73DEAF93C}"/>
    <cellStyle name="Normal 7 6 9 3" xfId="4813" xr:uid="{6F1FBF69-5B9E-46B3-98FE-A464FB474522}"/>
    <cellStyle name="Normal 7 7" xfId="149" xr:uid="{DE6BF4CC-52F1-4D53-9E46-6F00F3B72E32}"/>
    <cellStyle name="Normal 7 7 2" xfId="1063" xr:uid="{916BABD6-499C-4E3A-A9BA-10C085D65728}"/>
    <cellStyle name="Normal 7 7 2 2" xfId="3551" xr:uid="{C3D18963-A102-4C60-BE27-73CCBC16598A}"/>
    <cellStyle name="Normal 7 7 2 2 2" xfId="5436" xr:uid="{8C3E3FD7-1234-4AA4-8558-74E820E331DD}"/>
    <cellStyle name="Normal 7 7 2 3" xfId="2635" xr:uid="{4F1AA777-9EFE-4E41-ACD5-5F3AC6085008}"/>
    <cellStyle name="Normal 7 7 2 4" xfId="4306" xr:uid="{10F59CD4-3C78-4C24-838B-99DFB6DDCE6B}"/>
    <cellStyle name="Normal 7 7 3" xfId="1473" xr:uid="{A5EAB91C-A1F0-43CF-A457-F3A477B65175}"/>
    <cellStyle name="Normal 7 7 3 2" xfId="3862" xr:uid="{BB895FC6-8B67-4678-9973-E0018A64BC67}"/>
    <cellStyle name="Normal 7 7 3 2 2" xfId="5747" xr:uid="{41072B63-1668-4812-AD20-4569ABB8112D}"/>
    <cellStyle name="Normal 7 7 3 3" xfId="2916" xr:uid="{52E47E45-392C-4B87-A8FD-1679D8F35E2B}"/>
    <cellStyle name="Normal 7 7 3 4" xfId="4608" xr:uid="{EF98DD2E-D734-4C74-8B00-095D9AA03C96}"/>
    <cellStyle name="Normal 7 7 4" xfId="1776" xr:uid="{D6D601CE-8308-496D-B32C-D57AE9D6B9A7}"/>
    <cellStyle name="Normal 7 7 4 2" xfId="3062" xr:uid="{AE77ED93-9CEE-40C4-B612-FEE75758083B}"/>
    <cellStyle name="Normal 7 7 4 3" xfId="4794" xr:uid="{7A3367ED-00E8-46E0-A6AD-E184B19E0846}"/>
    <cellStyle name="Normal 7 7 5" xfId="585" xr:uid="{BB2DEF6A-4962-4C74-A956-EE894949A723}"/>
    <cellStyle name="Normal 7 7 5 2" xfId="5088" xr:uid="{5D497CC9-C6AA-4F40-92BF-D48827847074}"/>
    <cellStyle name="Normal 7 7 6" xfId="2287" xr:uid="{12C8A836-38A4-455C-8CBF-31C4FEB6E35B}"/>
    <cellStyle name="Normal 7 7 6 2" xfId="5962" xr:uid="{785D5E3A-6715-446C-973E-220CBC78AA6C}"/>
    <cellStyle name="Normal 7 7 7" xfId="7511" xr:uid="{5FDDD933-F2B7-4C16-9EF4-00B4B265E76F}"/>
    <cellStyle name="Normal 7 7 8" xfId="3958" xr:uid="{20614502-2C46-4FDC-B5B6-410B3AA8F25C}"/>
    <cellStyle name="Normal 7 8" xfId="260" xr:uid="{9E3531CC-38AF-46DB-A7E5-7594945381CC}"/>
    <cellStyle name="Normal 7 8 2" xfId="1127" xr:uid="{FDAD8BB2-CBA3-40B9-9F82-18F53E55A3DB}"/>
    <cellStyle name="Normal 7 8 2 2" xfId="3606" xr:uid="{95E776A3-ECDC-4F24-A958-61D79AA7E22F}"/>
    <cellStyle name="Normal 7 8 2 2 2" xfId="5491" xr:uid="{4B6C14F8-24E5-4B75-8D25-7B4A38B6495E}"/>
    <cellStyle name="Normal 7 8 2 3" xfId="2690" xr:uid="{D0A413A9-34FF-46EE-BD59-271E250994ED}"/>
    <cellStyle name="Normal 7 8 2 4" xfId="4361" xr:uid="{0502977A-4C00-49A0-9B50-5287CAAB70D3}"/>
    <cellStyle name="Normal 7 8 3" xfId="1574" xr:uid="{3A9E6678-AECE-4BE9-9F3D-94997E82B776}"/>
    <cellStyle name="Normal 7 8 3 2" xfId="3864" xr:uid="{E88BA93A-B928-4295-91C7-6D9129ECB478}"/>
    <cellStyle name="Normal 7 8 3 2 2" xfId="5840" xr:uid="{F186B12B-AC3A-45AE-A6A5-6D761DE605B4}"/>
    <cellStyle name="Normal 7 8 3 3" xfId="2918" xr:uid="{A7879DE2-D850-4EB0-9C82-9F56B72B3098}"/>
    <cellStyle name="Normal 7 8 3 4" xfId="4669" xr:uid="{7442922E-4D5B-48DA-9E52-9077A2682FFF}"/>
    <cellStyle name="Normal 7 8 4" xfId="1876" xr:uid="{14976479-5320-4E42-91AA-38F34E346F93}"/>
    <cellStyle name="Normal 7 8 4 2" xfId="3217" xr:uid="{901A8935-74A9-4D43-8712-9729DCE37F90}"/>
    <cellStyle name="Normal 7 8 4 3" xfId="4855" xr:uid="{7036B0D8-C51A-4DD2-B23B-77EF4CEA7F26}"/>
    <cellStyle name="Normal 7 8 5" xfId="649" xr:uid="{E203A391-BAD8-4F93-A3D9-689FF9043938}"/>
    <cellStyle name="Normal 7 8 5 2" xfId="5143" xr:uid="{0A8BB4C4-CDB8-4189-AB29-81A9646B4ADE}"/>
    <cellStyle name="Normal 7 8 6" xfId="2342" xr:uid="{17A82FE2-0E69-4140-AE45-D699A34D6D6D}"/>
    <cellStyle name="Normal 7 8 6 2" xfId="5964" xr:uid="{6301887E-AD73-479B-B75C-7122F422DFC4}"/>
    <cellStyle name="Normal 7 8 7" xfId="7512" xr:uid="{F6054AB1-ADB7-4091-A630-FFC73E49F495}"/>
    <cellStyle name="Normal 7 8 8" xfId="4013" xr:uid="{68F6E8C2-87AD-4155-9221-E2761FD3F814}"/>
    <cellStyle name="Normal 7 9" xfId="360" xr:uid="{4C941CE4-CFCC-4998-A56B-8D79980B0EDB}"/>
    <cellStyle name="Normal 7 9 2" xfId="1191" xr:uid="{D2ED91E6-5775-40C9-8949-2156E4510120}"/>
    <cellStyle name="Normal 7 9 2 2" xfId="3667" xr:uid="{ECD10643-BAF8-4FF6-86B4-AFF8D6773CBE}"/>
    <cellStyle name="Normal 7 9 2 2 2" xfId="5546" xr:uid="{EC10DEFC-5A64-447C-ABA2-755C0837FFA9}"/>
    <cellStyle name="Normal 7 9 2 3" xfId="2745" xr:uid="{5914A878-95C3-4380-85B4-E5C978FA8880}"/>
    <cellStyle name="Normal 7 9 2 4" xfId="4416" xr:uid="{1AF939D1-AA9E-43AC-AF85-3DE1915DA202}"/>
    <cellStyle name="Normal 7 9 3" xfId="1673" xr:uid="{5905F5B9-BB38-4E7E-9981-3EDC3FEFBA34}"/>
    <cellStyle name="Normal 7 9 3 2" xfId="3866" xr:uid="{9340F50D-15DD-4A39-A507-AE72CF85AEC5}"/>
    <cellStyle name="Normal 7 9 3 2 2" xfId="5917" xr:uid="{542E3EC8-A475-45A2-94CA-BA8E9182BA55}"/>
    <cellStyle name="Normal 7 9 3 3" xfId="2920" xr:uid="{08204EAA-97F2-404B-A1E0-BFD3EADAA21C}"/>
    <cellStyle name="Normal 7 9 3 4" xfId="4730" xr:uid="{46830C5B-B00B-4604-ACC3-E48B9BF20C24}"/>
    <cellStyle name="Normal 7 9 4" xfId="1975" xr:uid="{FC374ADF-B1A9-4872-B89A-BC96CF6D841C}"/>
    <cellStyle name="Normal 7 9 4 2" xfId="3272" xr:uid="{C496A9C0-537D-4906-903F-0B076E2639B4}"/>
    <cellStyle name="Normal 7 9 4 3" xfId="4916" xr:uid="{32B93EB4-C43F-4C52-B08F-61CF3CC31FFA}"/>
    <cellStyle name="Normal 7 9 5" xfId="713" xr:uid="{4F41B150-C54C-45BA-97AA-56A5C099A668}"/>
    <cellStyle name="Normal 7 9 5 2" xfId="5198" xr:uid="{1B638D50-DCD0-4E0C-B542-48F08FAE63F5}"/>
    <cellStyle name="Normal 7 9 6" xfId="2397" xr:uid="{F4EFECB0-8648-4BD2-84E5-512689E0DDBB}"/>
    <cellStyle name="Normal 7 9 6 2" xfId="5966" xr:uid="{6E0190AE-3296-4079-8051-176C44A87678}"/>
    <cellStyle name="Normal 7 9 7" xfId="7513" xr:uid="{6B9F6103-5171-4263-9986-9E9646A41286}"/>
    <cellStyle name="Normal 7 9 8" xfId="4068" xr:uid="{0275210C-D163-45D6-8A71-829B3CCC934E}"/>
    <cellStyle name="Normal 8" xfId="12" xr:uid="{7F440282-B63E-48CE-8173-FD4516EEB48F}"/>
    <cellStyle name="Normal 8 2" xfId="20" xr:uid="{3638BC43-F4E8-4CC7-A487-28D4A156D810}"/>
    <cellStyle name="Normal 8 2 2" xfId="169" xr:uid="{0C480BA3-EDEE-4360-9135-35ABB06571DF}"/>
    <cellStyle name="Normal 8 2 2 2" xfId="7606" xr:uid="{28F3DDAB-3329-40BB-97DE-275A3A1CDB73}"/>
    <cellStyle name="Normal 8 2 3" xfId="1386" xr:uid="{C4F895CE-4C50-4F31-8546-E1DAB8AB9610}"/>
    <cellStyle name="Normal 8 2 3 2" xfId="5704" xr:uid="{746F4E6E-6AD5-4458-A1C1-F64A6205D89A}"/>
    <cellStyle name="Normal 8 2 3 3" xfId="4574" xr:uid="{E1CB7216-96B8-44FE-996E-33C1210E589B}"/>
    <cellStyle name="Normal 8 2 4" xfId="1703" xr:uid="{0C9ECDB9-57B4-4DC7-80B6-4BE1473799BD}"/>
    <cellStyle name="Normal 8 2 4 2" xfId="4760" xr:uid="{1F5FBD12-FD46-478B-886C-30076CB96497}"/>
    <cellStyle name="Normal 8 3" xfId="3124" xr:uid="{F82600DE-6A47-406E-A367-50E19FA3DA11}"/>
    <cellStyle name="Normal 8 3 2" xfId="7514" xr:uid="{BB7E671D-B87F-4154-A43F-81A3B2028BDD}"/>
    <cellStyle name="Normal 8 3 3" xfId="5978" xr:uid="{826840C0-6742-4DCA-8366-84F53A97CD0C}"/>
    <cellStyle name="Normal 8 4" xfId="3041" xr:uid="{71D085AC-AF8F-498E-84D4-48FC63B26204}"/>
    <cellStyle name="Normal 9" xfId="22" xr:uid="{F03BF778-99A9-4230-A11F-D9FEB2548DC1}"/>
    <cellStyle name="Normal 9 2" xfId="171" xr:uid="{74AD2FE4-B198-4613-8A45-51C473C0BF58}"/>
    <cellStyle name="Normal 9 2 2" xfId="7515" xr:uid="{C0B94B66-451B-4E00-8014-71C1DDC7505A}"/>
    <cellStyle name="Normal 9 3" xfId="170" xr:uid="{C8827F1B-9579-4B25-A4AE-37D17FF1C75B}"/>
    <cellStyle name="Normal 9 3 2" xfId="1493" xr:uid="{0F06C2F4-45AA-487B-9C64-44604D59900B}"/>
    <cellStyle name="Normal 9 3 2 2" xfId="3446" xr:uid="{B02C9547-A614-410D-9802-021D3031FE26}"/>
    <cellStyle name="Normal 9 3 3" xfId="933" xr:uid="{5749BD4A-744E-4CE9-B814-EC3FFFD7A35B}"/>
    <cellStyle name="Normal 9 3 3 2" xfId="3125" xr:uid="{0002BD9A-2942-431F-8B5F-912B5288E62C}"/>
    <cellStyle name="Normal 9 4" xfId="1388" xr:uid="{669B2815-0C32-460E-822C-5179C5757D00}"/>
    <cellStyle name="Normal 9 5" xfId="5979" xr:uid="{8D59FB8E-0E4F-4A68-9126-174FD3CB6B65}"/>
    <cellStyle name="Normale 2" xfId="172" xr:uid="{CD77E233-502C-47ED-908A-64D6E2AC7704}"/>
    <cellStyle name="Normale 2 2" xfId="7516" xr:uid="{87D5BCFB-33D3-49AC-85B7-817D50F4BCBB}"/>
    <cellStyle name="Normale_10.RIASSUNTO FATTURE ALTRI" xfId="2940" xr:uid="{55A23C61-DB06-4F92-8E69-5FEA840B05A8}"/>
    <cellStyle name="Notas 2" xfId="934" xr:uid="{AF0B3BDD-73E3-407B-A0E8-C46FCBBE21DB}"/>
    <cellStyle name="Notas 2 10" xfId="7517" xr:uid="{D493DEE7-020E-493B-B9C2-8BC99F1A390D}"/>
    <cellStyle name="Notas 2 2" xfId="3447" xr:uid="{3C34517F-7BBE-431B-B3A6-D272243219E9}"/>
    <cellStyle name="Notas 2 2 2" xfId="7519" xr:uid="{A1B5C289-F82B-4C53-AAA9-6F0A8EC09313}"/>
    <cellStyle name="Notas 2 2 3" xfId="7518" xr:uid="{61183FA2-915F-45A2-955E-AF56B2D0DCC4}"/>
    <cellStyle name="Notas 2 3" xfId="3042" xr:uid="{453E88AD-8347-4484-9B5A-0951F901F0BA}"/>
    <cellStyle name="Notas 2 3 2" xfId="7521" xr:uid="{BD427E14-2033-4A22-8AE4-F5F04A67B723}"/>
    <cellStyle name="Notas 2 3 3" xfId="7520" xr:uid="{4430BF5D-9A80-432A-AE1E-F3890A25F075}"/>
    <cellStyle name="Notas 2 4" xfId="7522" xr:uid="{A953D211-87E5-4EA4-BD93-2E549D7F7EE8}"/>
    <cellStyle name="Notas 2 4 2" xfId="7523" xr:uid="{7B7894A1-D6DA-4A29-A12B-5E0D6A6B753B}"/>
    <cellStyle name="Notas 2 5" xfId="7524" xr:uid="{7E5DA005-F00C-4627-992C-9068F3F8B4CC}"/>
    <cellStyle name="Notas 2 5 2" xfId="7525" xr:uid="{C7BC01C2-A012-4735-A9F0-F75D6256BCB8}"/>
    <cellStyle name="Notas 2 6" xfId="7526" xr:uid="{7E228278-2EBC-4E56-A51A-2353AA031D55}"/>
    <cellStyle name="Notas 2 6 2" xfId="7527" xr:uid="{4B52833F-8F0B-49EA-A3AA-D13655E19007}"/>
    <cellStyle name="Notas 2 7" xfId="7528" xr:uid="{5A2371FD-D0F8-4882-8E80-EFE0F09BD3B0}"/>
    <cellStyle name="Notas 2 8" xfId="7529" xr:uid="{BCF6AE2B-57CC-41E6-AFCF-F6F18FA5C22C}"/>
    <cellStyle name="Notas 2 9" xfId="7530" xr:uid="{5D3DF344-A75A-4693-AFD9-E7FA8BFAF5F5}"/>
    <cellStyle name="Notas 3" xfId="3043" xr:uid="{8153F9E8-BA83-496C-B029-0031FF7820A2}"/>
    <cellStyle name="Notas 3 2" xfId="7532" xr:uid="{8B031994-1215-425D-99F7-3E8270522DCD}"/>
    <cellStyle name="Notas 3 3" xfId="7533" xr:uid="{54A17C29-5144-4756-B1E9-77136AD74A47}"/>
    <cellStyle name="Notas 3 4" xfId="7531" xr:uid="{94139A4C-2402-47DC-8835-2962EB35554D}"/>
    <cellStyle name="Note" xfId="3044" xr:uid="{8A81C333-61D5-459A-B9AD-927571DD5C8D}"/>
    <cellStyle name="Output" xfId="3045" xr:uid="{08BE9056-9AD6-4715-BC2E-857F72DEC697}"/>
    <cellStyle name="Percentuale 2" xfId="2941" xr:uid="{E2E4D880-D369-4DAE-AADB-11A3193201AE}"/>
    <cellStyle name="Porcentaje" xfId="187" builtinId="5"/>
    <cellStyle name="Porcentaje 2" xfId="174" xr:uid="{8BE882CD-9BCE-433E-A5D4-05292524CB85}"/>
    <cellStyle name="Porcentaje 2 2" xfId="935" xr:uid="{52E76521-30A1-4294-B70F-26FD8318DE94}"/>
    <cellStyle name="Porcentaje 2 3" xfId="7534" xr:uid="{D2344F32-4D28-4B1E-AF9B-2A584D8CC2E4}"/>
    <cellStyle name="Porcentaje 3" xfId="175" xr:uid="{2813AA22-8E42-4F3A-9468-7FB65D99E449}"/>
    <cellStyle name="Porcentaje 3 2" xfId="936" xr:uid="{1560B7A8-0C36-4E86-B87F-BF601A6B73EC}"/>
    <cellStyle name="Porcentaje 3 2 2" xfId="7537" xr:uid="{18C554FA-73EA-468B-B318-132D5DA4F522}"/>
    <cellStyle name="Porcentaje 3 2 3" xfId="7536" xr:uid="{8AABA674-EEBF-41AA-A1CF-32512B14F056}"/>
    <cellStyle name="Porcentaje 3 3" xfId="7535" xr:uid="{B8B7C1D9-F36A-4279-9C48-45FB9D1CA567}"/>
    <cellStyle name="Porcentaje 4" xfId="176" xr:uid="{2D9597B3-8B0F-4F43-B5A0-C40B1AA959C3}"/>
    <cellStyle name="Porcentaje 4 2" xfId="1241" xr:uid="{A044F0CD-E186-4B07-ABCB-E8202583F31B}"/>
    <cellStyle name="Porcentaje 4 2 2" xfId="7539" xr:uid="{8BABEAFB-ECEB-4AF3-AD7F-9B7B7E0BEB40}"/>
    <cellStyle name="Porcentaje 4 3" xfId="7540" xr:uid="{33DAC7CA-982E-4A74-B455-D1056CFC5F6C}"/>
    <cellStyle name="Porcentaje 4 4" xfId="7538" xr:uid="{25FAB499-BEF1-4D60-AF43-EB406C1DDF72}"/>
    <cellStyle name="Porcentaje 5" xfId="173" xr:uid="{CDC81548-07FD-4B2A-B9C9-B04D4F4CF220}"/>
    <cellStyle name="Porcentaje 5 2" xfId="1374" xr:uid="{8EF799DA-C5CB-4499-ADF3-2F99EA033F49}"/>
    <cellStyle name="Porcentaje 5 2 2" xfId="7542" xr:uid="{5B68DAE8-A87D-4F31-9603-C24D07015C6A}"/>
    <cellStyle name="Porcentaje 5 3" xfId="7543" xr:uid="{648EB47F-5508-4FC9-A390-C68798514CE7}"/>
    <cellStyle name="Porcentaje 5 4" xfId="7541" xr:uid="{CAA51387-6E3E-4482-8012-E7A808912B14}"/>
    <cellStyle name="Porcentaje 6" xfId="480" xr:uid="{FCE74A10-59C9-4A0D-9BC6-0507EFB37BFF}"/>
    <cellStyle name="Porcentaje 6 2" xfId="2095" xr:uid="{4CBBAF9A-052E-4FD8-B19C-A7D4CCC31752}"/>
    <cellStyle name="Porcentaje 6 2 2" xfId="3466" xr:uid="{43CA5C7B-F5B8-4629-B7C3-3DE78F6F8ED5}"/>
    <cellStyle name="Porcentaje 6 2 2 2" xfId="5947" xr:uid="{0BCD9AD7-16F8-463A-BE62-5252794D9544}"/>
    <cellStyle name="Porcentaje 6 2 3" xfId="4998" xr:uid="{9E9B9732-027C-4BDF-8A38-4394ABE6EE2A}"/>
    <cellStyle name="Porcentaje 6 3" xfId="2105" xr:uid="{34F8FD7A-193B-46B8-8E91-449EABFD2414}"/>
    <cellStyle name="Porcentaje 6 4" xfId="969" xr:uid="{949C8FE5-4E49-4B30-ABAC-37B3A19DA58E}"/>
    <cellStyle name="Porcentaje 6 5" xfId="7544" xr:uid="{B6411904-7298-49EA-AB29-39FD6E5D892A}"/>
    <cellStyle name="Porcentual" xfId="177" xr:uid="{AA4F3D12-6409-48C2-9FF1-49A06F8EA7B7}"/>
    <cellStyle name="Porcentual 2" xfId="178" xr:uid="{22A8D8DC-B8B4-441B-A6D8-C948F9672D7A}"/>
    <cellStyle name="Porcentual 2 10" xfId="970" xr:uid="{84DFB8BD-66D0-41B6-BE36-A808F1E64CE2}"/>
    <cellStyle name="Porcentual 2 10 2" xfId="3467" xr:uid="{AA5AFFE7-1323-4463-9369-23EF84303C1E}"/>
    <cellStyle name="Porcentual 2 10 2 2" xfId="5359" xr:uid="{5FF8CF6C-608D-4444-AA1C-E36938FE659E}"/>
    <cellStyle name="Porcentual 2 10 3" xfId="2558" xr:uid="{91F84368-6346-4A3E-8C0D-4D14F7688206}"/>
    <cellStyle name="Porcentual 2 10 4" xfId="4229" xr:uid="{416F94AB-CCFB-40F1-8EF1-570EFF9D7225}"/>
    <cellStyle name="Porcentual 2 11" xfId="1494" xr:uid="{59F03323-C0DC-4DCD-B123-65EA60D17593}"/>
    <cellStyle name="Porcentual 2 11 2" xfId="5767" xr:uid="{E7B0617C-8783-4B6C-9EF0-B9B58596A93E}"/>
    <cellStyle name="Porcentual 2 11 3" xfId="4628" xr:uid="{2B8322A5-D4F8-45A1-BE45-93C4A10478A5}"/>
    <cellStyle name="Porcentual 2 12" xfId="1796" xr:uid="{CBAA74BB-5162-4752-B096-1E94EB589705}"/>
    <cellStyle name="Porcentual 2 12 2" xfId="4814" xr:uid="{91F93AB2-984F-44CF-9DC6-44AAA49D8C9F}"/>
    <cellStyle name="Porcentual 2 13" xfId="493" xr:uid="{A7A87D65-CBED-4732-A9FA-5ACCA16DF216}"/>
    <cellStyle name="Porcentual 2 13 2" xfId="5011" xr:uid="{4BA62CF6-D1DD-4CDB-BDAF-52A3BB77E7ED}"/>
    <cellStyle name="Porcentual 2 14" xfId="2197" xr:uid="{2A4E2EDF-EE38-45F0-8158-D47CCF1CF189}"/>
    <cellStyle name="Porcentual 2 14 2" xfId="5980" xr:uid="{0137B74B-0930-47B4-99C3-60B1E8C0E0EC}"/>
    <cellStyle name="Porcentual 2 15" xfId="2210" xr:uid="{D7041E2B-674B-4F1C-9E74-A0855D1B90FE}"/>
    <cellStyle name="Porcentual 2 15 2" xfId="7545" xr:uid="{CFA4128B-5D5B-4F4B-A1D2-A9887AB8BD27}"/>
    <cellStyle name="Porcentual 2 16" xfId="3881" xr:uid="{98BBD592-17CA-4CDD-B3D1-1283CDF4375F}"/>
    <cellStyle name="Porcentual 2 2" xfId="179" xr:uid="{51EF2CBA-3D1C-4C6E-B373-51C4C0B339CC}"/>
    <cellStyle name="Porcentual 2 2 10" xfId="971" xr:uid="{909D604A-884F-449E-B5E2-674404A43A42}"/>
    <cellStyle name="Porcentual 2 2 10 2" xfId="3468" xr:uid="{43D159DF-9E3B-482F-848A-B2E4202E51AB}"/>
    <cellStyle name="Porcentual 2 2 10 2 2" xfId="5360" xr:uid="{1D189CF2-2C44-42E6-A87C-5FC01C4A9454}"/>
    <cellStyle name="Porcentual 2 2 10 3" xfId="2559" xr:uid="{8752138A-53D4-4EFB-A164-916A1705FD28}"/>
    <cellStyle name="Porcentual 2 2 10 4" xfId="4230" xr:uid="{15B00A26-0A5C-4C21-B305-481C4B0027FE}"/>
    <cellStyle name="Porcentual 2 2 11" xfId="1495" xr:uid="{7540079B-3923-4885-9C5C-ABF5DB781145}"/>
    <cellStyle name="Porcentual 2 2 11 2" xfId="3114" xr:uid="{E43515AC-C470-4C5B-BF18-E6BF8EA7545E}"/>
    <cellStyle name="Porcentual 2 2 11 2 2" xfId="5768" xr:uid="{5AE69DEC-B205-4EC2-90E7-5300EB56B72C}"/>
    <cellStyle name="Porcentual 2 2 11 3" xfId="4629" xr:uid="{053AF4C4-DAD9-48EB-B278-6B65B9B32B77}"/>
    <cellStyle name="Porcentual 2 2 12" xfId="1797" xr:uid="{29FA433B-92D9-4E91-93E1-00A00C59CD38}"/>
    <cellStyle name="Porcentual 2 2 12 2" xfId="4815" xr:uid="{F3EA40E5-56C4-4735-93E8-7DEE629B2485}"/>
    <cellStyle name="Porcentual 2 2 13" xfId="494" xr:uid="{9BCA30EA-C78B-483C-9D8A-AB09546E1C24}"/>
    <cellStyle name="Porcentual 2 2 13 2" xfId="5012" xr:uid="{E02F9DCA-56E5-4CE7-9F7D-8937F83DF15D}"/>
    <cellStyle name="Porcentual 2 2 14" xfId="2198" xr:uid="{1403990A-009B-4832-BBF1-2D2BBAFDADDF}"/>
    <cellStyle name="Porcentual 2 2 14 2" xfId="7546" xr:uid="{589B7D50-4A33-4D05-8253-E549DE863450}"/>
    <cellStyle name="Porcentual 2 2 15" xfId="2211" xr:uid="{7DF7D55A-3E42-46C7-9BA3-513309C59572}"/>
    <cellStyle name="Porcentual 2 2 16" xfId="3882" xr:uid="{53B4F58A-F224-4894-8F07-821CF193A33E}"/>
    <cellStyle name="Porcentual 2 2 2" xfId="180" xr:uid="{B4D820A8-1F06-45B6-AF7B-354A505447D6}"/>
    <cellStyle name="Porcentual 2 2 2 10" xfId="1798" xr:uid="{22A56914-A6D3-47C8-B658-A9138E94A679}"/>
    <cellStyle name="Porcentual 2 2 2 10 2" xfId="4816" xr:uid="{75880873-179D-4020-8E46-DBBD16C5D909}"/>
    <cellStyle name="Porcentual 2 2 2 11" xfId="508" xr:uid="{B1126374-25FA-4A62-BC60-429C9EA105C3}"/>
    <cellStyle name="Porcentual 2 2 2 11 2" xfId="5024" xr:uid="{80E524D9-57BA-41CD-860A-269F1B2E50A5}"/>
    <cellStyle name="Porcentual 2 2 2 12" xfId="2199" xr:uid="{3B08DE65-2FB9-4150-801F-9202CC6CB983}"/>
    <cellStyle name="Porcentual 2 2 2 12 2" xfId="7547" xr:uid="{535A2F8B-80FD-4E4C-9EC9-5A0BE1DB38C4}"/>
    <cellStyle name="Porcentual 2 2 2 13" xfId="2223" xr:uid="{8CC39B66-5E02-47AD-A79B-56071DB8B585}"/>
    <cellStyle name="Porcentual 2 2 2 14" xfId="3894" xr:uid="{6DD91C57-B232-411F-AF98-AEBA7DD0A3FC}"/>
    <cellStyle name="Porcentual 2 2 2 2" xfId="181" xr:uid="{7C629062-31AC-4319-8B4E-AE257ED71AEF}"/>
    <cellStyle name="Porcentual 2 2 2 2 10" xfId="547" xr:uid="{A6B86D6F-5586-42BA-A1B3-236865A793D8}"/>
    <cellStyle name="Porcentual 2 2 2 2 10 2" xfId="5059" xr:uid="{E0ABDB4F-16E8-4A5B-AD3E-D6A8CBD15E8A}"/>
    <cellStyle name="Porcentual 2 2 2 2 11" xfId="2200" xr:uid="{13C5EC0A-92DF-40AF-9D62-6F7A686AEFED}"/>
    <cellStyle name="Porcentual 2 2 2 2 11 2" xfId="7548" xr:uid="{3F69396E-28E0-4BED-A489-F89E1D0790E4}"/>
    <cellStyle name="Porcentual 2 2 2 2 12" xfId="2258" xr:uid="{957A29B2-C577-4712-BEB3-45A206064602}"/>
    <cellStyle name="Porcentual 2 2 2 2 13" xfId="3929" xr:uid="{4F87E0EF-D6CF-443B-B656-5515C145D70A}"/>
    <cellStyle name="Porcentual 2 2 2 2 2" xfId="283" xr:uid="{C6418450-23A8-4576-A50F-F48B6DCEBE72}"/>
    <cellStyle name="Porcentual 2 2 2 2 2 2" xfId="1086" xr:uid="{55B965BA-176C-438E-91AD-E01446D9F0B9}"/>
    <cellStyle name="Porcentual 2 2 2 2 2 2 2" xfId="3574" xr:uid="{6E9BA743-9EB1-4ABA-A63A-F56DAC5A7894}"/>
    <cellStyle name="Porcentual 2 2 2 2 2 2 2 2" xfId="5459" xr:uid="{B7509928-3667-46EF-9276-7A647731057E}"/>
    <cellStyle name="Porcentual 2 2 2 2 2 2 3" xfId="2658" xr:uid="{3883EEF4-F017-49BF-A6B6-22F3660DC151}"/>
    <cellStyle name="Porcentual 2 2 2 2 2 2 4" xfId="4329" xr:uid="{D5F52610-E83D-4307-9AD2-28B2E6AE310D}"/>
    <cellStyle name="Porcentual 2 2 2 2 2 3" xfId="1597" xr:uid="{145EE3D8-FD81-4CF7-901D-307A2E1835EA}"/>
    <cellStyle name="Porcentual 2 2 2 2 2 3 2" xfId="3185" xr:uid="{2DA12315-09FA-4DBD-A09F-47C4C720B867}"/>
    <cellStyle name="Porcentual 2 2 2 2 2 3 2 2" xfId="5863" xr:uid="{D978B5A2-79F5-48A1-864E-BC8349AAF2CD}"/>
    <cellStyle name="Porcentual 2 2 2 2 2 3 3" xfId="4692" xr:uid="{C3F400E1-7703-4026-BBFA-FDBC9B269FD7}"/>
    <cellStyle name="Porcentual 2 2 2 2 2 4" xfId="1899" xr:uid="{F6E2C76F-71EE-477C-AA03-FD7AE506D418}"/>
    <cellStyle name="Porcentual 2 2 2 2 2 4 2" xfId="4878" xr:uid="{15E5A467-457F-4511-9C64-C8BEF58F17CD}"/>
    <cellStyle name="Porcentual 2 2 2 2 2 5" xfId="608" xr:uid="{097B260C-805D-490D-90C3-4A3F3A396E13}"/>
    <cellStyle name="Porcentual 2 2 2 2 2 5 2" xfId="5111" xr:uid="{3E63AE1C-790F-4E55-8AA9-6833952475F2}"/>
    <cellStyle name="Porcentual 2 2 2 2 2 6" xfId="2310" xr:uid="{1040D063-BF6C-4FD2-B7A4-484330B86E2A}"/>
    <cellStyle name="Porcentual 2 2 2 2 2 6 2" xfId="7549" xr:uid="{E4DCC7C6-24BD-47CF-B18D-8AA3077FA17B}"/>
    <cellStyle name="Porcentual 2 2 2 2 2 7" xfId="3981" xr:uid="{5AFFB224-17A5-4991-975F-7C7FE6900100}"/>
    <cellStyle name="Porcentual 2 2 2 2 3" xfId="383" xr:uid="{1932502F-7651-4E97-BD61-68221126175C}"/>
    <cellStyle name="Porcentual 2 2 2 2 3 2" xfId="1150" xr:uid="{BF88F42F-E0A1-4D0F-9CB1-4078D4AD24F0}"/>
    <cellStyle name="Porcentual 2 2 2 2 3 2 2" xfId="3629" xr:uid="{252FD30A-BC0B-400C-A4E2-FA591141D7F9}"/>
    <cellStyle name="Porcentual 2 2 2 2 3 2 2 2" xfId="5514" xr:uid="{B19464D7-AC3F-4FDC-946B-194B3A0B4E03}"/>
    <cellStyle name="Porcentual 2 2 2 2 3 2 3" xfId="2713" xr:uid="{1BF9A726-472B-4CDB-8EC0-E05B31385DA9}"/>
    <cellStyle name="Porcentual 2 2 2 2 3 2 4" xfId="4384" xr:uid="{A3FA3CEB-5C81-4CD9-9C9F-F43BCAF5C71D}"/>
    <cellStyle name="Porcentual 2 2 2 2 3 3" xfId="1696" xr:uid="{9AF182BA-9DAB-48D7-8C10-E34F3A16E37C}"/>
    <cellStyle name="Porcentual 2 2 2 2 3 3 2" xfId="3240" xr:uid="{D39F3198-8D75-4A07-9C30-116950DDCEA7}"/>
    <cellStyle name="Porcentual 2 2 2 2 3 3 2 2" xfId="5940" xr:uid="{38CD5E1D-8BED-4DA8-AD71-697679DC35EE}"/>
    <cellStyle name="Porcentual 2 2 2 2 3 3 3" xfId="4753" xr:uid="{8BDF8446-BFC6-490D-9C6B-0EEF6516E1AE}"/>
    <cellStyle name="Porcentual 2 2 2 2 3 4" xfId="1998" xr:uid="{1BF1CB1C-0F33-43E9-99C2-082FD675F0CC}"/>
    <cellStyle name="Porcentual 2 2 2 2 3 4 2" xfId="4939" xr:uid="{BAE305F7-D424-489F-949D-5E0181D3F709}"/>
    <cellStyle name="Porcentual 2 2 2 2 3 5" xfId="672" xr:uid="{2333B9F7-9BB6-49B2-87E5-8E6D79DE2DD1}"/>
    <cellStyle name="Porcentual 2 2 2 2 3 5 2" xfId="5166" xr:uid="{9BA67A42-0825-4889-95F1-07EE2F7B949A}"/>
    <cellStyle name="Porcentual 2 2 2 2 3 6" xfId="2365" xr:uid="{895EC5E1-9C8B-46CA-898F-CE1FA7CF5560}"/>
    <cellStyle name="Porcentual 2 2 2 2 3 6 2" xfId="7550" xr:uid="{2D73A798-4C36-4485-8621-8CDBBC0D1BF2}"/>
    <cellStyle name="Porcentual 2 2 2 2 3 7" xfId="4036" xr:uid="{0E0B80E4-95C4-466F-A945-997DB20DCBE5}"/>
    <cellStyle name="Porcentual 2 2 2 2 4" xfId="484" xr:uid="{450FC954-692C-4E2D-B13E-59F4B86BEE68}"/>
    <cellStyle name="Porcentual 2 2 2 2 4 2" xfId="1214" xr:uid="{2A858079-9C7F-494D-8518-F1CCC8A475BF}"/>
    <cellStyle name="Porcentual 2 2 2 2 4 2 2" xfId="3690" xr:uid="{CF866158-2E1F-4370-945E-B99DD8C7F915}"/>
    <cellStyle name="Porcentual 2 2 2 2 4 2 2 2" xfId="5569" xr:uid="{C1570094-2A03-4502-A171-590DDFED2121}"/>
    <cellStyle name="Porcentual 2 2 2 2 4 2 3" xfId="2768" xr:uid="{C1CBF78B-EC35-4528-B33A-A2003F5C5D3B}"/>
    <cellStyle name="Porcentual 2 2 2 2 4 2 4" xfId="4439" xr:uid="{A00C7350-EB7E-4F6B-B82C-5F7134FE2EED}"/>
    <cellStyle name="Porcentual 2 2 2 2 4 3" xfId="2099" xr:uid="{F1ADCEC2-8415-4454-9F06-7AB8224861A4}"/>
    <cellStyle name="Porcentual 2 2 2 2 4 3 2" xfId="3295" xr:uid="{325EF66A-184B-4B25-AE20-96BCEC82CC1D}"/>
    <cellStyle name="Porcentual 2 2 2 2 4 3 3" xfId="5002" xr:uid="{DCE5C1E2-7529-43FA-B895-844B840866B1}"/>
    <cellStyle name="Porcentual 2 2 2 2 4 4" xfId="736" xr:uid="{27CC2FE4-176C-4E9D-B5E3-859BCAE2D402}"/>
    <cellStyle name="Porcentual 2 2 2 2 4 4 2" xfId="5221" xr:uid="{0A32063F-8410-4948-BD51-2747549DB310}"/>
    <cellStyle name="Porcentual 2 2 2 2 4 5" xfId="2420" xr:uid="{D9EB69A3-D679-46B1-A2E4-79061AE15F95}"/>
    <cellStyle name="Porcentual 2 2 2 2 4 5 2" xfId="7551" xr:uid="{A89FD9A3-FC0F-4937-98A6-B6472C6FC473}"/>
    <cellStyle name="Porcentual 2 2 2 2 4 6" xfId="4091" xr:uid="{5C2F8183-13A9-4AE9-9B57-C3BCE98AB691}"/>
    <cellStyle name="Porcentual 2 2 2 2 5" xfId="800" xr:uid="{0F9AD6FF-955E-4CAD-8204-7FC56BA6B722}"/>
    <cellStyle name="Porcentual 2 2 2 2 5 2" xfId="1279" xr:uid="{DBCED7A4-F43D-408B-AF6F-51AA6E82AD49}"/>
    <cellStyle name="Porcentual 2 2 2 2 5 2 2" xfId="3753" xr:uid="{F9965390-879F-46B3-9A61-530E25E1118D}"/>
    <cellStyle name="Porcentual 2 2 2 2 5 2 2 2" xfId="5624" xr:uid="{2A8421B5-D430-4FC3-AD69-1E927D19E988}"/>
    <cellStyle name="Porcentual 2 2 2 2 5 2 3" xfId="2823" xr:uid="{5BFF9F3E-8C14-4D00-8DE6-4432FE39584D}"/>
    <cellStyle name="Porcentual 2 2 2 2 5 2 4" xfId="4494" xr:uid="{3FF10148-7380-4530-9335-BB78666A2913}"/>
    <cellStyle name="Porcentual 2 2 2 2 5 3" xfId="3350" xr:uid="{E582958B-1FC4-4617-BA79-BD8366998AC0}"/>
    <cellStyle name="Porcentual 2 2 2 2 5 3 2" xfId="5276" xr:uid="{DBED46C0-C452-4608-8DB0-EA503F3A22D3}"/>
    <cellStyle name="Porcentual 2 2 2 2 5 4" xfId="2475" xr:uid="{F4DA5C81-E353-491E-80A8-7F05062540EC}"/>
    <cellStyle name="Porcentual 2 2 2 2 5 4 2" xfId="7552" xr:uid="{C54A175A-67C7-491B-A699-C04AC4B574EB}"/>
    <cellStyle name="Porcentual 2 2 2 2 5 5" xfId="4146" xr:uid="{BB455C19-3112-486C-A802-23349100796C}"/>
    <cellStyle name="Porcentual 2 2 2 2 6" xfId="864" xr:uid="{3D54C0BE-0F30-4C8C-B8A0-05F757C42934}"/>
    <cellStyle name="Porcentual 2 2 2 2 6 2" xfId="1343" xr:uid="{FA37846D-B736-4B37-8A95-AA858FBBDFB7}"/>
    <cellStyle name="Porcentual 2 2 2 2 6 2 2" xfId="3817" xr:uid="{D5440D3F-2989-4FC0-A227-AF76006AE975}"/>
    <cellStyle name="Porcentual 2 2 2 2 6 2 2 2" xfId="5679" xr:uid="{7641EE33-8862-4404-B8D8-916F02987BF1}"/>
    <cellStyle name="Porcentual 2 2 2 2 6 2 3" xfId="2878" xr:uid="{8872E4B2-49F4-4F18-B275-CB9B51F81452}"/>
    <cellStyle name="Porcentual 2 2 2 2 6 2 4" xfId="4549" xr:uid="{3C176775-FB48-4907-A7D0-E4E65AF0734A}"/>
    <cellStyle name="Porcentual 2 2 2 2 6 3" xfId="3405" xr:uid="{DE640BA0-FC20-463F-86A0-D822987E32A3}"/>
    <cellStyle name="Porcentual 2 2 2 2 6 3 2" xfId="5331" xr:uid="{A34EB913-686B-4C86-B434-68F508A059C7}"/>
    <cellStyle name="Porcentual 2 2 2 2 6 4" xfId="2530" xr:uid="{33E83265-FC01-4033-8A3A-720E4BC96909}"/>
    <cellStyle name="Porcentual 2 2 2 2 6 4 2" xfId="7553" xr:uid="{5EA86CA1-22CC-48EA-BCFD-0F903C7CD0FD}"/>
    <cellStyle name="Porcentual 2 2 2 2 6 5" xfId="4201" xr:uid="{58368CFE-047C-42FB-86FD-0DD12C885F5F}"/>
    <cellStyle name="Porcentual 2 2 2 2 7" xfId="1025" xr:uid="{558DCD58-AE70-40C0-8FA0-B9BF60B0AC74}"/>
    <cellStyle name="Porcentual 2 2 2 2 7 2" xfId="3522" xr:uid="{6FD05AA8-CB6A-4169-9DDC-B12F86066137}"/>
    <cellStyle name="Porcentual 2 2 2 2 7 2 2" xfId="5407" xr:uid="{73F65B89-D7C6-4838-99C0-CE173BEEFF51}"/>
    <cellStyle name="Porcentual 2 2 2 2 7 3" xfId="2606" xr:uid="{0CF75A36-2018-4918-B363-6765ECA8F7C6}"/>
    <cellStyle name="Porcentual 2 2 2 2 7 4" xfId="4277" xr:uid="{B96E2F87-E122-44EA-ADB5-675506CB3B6C}"/>
    <cellStyle name="Porcentual 2 2 2 2 8" xfId="1497" xr:uid="{E9E616BF-4F3F-4137-89F5-47E058CB0C16}"/>
    <cellStyle name="Porcentual 2 2 2 2 8 2" xfId="3123" xr:uid="{AF96F494-A7F7-4E64-A040-8AAE9925F920}"/>
    <cellStyle name="Porcentual 2 2 2 2 8 2 2" xfId="5770" xr:uid="{962ED91B-D6D2-4303-B5BF-DB6A45F94B66}"/>
    <cellStyle name="Porcentual 2 2 2 2 8 3" xfId="4631" xr:uid="{1992B5B4-8C93-4B28-862F-8036FA7B3D30}"/>
    <cellStyle name="Porcentual 2 2 2 2 9" xfId="1799" xr:uid="{E35968DE-5C9C-4304-ADB0-CA7490AD5388}"/>
    <cellStyle name="Porcentual 2 2 2 2 9 2" xfId="4817" xr:uid="{9B5054D1-5A23-4E25-8142-42E53D6B5725}"/>
    <cellStyle name="Porcentual 2 2 2 3" xfId="282" xr:uid="{E0DB577E-94D2-4E5E-92EA-27F38B8D7253}"/>
    <cellStyle name="Porcentual 2 2 2 3 2" xfId="1085" xr:uid="{0DC5B609-A120-4DA3-B30D-053EFD304B1B}"/>
    <cellStyle name="Porcentual 2 2 2 3 2 2" xfId="3573" xr:uid="{DB6AA172-6AA9-401D-9992-9D40CB434065}"/>
    <cellStyle name="Porcentual 2 2 2 3 2 2 2" xfId="5458" xr:uid="{CCC628B7-5FC2-44F4-81B0-D73AE99FD07B}"/>
    <cellStyle name="Porcentual 2 2 2 3 2 3" xfId="2657" xr:uid="{8FF5C843-46C2-466E-95E2-0B269D804E2B}"/>
    <cellStyle name="Porcentual 2 2 2 3 2 4" xfId="4328" xr:uid="{E77F0135-2D51-4109-8510-011CC0B006FC}"/>
    <cellStyle name="Porcentual 2 2 2 3 3" xfId="1596" xr:uid="{C0795BA7-9B89-44B0-8CE1-B09C1831382E}"/>
    <cellStyle name="Porcentual 2 2 2 3 3 2" xfId="3184" xr:uid="{F4E65EE3-3515-4E58-8840-95B4D47B5CCF}"/>
    <cellStyle name="Porcentual 2 2 2 3 3 2 2" xfId="5862" xr:uid="{5FB10A21-0892-4B62-9A0F-809B3ECA0D01}"/>
    <cellStyle name="Porcentual 2 2 2 3 3 3" xfId="4691" xr:uid="{E3B516FD-18FD-4861-8950-DD662641AFD6}"/>
    <cellStyle name="Porcentual 2 2 2 3 4" xfId="1898" xr:uid="{F03B7A29-71B3-4635-99A1-716EAF7F088B}"/>
    <cellStyle name="Porcentual 2 2 2 3 4 2" xfId="4877" xr:uid="{AB8936A0-DC8D-43D6-A41D-3D5727500179}"/>
    <cellStyle name="Porcentual 2 2 2 3 5" xfId="607" xr:uid="{D8E85B4C-F5BF-4D49-ADC8-41803D3ADAD9}"/>
    <cellStyle name="Porcentual 2 2 2 3 5 2" xfId="5110" xr:uid="{7424F49B-EF3B-4443-BF08-9EA30C75F64B}"/>
    <cellStyle name="Porcentual 2 2 2 3 6" xfId="2309" xr:uid="{1E5522F0-FC8A-48C0-9855-FE48792EB385}"/>
    <cellStyle name="Porcentual 2 2 2 3 6 2" xfId="7554" xr:uid="{83103D9E-459C-47BA-976E-1456E5EEF3BB}"/>
    <cellStyle name="Porcentual 2 2 2 3 7" xfId="3980" xr:uid="{96EB0B77-F7C8-4AD8-8369-AFD37801B3DE}"/>
    <cellStyle name="Porcentual 2 2 2 4" xfId="382" xr:uid="{7022D6FD-C7FE-4914-8CBB-E224007D10BB}"/>
    <cellStyle name="Porcentual 2 2 2 4 2" xfId="1149" xr:uid="{44477326-7B28-46B7-89CB-896CF917D481}"/>
    <cellStyle name="Porcentual 2 2 2 4 2 2" xfId="3628" xr:uid="{B9351AD6-7FD0-482E-A1D6-953913C6CA25}"/>
    <cellStyle name="Porcentual 2 2 2 4 2 2 2" xfId="5513" xr:uid="{0C22015E-E438-467F-B454-75F824D5573C}"/>
    <cellStyle name="Porcentual 2 2 2 4 2 3" xfId="2712" xr:uid="{C488B8A3-FE63-492D-AE03-98C75E2BD18C}"/>
    <cellStyle name="Porcentual 2 2 2 4 2 3 2" xfId="7556" xr:uid="{DE54F068-34E9-48C4-AFED-1134A14EC34A}"/>
    <cellStyle name="Porcentual 2 2 2 4 2 4" xfId="4383" xr:uid="{31C110F2-15D4-47A4-A42E-C2273187B4FA}"/>
    <cellStyle name="Porcentual 2 2 2 4 3" xfId="1695" xr:uid="{E0FF00B2-4FBA-4883-AD4D-FE682AE56182}"/>
    <cellStyle name="Porcentual 2 2 2 4 3 2" xfId="3239" xr:uid="{02663444-D346-41A4-B0E8-8FBBFC521B9A}"/>
    <cellStyle name="Porcentual 2 2 2 4 3 2 2" xfId="5939" xr:uid="{3E16C9DE-797A-49C9-B54E-C6FB97C26DBD}"/>
    <cellStyle name="Porcentual 2 2 2 4 3 3" xfId="4752" xr:uid="{04D55CC4-7519-459F-84C5-E6A55AEB7264}"/>
    <cellStyle name="Porcentual 2 2 2 4 4" xfId="1997" xr:uid="{B5BCCD66-F9CC-4E3D-885D-ADB3CB69C3F4}"/>
    <cellStyle name="Porcentual 2 2 2 4 4 2" xfId="4938" xr:uid="{32EFE76C-37B6-466A-A64C-5068524E9B25}"/>
    <cellStyle name="Porcentual 2 2 2 4 5" xfId="671" xr:uid="{BFF70CE3-D8AE-4430-BBD5-84B9D1BE7046}"/>
    <cellStyle name="Porcentual 2 2 2 4 5 2" xfId="5165" xr:uid="{C970A57A-88F2-417E-AB1C-BC595D838534}"/>
    <cellStyle name="Porcentual 2 2 2 4 6" xfId="2364" xr:uid="{611F37BC-C066-420B-91B4-7DCA2A71250F}"/>
    <cellStyle name="Porcentual 2 2 2 4 6 2" xfId="7555" xr:uid="{C1C5F832-1691-44FA-AB31-B24EB1C96A37}"/>
    <cellStyle name="Porcentual 2 2 2 4 7" xfId="4035" xr:uid="{202DA4A6-6E74-4F92-AF5D-7DB3C23F521B}"/>
    <cellStyle name="Porcentual 2 2 2 5" xfId="483" xr:uid="{2A8AA696-D89E-4852-AD41-200B66644032}"/>
    <cellStyle name="Porcentual 2 2 2 5 2" xfId="1213" xr:uid="{B3CC3F51-84D8-4DE1-A9E5-92132A4A0481}"/>
    <cellStyle name="Porcentual 2 2 2 5 2 2" xfId="3689" xr:uid="{89F18F37-1A3A-4293-AF78-546B0CD863B9}"/>
    <cellStyle name="Porcentual 2 2 2 5 2 2 2" xfId="5568" xr:uid="{7E63F4BC-2FA6-45DA-AA3A-435C9B41F1F1}"/>
    <cellStyle name="Porcentual 2 2 2 5 2 3" xfId="2767" xr:uid="{429AD609-8B1B-4062-9057-C0F17DD8B5DF}"/>
    <cellStyle name="Porcentual 2 2 2 5 2 4" xfId="4438" xr:uid="{DC055611-FCAC-49CB-936B-14DEC209084E}"/>
    <cellStyle name="Porcentual 2 2 2 5 3" xfId="2098" xr:uid="{BC4D8B55-ED26-4EEB-A159-66E8191C762F}"/>
    <cellStyle name="Porcentual 2 2 2 5 3 2" xfId="3294" xr:uid="{ACA28859-48BF-40CA-A6F1-52B9AB9177F9}"/>
    <cellStyle name="Porcentual 2 2 2 5 3 3" xfId="5001" xr:uid="{BF4F7216-3A87-461D-BEEF-66E49C63BA9A}"/>
    <cellStyle name="Porcentual 2 2 2 5 4" xfId="735" xr:uid="{7C0322C8-2AD4-4567-AEFC-BF8B1880DEC1}"/>
    <cellStyle name="Porcentual 2 2 2 5 4 2" xfId="5220" xr:uid="{2797A2CA-9F46-4889-A1CD-6C684B4EF5B2}"/>
    <cellStyle name="Porcentual 2 2 2 5 5" xfId="2419" xr:uid="{2E0D36FE-6EA6-4678-BF7C-0344C60B30F1}"/>
    <cellStyle name="Porcentual 2 2 2 5 5 2" xfId="7557" xr:uid="{820543B9-C5F6-4241-8716-322F54C85E1D}"/>
    <cellStyle name="Porcentual 2 2 2 5 6" xfId="4090" xr:uid="{B42B75EF-176A-4C6E-8C41-E22EB42A0E67}"/>
    <cellStyle name="Porcentual 2 2 2 6" xfId="799" xr:uid="{11D36CD1-09C6-4903-9E97-41742DBF7BB6}"/>
    <cellStyle name="Porcentual 2 2 2 6 2" xfId="1278" xr:uid="{18706B8D-A9DD-4C6F-8226-847BBB3FB2AB}"/>
    <cellStyle name="Porcentual 2 2 2 6 2 2" xfId="3752" xr:uid="{8D242D8F-A0A9-47A2-B157-F508A4C939B6}"/>
    <cellStyle name="Porcentual 2 2 2 6 2 2 2" xfId="5623" xr:uid="{407EA28E-4B4D-45D6-A5BA-0992E2B621AF}"/>
    <cellStyle name="Porcentual 2 2 2 6 2 3" xfId="2822" xr:uid="{A108A156-E0B0-46EF-9259-7B3E8BECCC7A}"/>
    <cellStyle name="Porcentual 2 2 2 6 2 4" xfId="4493" xr:uid="{C2E6FE31-6A1E-421D-AA5A-FE12CD03B2BA}"/>
    <cellStyle name="Porcentual 2 2 2 6 3" xfId="3349" xr:uid="{866A36FA-36CE-44C0-94A4-0F2299CE9453}"/>
    <cellStyle name="Porcentual 2 2 2 6 3 2" xfId="5275" xr:uid="{DF3CDB44-0F56-4D5D-8BA1-1CEED2CC80A2}"/>
    <cellStyle name="Porcentual 2 2 2 6 4" xfId="2474" xr:uid="{B1243077-6299-40FC-AB1B-4D38EBD52AC7}"/>
    <cellStyle name="Porcentual 2 2 2 6 4 2" xfId="7558" xr:uid="{09F92290-0D59-4031-BEF4-2C97D984A908}"/>
    <cellStyle name="Porcentual 2 2 2 6 5" xfId="4145" xr:uid="{54596945-5220-4020-90AC-4D0E64F8DD9D}"/>
    <cellStyle name="Porcentual 2 2 2 7" xfId="863" xr:uid="{64EB3C81-5C95-48EE-99AB-BE46057949C9}"/>
    <cellStyle name="Porcentual 2 2 2 7 2" xfId="1342" xr:uid="{ECB280C1-9C21-43B2-971C-6474EB0F6BAA}"/>
    <cellStyle name="Porcentual 2 2 2 7 2 2" xfId="3816" xr:uid="{DCF2718E-23E4-4086-96F4-2E22BB388D82}"/>
    <cellStyle name="Porcentual 2 2 2 7 2 2 2" xfId="5678" xr:uid="{8874EEE9-EE0A-44DA-AF94-EB91D9B9674C}"/>
    <cellStyle name="Porcentual 2 2 2 7 2 3" xfId="2877" xr:uid="{F78A620A-73B2-4DCA-B9BF-C7DC3B25CB45}"/>
    <cellStyle name="Porcentual 2 2 2 7 2 4" xfId="4548" xr:uid="{52B39113-464A-4CED-8707-A6FD5649B8D6}"/>
    <cellStyle name="Porcentual 2 2 2 7 3" xfId="3404" xr:uid="{688A44F8-7235-40D5-86F7-FE232A0DA811}"/>
    <cellStyle name="Porcentual 2 2 2 7 3 2" xfId="5330" xr:uid="{E02C4A8A-C11C-46C6-8C98-BD8B5899421E}"/>
    <cellStyle name="Porcentual 2 2 2 7 4" xfId="2529" xr:uid="{0FEECEC2-DF19-427E-A746-FB4FEF2D2E13}"/>
    <cellStyle name="Porcentual 2 2 2 7 4 2" xfId="7559" xr:uid="{E81E00BF-F910-4749-AA35-C26ACEE22EFC}"/>
    <cellStyle name="Porcentual 2 2 2 7 5" xfId="4200" xr:uid="{39B34A30-B8C4-4579-A201-EECC0681CE68}"/>
    <cellStyle name="Porcentual 2 2 2 8" xfId="986" xr:uid="{76B1CCC3-0A9C-4CE4-AFE0-28B0FE02ABBD}"/>
    <cellStyle name="Porcentual 2 2 2 8 2" xfId="3483" xr:uid="{21F880C2-6D96-4C9B-8268-447941AA70FE}"/>
    <cellStyle name="Porcentual 2 2 2 8 2 2" xfId="5372" xr:uid="{979075CD-3C32-4482-8D32-6A207682C936}"/>
    <cellStyle name="Porcentual 2 2 2 8 3" xfId="2571" xr:uid="{7BAB914F-F813-4078-81C3-4F15EB0E9FF0}"/>
    <cellStyle name="Porcentual 2 2 2 8 4" xfId="4242" xr:uid="{C9DC6FD9-3FEC-4DC6-97F1-C8DBC09A2A1A}"/>
    <cellStyle name="Porcentual 2 2 2 9" xfId="1496" xr:uid="{A2F5EA78-BE4D-4832-92BB-D493A74DD281}"/>
    <cellStyle name="Porcentual 2 2 2 9 2" xfId="3115" xr:uid="{3BE5BC6A-6E5B-45B8-91F6-978FE08DA352}"/>
    <cellStyle name="Porcentual 2 2 2 9 2 2" xfId="5769" xr:uid="{7F80C544-C740-43F2-8A36-313234D84313}"/>
    <cellStyle name="Porcentual 2 2 2 9 3" xfId="4630" xr:uid="{D7BF338A-293E-4B61-9881-AC1CD1A53606}"/>
    <cellStyle name="Porcentual 2 2 3" xfId="182" xr:uid="{4915AF92-E089-4D8A-8D66-60A7D33015F2}"/>
    <cellStyle name="Porcentual 2 2 3 10" xfId="546" xr:uid="{7F1ACE46-BB05-4B7A-9F83-D628F187561D}"/>
    <cellStyle name="Porcentual 2 2 3 10 2" xfId="5058" xr:uid="{F9760927-473F-4752-9A85-B6C6C6B43452}"/>
    <cellStyle name="Porcentual 2 2 3 11" xfId="2201" xr:uid="{FA4857E9-0BD5-40EC-BB2C-84E90172F4BD}"/>
    <cellStyle name="Porcentual 2 2 3 11 2" xfId="7560" xr:uid="{03AFFA57-E14D-48D9-BD1B-7DAAC6149877}"/>
    <cellStyle name="Porcentual 2 2 3 12" xfId="2257" xr:uid="{044063B4-6BAE-4063-801A-90C109361344}"/>
    <cellStyle name="Porcentual 2 2 3 13" xfId="3928" xr:uid="{6FA5CD38-5D44-402E-B751-A2B6A68F59E5}"/>
    <cellStyle name="Porcentual 2 2 3 2" xfId="284" xr:uid="{68306D40-4C7F-44E1-8A68-817199ECEC73}"/>
    <cellStyle name="Porcentual 2 2 3 2 2" xfId="1087" xr:uid="{F3B0B0DA-201A-4696-9D7F-BC35D7026FD1}"/>
    <cellStyle name="Porcentual 2 2 3 2 2 2" xfId="3575" xr:uid="{AC541363-E82B-47A6-86F3-16EFBCD422B7}"/>
    <cellStyle name="Porcentual 2 2 3 2 2 2 2" xfId="5460" xr:uid="{2D93732D-665F-4E69-ADEC-5D89E6508EEB}"/>
    <cellStyle name="Porcentual 2 2 3 2 2 3" xfId="2659" xr:uid="{A2C1BC29-32F5-44A5-8E03-0DCF55D11AD6}"/>
    <cellStyle name="Porcentual 2 2 3 2 2 4" xfId="4330" xr:uid="{7E7BC5A4-C5BD-44FE-A96A-663F851B9F46}"/>
    <cellStyle name="Porcentual 2 2 3 2 3" xfId="1598" xr:uid="{D0BA4DB9-7838-455F-B7D6-B3C08B338BDF}"/>
    <cellStyle name="Porcentual 2 2 3 2 3 2" xfId="3186" xr:uid="{D35AC4D8-D93D-4BB2-8AC0-8746AEC82A9F}"/>
    <cellStyle name="Porcentual 2 2 3 2 3 2 2" xfId="5864" xr:uid="{CAB7898A-D879-48BF-BF12-3B501592EDFB}"/>
    <cellStyle name="Porcentual 2 2 3 2 3 3" xfId="4693" xr:uid="{3ED76A8F-A518-4F20-A41A-4B986FB58B83}"/>
    <cellStyle name="Porcentual 2 2 3 2 4" xfId="1900" xr:uid="{CB0DF69F-7490-4049-AA23-CD6D6FCBACDC}"/>
    <cellStyle name="Porcentual 2 2 3 2 4 2" xfId="4879" xr:uid="{991D8E2F-095D-4C78-8B43-4D6BF85E5F2A}"/>
    <cellStyle name="Porcentual 2 2 3 2 5" xfId="609" xr:uid="{E51BEA06-83A4-4C17-988F-C81B9B980DE7}"/>
    <cellStyle name="Porcentual 2 2 3 2 5 2" xfId="5112" xr:uid="{6FE4DF58-516C-47AD-BEF5-8F7777965221}"/>
    <cellStyle name="Porcentual 2 2 3 2 6" xfId="2311" xr:uid="{D5410D2A-A816-4F16-89E6-51C74332F510}"/>
    <cellStyle name="Porcentual 2 2 3 2 6 2" xfId="7561" xr:uid="{5C1BC12D-DEE6-49F4-AD5E-1B7B85D7BD75}"/>
    <cellStyle name="Porcentual 2 2 3 2 7" xfId="3982" xr:uid="{F5CB4C47-6417-44DD-B2D9-1827407D2342}"/>
    <cellStyle name="Porcentual 2 2 3 3" xfId="384" xr:uid="{15CF25A2-8459-4A25-B283-2C5DADBCD2C6}"/>
    <cellStyle name="Porcentual 2 2 3 3 2" xfId="1151" xr:uid="{D24EC8AB-E985-4CFA-8A2C-A602A6772FC2}"/>
    <cellStyle name="Porcentual 2 2 3 3 2 2" xfId="3630" xr:uid="{6722D1A6-AD5F-4A16-9B94-49286426FFE7}"/>
    <cellStyle name="Porcentual 2 2 3 3 2 2 2" xfId="5515" xr:uid="{81E6DF98-A3C2-4315-932D-752E4F5CE6C9}"/>
    <cellStyle name="Porcentual 2 2 3 3 2 3" xfId="2714" xr:uid="{6F3B2D6D-B488-406F-B3FE-DEA35C52AE73}"/>
    <cellStyle name="Porcentual 2 2 3 3 2 4" xfId="4385" xr:uid="{8797ECFE-4A96-4E0E-B068-05384D939906}"/>
    <cellStyle name="Porcentual 2 2 3 3 3" xfId="1697" xr:uid="{2C5BC25A-E797-483F-8F27-EA60322C0D15}"/>
    <cellStyle name="Porcentual 2 2 3 3 3 2" xfId="3241" xr:uid="{24BBC95C-BC49-4B69-B0A7-05DD62BA5BD1}"/>
    <cellStyle name="Porcentual 2 2 3 3 3 2 2" xfId="5941" xr:uid="{3DDD7533-B366-4054-84A9-2F599570EE20}"/>
    <cellStyle name="Porcentual 2 2 3 3 3 3" xfId="4754" xr:uid="{6913C043-F5AF-4BC8-9849-2EC65AACF323}"/>
    <cellStyle name="Porcentual 2 2 3 3 4" xfId="1999" xr:uid="{5AD56240-B9E9-4F63-A853-20FA46D5F73E}"/>
    <cellStyle name="Porcentual 2 2 3 3 4 2" xfId="4940" xr:uid="{42011933-020D-4232-8C65-8C5D201BF1BC}"/>
    <cellStyle name="Porcentual 2 2 3 3 5" xfId="673" xr:uid="{90CC3462-7715-44E8-96C9-E5CAED0C5B5B}"/>
    <cellStyle name="Porcentual 2 2 3 3 5 2" xfId="5167" xr:uid="{5EA52DB4-B40E-4806-B32B-876EBD69B147}"/>
    <cellStyle name="Porcentual 2 2 3 3 6" xfId="2366" xr:uid="{65C219E1-BEB3-47FD-A4F7-6F643CB7BA33}"/>
    <cellStyle name="Porcentual 2 2 3 3 6 2" xfId="7562" xr:uid="{C7202531-959C-4598-B3A0-AA4FBE378D1E}"/>
    <cellStyle name="Porcentual 2 2 3 3 7" xfId="4037" xr:uid="{EF5D1381-6199-47E6-B030-1563793F6BC3}"/>
    <cellStyle name="Porcentual 2 2 3 4" xfId="485" xr:uid="{23959486-1A78-4A98-A66F-532C2F3AAD0F}"/>
    <cellStyle name="Porcentual 2 2 3 4 2" xfId="1215" xr:uid="{DBF8AA06-A3C3-4EA7-B2C2-499848F026DD}"/>
    <cellStyle name="Porcentual 2 2 3 4 2 2" xfId="3691" xr:uid="{E18BB0BC-4295-4D83-B6D4-F32B013A16FC}"/>
    <cellStyle name="Porcentual 2 2 3 4 2 2 2" xfId="5570" xr:uid="{7FC67CB5-9231-4AD4-928F-147784A068AB}"/>
    <cellStyle name="Porcentual 2 2 3 4 2 3" xfId="2769" xr:uid="{0BE03729-43F4-422F-915C-AD88256C1DD9}"/>
    <cellStyle name="Porcentual 2 2 3 4 2 4" xfId="4440" xr:uid="{E1EA2420-7656-410B-A5D0-30D6F92D6845}"/>
    <cellStyle name="Porcentual 2 2 3 4 3" xfId="2100" xr:uid="{DD0EE95C-0910-44E8-BFB5-77AC2F9EFF75}"/>
    <cellStyle name="Porcentual 2 2 3 4 3 2" xfId="3296" xr:uid="{6C051070-34BD-4DC1-8020-D347775657F4}"/>
    <cellStyle name="Porcentual 2 2 3 4 3 3" xfId="5003" xr:uid="{26972BAD-7690-45D6-9942-754DE62AF31D}"/>
    <cellStyle name="Porcentual 2 2 3 4 4" xfId="737" xr:uid="{990D3574-23D8-461A-BA9A-838DB97E54A2}"/>
    <cellStyle name="Porcentual 2 2 3 4 4 2" xfId="5222" xr:uid="{1FB1B97E-44EF-40E0-87AA-40481293C0FD}"/>
    <cellStyle name="Porcentual 2 2 3 4 5" xfId="2421" xr:uid="{A97FE228-CB46-48C7-ADA2-967F219A2DCE}"/>
    <cellStyle name="Porcentual 2 2 3 4 5 2" xfId="7563" xr:uid="{44D59C7C-CC03-4ABD-9E92-04C57AFAB600}"/>
    <cellStyle name="Porcentual 2 2 3 4 6" xfId="4092" xr:uid="{91BE83BC-5EAD-4FB3-BFE9-859FB095B16E}"/>
    <cellStyle name="Porcentual 2 2 3 5" xfId="801" xr:uid="{46B17306-597A-40A8-818B-E1EDEFB0BEDC}"/>
    <cellStyle name="Porcentual 2 2 3 5 2" xfId="1280" xr:uid="{7DA4E2FA-BB62-41B0-AA25-E5E809B30D11}"/>
    <cellStyle name="Porcentual 2 2 3 5 2 2" xfId="3754" xr:uid="{74807B0E-BC8F-409B-8E4B-54B3E81876D3}"/>
    <cellStyle name="Porcentual 2 2 3 5 2 2 2" xfId="5625" xr:uid="{7D23606B-7AF9-4F65-914B-157C86326138}"/>
    <cellStyle name="Porcentual 2 2 3 5 2 3" xfId="2824" xr:uid="{C72F2534-75FA-4601-A7C7-22472F5EDE1D}"/>
    <cellStyle name="Porcentual 2 2 3 5 2 4" xfId="4495" xr:uid="{85846E4F-B624-4735-BFA0-B475CD10F8F6}"/>
    <cellStyle name="Porcentual 2 2 3 5 3" xfId="3351" xr:uid="{E12B501E-3233-458B-A2ED-4D555201D97E}"/>
    <cellStyle name="Porcentual 2 2 3 5 3 2" xfId="5277" xr:uid="{A0369BDB-922A-4A34-A4FE-11411D4E7879}"/>
    <cellStyle name="Porcentual 2 2 3 5 4" xfId="2476" xr:uid="{78672074-8AC1-416E-A76A-ACE0D5DFC0B6}"/>
    <cellStyle name="Porcentual 2 2 3 5 4 2" xfId="7564" xr:uid="{A75A723C-F369-4CF7-85C6-08872FFB9CA4}"/>
    <cellStyle name="Porcentual 2 2 3 5 5" xfId="4147" xr:uid="{E0C2D66F-3B02-4F54-B8E9-9A4F01F8EB13}"/>
    <cellStyle name="Porcentual 2 2 3 6" xfId="865" xr:uid="{B492CD41-C91B-4D3B-AC6D-E17597B94F4C}"/>
    <cellStyle name="Porcentual 2 2 3 6 2" xfId="1344" xr:uid="{42953B60-3EFD-4CB6-BFC7-4CFA0162A87A}"/>
    <cellStyle name="Porcentual 2 2 3 6 2 2" xfId="3818" xr:uid="{05B6F93B-8FEA-4D18-9DC1-E065525A2088}"/>
    <cellStyle name="Porcentual 2 2 3 6 2 2 2" xfId="5680" xr:uid="{37B33544-F08C-451B-B597-9C27FC51B321}"/>
    <cellStyle name="Porcentual 2 2 3 6 2 3" xfId="2879" xr:uid="{8591F714-111E-4378-B5FA-C5ADF50B1B98}"/>
    <cellStyle name="Porcentual 2 2 3 6 2 4" xfId="4550" xr:uid="{6C3D0CB2-1319-4BC2-816A-79410D1C7C95}"/>
    <cellStyle name="Porcentual 2 2 3 6 3" xfId="3406" xr:uid="{F0E0A07D-34AA-49DA-97EB-F4AE3719277A}"/>
    <cellStyle name="Porcentual 2 2 3 6 3 2" xfId="5332" xr:uid="{95822581-89A0-4505-AB30-ADC7B1EB836F}"/>
    <cellStyle name="Porcentual 2 2 3 6 4" xfId="2531" xr:uid="{DE352A2D-6616-4775-A248-388AC1E45491}"/>
    <cellStyle name="Porcentual 2 2 3 6 4 2" xfId="7565" xr:uid="{8A51B3A9-9486-4B15-AED9-AE33484C428E}"/>
    <cellStyle name="Porcentual 2 2 3 6 5" xfId="4202" xr:uid="{B36AC16F-D303-4E96-BC65-4CB9FAF2850D}"/>
    <cellStyle name="Porcentual 2 2 3 7" xfId="1024" xr:uid="{C554D04C-86B4-40C1-A83F-2F36ADEBBDE2}"/>
    <cellStyle name="Porcentual 2 2 3 7 2" xfId="3521" xr:uid="{16CCE559-D7BB-42F4-B350-806BEC91448A}"/>
    <cellStyle name="Porcentual 2 2 3 7 2 2" xfId="5406" xr:uid="{CA08F4CE-3064-4363-AD32-EF6C4FDF128A}"/>
    <cellStyle name="Porcentual 2 2 3 7 3" xfId="2605" xr:uid="{1F58ABC6-4A8A-4872-BE8E-080E85B5D084}"/>
    <cellStyle name="Porcentual 2 2 3 7 4" xfId="4276" xr:uid="{8822175B-DDCA-4629-BA2E-0D0E91D9883C}"/>
    <cellStyle name="Porcentual 2 2 3 8" xfId="1498" xr:uid="{B31C007B-ABD2-43D2-8AA3-3F61C897851E}"/>
    <cellStyle name="Porcentual 2 2 3 8 2" xfId="3070" xr:uid="{0758AF02-A1D9-404D-AB33-8EFAC21B40C9}"/>
    <cellStyle name="Porcentual 2 2 3 8 2 2" xfId="5771" xr:uid="{C90436CC-15D8-47A3-AF37-222EB8D33DAB}"/>
    <cellStyle name="Porcentual 2 2 3 8 3" xfId="4632" xr:uid="{2BC70FC6-A698-4730-BF31-B912744D3519}"/>
    <cellStyle name="Porcentual 2 2 3 9" xfId="1800" xr:uid="{3D215597-44CA-49B1-9355-7133431AE57D}"/>
    <cellStyle name="Porcentual 2 2 3 9 2" xfId="4818" xr:uid="{A1152542-6A9A-49E3-8D15-8A1FBEED9115}"/>
    <cellStyle name="Porcentual 2 2 4" xfId="281" xr:uid="{CAF54DA7-C602-4AAE-96EA-C4474DB7368F}"/>
    <cellStyle name="Porcentual 2 2 4 2" xfId="1084" xr:uid="{BBA9DD67-DDA0-4770-89AC-025517B00AA5}"/>
    <cellStyle name="Porcentual 2 2 4 2 2" xfId="3572" xr:uid="{886A9A65-F07D-4B47-A340-E35856F7F3C3}"/>
    <cellStyle name="Porcentual 2 2 4 2 2 2" xfId="5457" xr:uid="{71D788C5-BD6C-4822-9A2B-997C882EB2C2}"/>
    <cellStyle name="Porcentual 2 2 4 2 3" xfId="2656" xr:uid="{7E91B4DD-F800-4F41-A80F-FDE7D77896F9}"/>
    <cellStyle name="Porcentual 2 2 4 2 4" xfId="4327" xr:uid="{F636FE1C-391D-486C-86B2-DB7954F7E22B}"/>
    <cellStyle name="Porcentual 2 2 4 3" xfId="1595" xr:uid="{809BF6A0-414B-4FAF-9925-448EF8DFF34A}"/>
    <cellStyle name="Porcentual 2 2 4 3 2" xfId="3183" xr:uid="{BD9FA421-37CF-4E8E-9325-CB740C697BE9}"/>
    <cellStyle name="Porcentual 2 2 4 3 2 2" xfId="5861" xr:uid="{CBAE0514-4F81-4CC6-BB08-1428FCFC6F89}"/>
    <cellStyle name="Porcentual 2 2 4 3 3" xfId="4690" xr:uid="{F34F2A04-BC73-4C9B-8DD4-B79F3830B8BA}"/>
    <cellStyle name="Porcentual 2 2 4 4" xfId="1897" xr:uid="{42C086DF-EC95-472F-AF02-CB6ACA1ADA59}"/>
    <cellStyle name="Porcentual 2 2 4 4 2" xfId="4876" xr:uid="{9111CFD6-2F0A-4F73-9CD6-2746052EF165}"/>
    <cellStyle name="Porcentual 2 2 4 5" xfId="606" xr:uid="{BCA33330-5C2C-476F-989A-9B39D594EC77}"/>
    <cellStyle name="Porcentual 2 2 4 5 2" xfId="5109" xr:uid="{5759DB59-830B-4C26-822E-CFFB5B180329}"/>
    <cellStyle name="Porcentual 2 2 4 6" xfId="2308" xr:uid="{99FDCFFD-8D78-49AC-BCCB-B2017A1D1CF1}"/>
    <cellStyle name="Porcentual 2 2 4 6 2" xfId="7566" xr:uid="{D00742EC-ED14-448D-8D1C-FD515B43CE44}"/>
    <cellStyle name="Porcentual 2 2 4 7" xfId="3979" xr:uid="{4F897C24-4FCF-43B0-890F-508B5E5B1308}"/>
    <cellStyle name="Porcentual 2 2 5" xfId="381" xr:uid="{19D7667C-BDE3-4DE1-B381-0344DC5DC3AB}"/>
    <cellStyle name="Porcentual 2 2 5 2" xfId="1148" xr:uid="{2F8124F2-5155-4FCD-946E-10DFB194BF0B}"/>
    <cellStyle name="Porcentual 2 2 5 2 2" xfId="3627" xr:uid="{1032520D-AFF6-47F2-AE50-DC3E18620770}"/>
    <cellStyle name="Porcentual 2 2 5 2 2 2" xfId="5512" xr:uid="{ED45344A-CA54-4B5D-A298-DFFE72F6786A}"/>
    <cellStyle name="Porcentual 2 2 5 2 3" xfId="2711" xr:uid="{C3BA243F-682A-4D2C-8C23-CA3B98620688}"/>
    <cellStyle name="Porcentual 2 2 5 2 4" xfId="4382" xr:uid="{20989BD6-BFAD-4BC8-977A-D275C6CB7D84}"/>
    <cellStyle name="Porcentual 2 2 5 3" xfId="1694" xr:uid="{FC0CBAA0-75CD-4485-AD11-19393E56A37F}"/>
    <cellStyle name="Porcentual 2 2 5 3 2" xfId="3238" xr:uid="{78638443-6C54-4DA9-882C-66DC19A54B8A}"/>
    <cellStyle name="Porcentual 2 2 5 3 2 2" xfId="5938" xr:uid="{BE587DD8-61F7-4E00-989D-6390D54E43A6}"/>
    <cellStyle name="Porcentual 2 2 5 3 3" xfId="4751" xr:uid="{D42A3A91-D94D-4F0A-9FD1-47B40CAF8B1A}"/>
    <cellStyle name="Porcentual 2 2 5 4" xfId="1996" xr:uid="{EE4DCFE8-794F-4076-A88E-96DB1290D745}"/>
    <cellStyle name="Porcentual 2 2 5 4 2" xfId="4937" xr:uid="{DE4B1AC6-E337-4BBA-A3A9-E20FFFB08EE8}"/>
    <cellStyle name="Porcentual 2 2 5 5" xfId="670" xr:uid="{24AB7155-E8DF-4029-A00D-5F6C5B7CD2A8}"/>
    <cellStyle name="Porcentual 2 2 5 5 2" xfId="5164" xr:uid="{6882D5FF-18EF-416E-9D2B-413B9B4105D0}"/>
    <cellStyle name="Porcentual 2 2 5 6" xfId="2363" xr:uid="{DACB0C26-D94E-4EA1-80A8-0B210BDA7B1E}"/>
    <cellStyle name="Porcentual 2 2 5 6 2" xfId="7567" xr:uid="{F3BF58AD-BF22-4FF7-B6F1-092B3E45BE64}"/>
    <cellStyle name="Porcentual 2 2 5 7" xfId="4034" xr:uid="{8466209E-5884-479C-8EA0-5E8682D29A56}"/>
    <cellStyle name="Porcentual 2 2 6" xfId="482" xr:uid="{77B2D5B1-AEE3-4E88-BFC8-75AAC3D2A612}"/>
    <cellStyle name="Porcentual 2 2 6 2" xfId="1212" xr:uid="{5EA2DDA4-90EC-402F-AEC0-B7A8E658DB9D}"/>
    <cellStyle name="Porcentual 2 2 6 2 2" xfId="3688" xr:uid="{02CD88AA-667F-4FC4-806B-0D61A2E1ADF4}"/>
    <cellStyle name="Porcentual 2 2 6 2 2 2" xfId="5567" xr:uid="{34837E03-69D3-4EF0-A629-3D575D4C8C67}"/>
    <cellStyle name="Porcentual 2 2 6 2 3" xfId="2766" xr:uid="{E7F4E847-7F67-41B3-80E8-0CA2B73E8555}"/>
    <cellStyle name="Porcentual 2 2 6 2 4" xfId="4437" xr:uid="{C776A3FD-8612-45B8-8289-852676E36EE3}"/>
    <cellStyle name="Porcentual 2 2 6 3" xfId="2097" xr:uid="{A7EB4171-9856-4DA1-9EA4-74780C719F43}"/>
    <cellStyle name="Porcentual 2 2 6 3 2" xfId="3293" xr:uid="{1E23EE19-AEB3-4BE7-9878-220BC82A6E92}"/>
    <cellStyle name="Porcentual 2 2 6 3 3" xfId="5000" xr:uid="{2CDC481B-5E27-4A94-964A-806429E25DE2}"/>
    <cellStyle name="Porcentual 2 2 6 4" xfId="734" xr:uid="{B62F2B89-8AB4-44EF-9446-26EDCA73E56E}"/>
    <cellStyle name="Porcentual 2 2 6 4 2" xfId="5219" xr:uid="{D385B891-0F03-4CC5-8CB0-91C4AA90235F}"/>
    <cellStyle name="Porcentual 2 2 6 5" xfId="2418" xr:uid="{2524C36D-B461-4CAE-8F75-914DE4DF0622}"/>
    <cellStyle name="Porcentual 2 2 6 5 2" xfId="7568" xr:uid="{282149F8-5834-44B9-8A8A-06B006D9D7CA}"/>
    <cellStyle name="Porcentual 2 2 6 6" xfId="4089" xr:uid="{28D8AA79-E542-4B92-9EF0-074B0A52C90F}"/>
    <cellStyle name="Porcentual 2 2 7" xfId="798" xr:uid="{BCCBFF1D-9333-459F-A8B2-8B5396501749}"/>
    <cellStyle name="Porcentual 2 2 7 2" xfId="1277" xr:uid="{13ADED76-111D-4B89-944B-B95039B31B89}"/>
    <cellStyle name="Porcentual 2 2 7 2 2" xfId="3751" xr:uid="{9A49AA40-E461-4457-ACE3-E306C2AE8B26}"/>
    <cellStyle name="Porcentual 2 2 7 2 2 2" xfId="5622" xr:uid="{66257C4C-FE42-46C3-AF34-5C0CB4B6FDF6}"/>
    <cellStyle name="Porcentual 2 2 7 2 3" xfId="2821" xr:uid="{0E6892FB-27F9-4286-8700-A63EF5D0488D}"/>
    <cellStyle name="Porcentual 2 2 7 2 4" xfId="4492" xr:uid="{8C3F45B4-4A15-448B-97DD-90EC02552125}"/>
    <cellStyle name="Porcentual 2 2 7 3" xfId="3348" xr:uid="{79547D54-BC90-4141-9BF9-46B0BE3A6A50}"/>
    <cellStyle name="Porcentual 2 2 7 3 2" xfId="5274" xr:uid="{835788E0-65D4-49FC-8104-43A265DB9475}"/>
    <cellStyle name="Porcentual 2 2 7 4" xfId="2473" xr:uid="{7B319DE0-2BC7-4100-822B-7D6334686C6E}"/>
    <cellStyle name="Porcentual 2 2 7 4 2" xfId="7569" xr:uid="{EA6388E7-51FB-4BB9-850F-D24C6F690B8B}"/>
    <cellStyle name="Porcentual 2 2 7 5" xfId="4144" xr:uid="{17A1F307-A1D1-4EA3-9784-0080FE8C3995}"/>
    <cellStyle name="Porcentual 2 2 8" xfId="862" xr:uid="{0C38E69F-F8CD-48CD-9E48-CE8B605E4CA7}"/>
    <cellStyle name="Porcentual 2 2 8 2" xfId="1341" xr:uid="{32E09B7D-7689-44C3-866D-B93D6A029B10}"/>
    <cellStyle name="Porcentual 2 2 8 2 2" xfId="3815" xr:uid="{84105AC8-F887-4EC2-AF36-A3FC77FC018E}"/>
    <cellStyle name="Porcentual 2 2 8 2 2 2" xfId="5677" xr:uid="{C4ADD22C-FA0D-4C47-8C1D-87E10AA46D2F}"/>
    <cellStyle name="Porcentual 2 2 8 2 3" xfId="2876" xr:uid="{DABF007C-73FA-419C-B790-601F08FCD3DD}"/>
    <cellStyle name="Porcentual 2 2 8 2 4" xfId="4547" xr:uid="{77EA3F5B-98E1-4BA1-B397-8D14D82B6284}"/>
    <cellStyle name="Porcentual 2 2 8 3" xfId="3403" xr:uid="{0F8E5545-D076-47C6-B085-5F92970A39D2}"/>
    <cellStyle name="Porcentual 2 2 8 3 2" xfId="5329" xr:uid="{6B7DB266-10F7-4D26-B2E4-884149C412F3}"/>
    <cellStyle name="Porcentual 2 2 8 4" xfId="2528" xr:uid="{DECB9ECF-2EC6-4DF5-A9F0-FAABDE461009}"/>
    <cellStyle name="Porcentual 2 2 8 4 2" xfId="7570" xr:uid="{D16B03DE-4981-44A4-A6B5-78FE4241010A}"/>
    <cellStyle name="Porcentual 2 2 8 5" xfId="4199" xr:uid="{06EA6451-CC9C-43D2-9923-8E7B57CE335C}"/>
    <cellStyle name="Porcentual 2 2 9" xfId="937" xr:uid="{F9CEC88B-DD75-4FC2-A75F-44EACBA1C56C}"/>
    <cellStyle name="Porcentual 2 3" xfId="183" xr:uid="{4A1116F8-63EA-440E-A6C4-FA5B5ADBCDCB}"/>
    <cellStyle name="Porcentual 2 3 10" xfId="1801" xr:uid="{576A3A79-B8B4-4254-8494-DA1E2279E083}"/>
    <cellStyle name="Porcentual 2 3 10 2" xfId="4819" xr:uid="{AD205E8B-0093-42CB-8C63-65BD7EC6A0EB}"/>
    <cellStyle name="Porcentual 2 3 11" xfId="507" xr:uid="{22C1D2C0-CB88-4D7F-9FEC-D67942FFC653}"/>
    <cellStyle name="Porcentual 2 3 11 2" xfId="5023" xr:uid="{3065E01B-4FEB-446F-82C4-9647DC270036}"/>
    <cellStyle name="Porcentual 2 3 12" xfId="2202" xr:uid="{18B650B9-54FC-4ECD-9481-10C4E159BF2A}"/>
    <cellStyle name="Porcentual 2 3 12 2" xfId="7571" xr:uid="{C9FA27EE-D64B-4160-9DD1-EB56E1ECB64C}"/>
    <cellStyle name="Porcentual 2 3 13" xfId="2222" xr:uid="{CD3843EB-D04D-4895-A565-8361471FDC35}"/>
    <cellStyle name="Porcentual 2 3 14" xfId="3893" xr:uid="{FAF43AAD-9176-4AE3-AB7A-9AA13484CAFF}"/>
    <cellStyle name="Porcentual 2 3 2" xfId="184" xr:uid="{6C89B8BA-C7FE-4BD1-885D-FF7D2FC5842F}"/>
    <cellStyle name="Porcentual 2 3 2 10" xfId="548" xr:uid="{E93E2C60-E40E-4283-AA3B-1ECFF6FB4EDE}"/>
    <cellStyle name="Porcentual 2 3 2 10 2" xfId="5060" xr:uid="{A4DFE833-F50D-4DFD-81B9-F619D3E8B4C3}"/>
    <cellStyle name="Porcentual 2 3 2 11" xfId="2203" xr:uid="{9CAF9E77-AC23-4160-9A36-0D37D502DA74}"/>
    <cellStyle name="Porcentual 2 3 2 11 2" xfId="7572" xr:uid="{47186D4C-8E41-490C-96A9-A2117CADA7F3}"/>
    <cellStyle name="Porcentual 2 3 2 12" xfId="2259" xr:uid="{6A613B38-DC82-4488-A6B1-D14636A43953}"/>
    <cellStyle name="Porcentual 2 3 2 13" xfId="3930" xr:uid="{133B8DB8-E9CD-400F-B682-1C3D85E52022}"/>
    <cellStyle name="Porcentual 2 3 2 2" xfId="286" xr:uid="{2B17CF46-9481-49E1-A473-B6D6C465BEF0}"/>
    <cellStyle name="Porcentual 2 3 2 2 2" xfId="1089" xr:uid="{AAF1B02C-954B-404E-BC51-6BED791069AA}"/>
    <cellStyle name="Porcentual 2 3 2 2 2 2" xfId="3577" xr:uid="{F7104782-184A-4959-B4FC-BCCFAA05364E}"/>
    <cellStyle name="Porcentual 2 3 2 2 2 2 2" xfId="5462" xr:uid="{3A1D84DF-8900-4346-8A55-C06F34CA6CD2}"/>
    <cellStyle name="Porcentual 2 3 2 2 2 3" xfId="2661" xr:uid="{C64BFC4C-01B0-4338-959C-EE5C0D371AF8}"/>
    <cellStyle name="Porcentual 2 3 2 2 2 4" xfId="4332" xr:uid="{00E302CC-ACF5-4016-B79E-57ED44EF6CA1}"/>
    <cellStyle name="Porcentual 2 3 2 2 3" xfId="1600" xr:uid="{08CE857B-D675-4BC8-832A-0C0E791CA33E}"/>
    <cellStyle name="Porcentual 2 3 2 2 3 2" xfId="3188" xr:uid="{B5252978-E027-4E2A-AC57-C54562363D64}"/>
    <cellStyle name="Porcentual 2 3 2 2 3 2 2" xfId="5866" xr:uid="{98516038-E768-4F8A-92A4-6E7F3A4686FC}"/>
    <cellStyle name="Porcentual 2 3 2 2 3 3" xfId="4695" xr:uid="{AC4888B6-9091-46B5-BD6F-DF333AFF81B9}"/>
    <cellStyle name="Porcentual 2 3 2 2 4" xfId="1902" xr:uid="{F99F03AB-FB5A-4457-94DE-B6C842062850}"/>
    <cellStyle name="Porcentual 2 3 2 2 4 2" xfId="4881" xr:uid="{DA560999-5F6C-4BDE-8D81-9261459B6E26}"/>
    <cellStyle name="Porcentual 2 3 2 2 5" xfId="611" xr:uid="{0B20DBE2-AC42-498E-8067-C924FF5D2506}"/>
    <cellStyle name="Porcentual 2 3 2 2 5 2" xfId="5114" xr:uid="{761CA5C7-D675-48AC-9382-ACA5688F12C0}"/>
    <cellStyle name="Porcentual 2 3 2 2 6" xfId="2313" xr:uid="{575F1C1A-04F6-42C1-B603-743D945947AC}"/>
    <cellStyle name="Porcentual 2 3 2 2 6 2" xfId="7573" xr:uid="{FEE2E1AC-EDD5-4F8C-A59B-FBEC22BCE777}"/>
    <cellStyle name="Porcentual 2 3 2 2 7" xfId="3984" xr:uid="{163167F3-C97A-4CA6-9DB0-522FEFAFE7CD}"/>
    <cellStyle name="Porcentual 2 3 2 3" xfId="386" xr:uid="{F4390460-ACE9-4BE1-9867-456D4E80B07D}"/>
    <cellStyle name="Porcentual 2 3 2 3 2" xfId="1153" xr:uid="{40FBBABE-F5F4-4BA2-A281-49FE9D3D8F22}"/>
    <cellStyle name="Porcentual 2 3 2 3 2 2" xfId="3632" xr:uid="{CC84075F-309E-48BC-82B1-63CB3A2F4A03}"/>
    <cellStyle name="Porcentual 2 3 2 3 2 2 2" xfId="5517" xr:uid="{536AD597-FB7A-45E2-8C09-FAD6CF9D89FA}"/>
    <cellStyle name="Porcentual 2 3 2 3 2 3" xfId="2716" xr:uid="{7A953324-6B9A-467C-9748-638BE9378948}"/>
    <cellStyle name="Porcentual 2 3 2 3 2 4" xfId="4387" xr:uid="{980C60F0-5324-477F-B7C4-0EF7EBA3F612}"/>
    <cellStyle name="Porcentual 2 3 2 3 3" xfId="1699" xr:uid="{6FCCD5F9-6D35-40E5-B80C-C4A36914F53D}"/>
    <cellStyle name="Porcentual 2 3 2 3 3 2" xfId="3243" xr:uid="{59BF01DF-5FD9-4642-AC22-884FDA2F1895}"/>
    <cellStyle name="Porcentual 2 3 2 3 3 2 2" xfId="5943" xr:uid="{D5203555-88B8-4FD1-8662-2B5E113EC74E}"/>
    <cellStyle name="Porcentual 2 3 2 3 3 3" xfId="4756" xr:uid="{75733669-3A9D-4809-B84D-22864E9D752A}"/>
    <cellStyle name="Porcentual 2 3 2 3 4" xfId="2001" xr:uid="{4D0FCB03-5E10-424C-A618-8F3BA5C404E8}"/>
    <cellStyle name="Porcentual 2 3 2 3 4 2" xfId="4942" xr:uid="{D8C39EB0-E07E-41A1-8C25-31D1AB6DF9FC}"/>
    <cellStyle name="Porcentual 2 3 2 3 5" xfId="675" xr:uid="{59C09B14-B8B2-45E7-9859-C361E0D956C2}"/>
    <cellStyle name="Porcentual 2 3 2 3 5 2" xfId="5169" xr:uid="{558A97A2-7CFA-44D4-BAF7-6CAA5FB32214}"/>
    <cellStyle name="Porcentual 2 3 2 3 6" xfId="2368" xr:uid="{0D37B6A6-EEF6-41FB-B8BE-B84864DFEBFD}"/>
    <cellStyle name="Porcentual 2 3 2 3 6 2" xfId="7574" xr:uid="{E7DA02CF-0A9A-4DE2-96CF-779623F1540C}"/>
    <cellStyle name="Porcentual 2 3 2 3 7" xfId="4039" xr:uid="{8B28436C-BC95-4E4F-99A0-EE87908A88AD}"/>
    <cellStyle name="Porcentual 2 3 2 4" xfId="487" xr:uid="{08D2BD2F-0DFA-486E-A2F5-7794D636B6C7}"/>
    <cellStyle name="Porcentual 2 3 2 4 2" xfId="1217" xr:uid="{009C4285-2F32-4EB9-8F35-46D5C93DA996}"/>
    <cellStyle name="Porcentual 2 3 2 4 2 2" xfId="3693" xr:uid="{B0E815DC-FA83-4A99-BF24-59831DB43D6C}"/>
    <cellStyle name="Porcentual 2 3 2 4 2 2 2" xfId="5572" xr:uid="{1A37FD66-2F47-4591-A9F2-BAAF8C3E6150}"/>
    <cellStyle name="Porcentual 2 3 2 4 2 3" xfId="2771" xr:uid="{9463B3F9-797B-4CDA-9C7D-5DEEF42C51F6}"/>
    <cellStyle name="Porcentual 2 3 2 4 2 4" xfId="4442" xr:uid="{ABEBFC10-F793-4FD1-9F23-76CC5164BF37}"/>
    <cellStyle name="Porcentual 2 3 2 4 3" xfId="2102" xr:uid="{F57AB3F0-087B-43A6-9A1D-0B54200BDFF8}"/>
    <cellStyle name="Porcentual 2 3 2 4 3 2" xfId="3298" xr:uid="{91EB200A-4564-4B13-BD8F-3B16FE6A4C34}"/>
    <cellStyle name="Porcentual 2 3 2 4 3 3" xfId="5005" xr:uid="{22913B7B-EC56-4077-88B3-260BE68A8807}"/>
    <cellStyle name="Porcentual 2 3 2 4 4" xfId="739" xr:uid="{C2CEB5EC-7672-4251-97EC-380DEAAD0952}"/>
    <cellStyle name="Porcentual 2 3 2 4 4 2" xfId="5224" xr:uid="{3A52794C-1C40-4B0A-A295-F99084F35F1D}"/>
    <cellStyle name="Porcentual 2 3 2 4 5" xfId="2423" xr:uid="{750B007D-FB61-43DB-85A0-A46249E5DFBA}"/>
    <cellStyle name="Porcentual 2 3 2 4 5 2" xfId="7575" xr:uid="{FFC90C5E-B359-433B-A35A-DC551F398B49}"/>
    <cellStyle name="Porcentual 2 3 2 4 6" xfId="4094" xr:uid="{962576B3-E4AC-46C6-BB46-ACED9F19B7D4}"/>
    <cellStyle name="Porcentual 2 3 2 5" xfId="803" xr:uid="{12EAE641-C98F-4AC6-AF5B-9D75808974E0}"/>
    <cellStyle name="Porcentual 2 3 2 5 2" xfId="1282" xr:uid="{0A84F443-8826-44A5-9258-3104B880F04F}"/>
    <cellStyle name="Porcentual 2 3 2 5 2 2" xfId="3756" xr:uid="{A3A76F44-2C93-4D3A-AD4D-8FD9C7CAEB25}"/>
    <cellStyle name="Porcentual 2 3 2 5 2 2 2" xfId="5627" xr:uid="{42C81D94-B34C-4557-82C3-D09E83194643}"/>
    <cellStyle name="Porcentual 2 3 2 5 2 3" xfId="2826" xr:uid="{0F45F8F6-2C75-4746-B290-386CEE7BD7DC}"/>
    <cellStyle name="Porcentual 2 3 2 5 2 4" xfId="4497" xr:uid="{27F58F55-A3BD-4A04-8DF8-7F1DE1366FB1}"/>
    <cellStyle name="Porcentual 2 3 2 5 3" xfId="3353" xr:uid="{B99B523F-4EAD-4B49-BDA6-8DDD2CBF5191}"/>
    <cellStyle name="Porcentual 2 3 2 5 3 2" xfId="5279" xr:uid="{902E2195-AD7E-45C5-8186-281FCA86F969}"/>
    <cellStyle name="Porcentual 2 3 2 5 4" xfId="2478" xr:uid="{4335C710-2D7E-4284-A171-F822114E5637}"/>
    <cellStyle name="Porcentual 2 3 2 5 4 2" xfId="7576" xr:uid="{ED636B5D-E180-4164-A1DA-F9D63C94289E}"/>
    <cellStyle name="Porcentual 2 3 2 5 5" xfId="4149" xr:uid="{16F88A33-C285-4309-9322-5AA9B9C0A765}"/>
    <cellStyle name="Porcentual 2 3 2 6" xfId="867" xr:uid="{93B09DFC-95DF-42BF-9FE6-3A40EF621B9E}"/>
    <cellStyle name="Porcentual 2 3 2 6 2" xfId="1346" xr:uid="{1197E47D-0925-4FAE-8383-A16A739A59A8}"/>
    <cellStyle name="Porcentual 2 3 2 6 2 2" xfId="3820" xr:uid="{199661C1-DFAD-4760-B9A1-8708ECB8F1ED}"/>
    <cellStyle name="Porcentual 2 3 2 6 2 2 2" xfId="5682" xr:uid="{4D57DEC6-C410-4208-817C-C877850C0BD6}"/>
    <cellStyle name="Porcentual 2 3 2 6 2 3" xfId="2881" xr:uid="{4C7FF7AE-C2F5-4DEB-96F7-4C67BE8928D5}"/>
    <cellStyle name="Porcentual 2 3 2 6 2 4" xfId="4552" xr:uid="{F28458F9-A88C-4206-A48D-C5C1759FE7BC}"/>
    <cellStyle name="Porcentual 2 3 2 6 3" xfId="3408" xr:uid="{8EE04AC3-70F3-4372-B60F-4DD9110D907B}"/>
    <cellStyle name="Porcentual 2 3 2 6 3 2" xfId="5334" xr:uid="{F17E5BAD-CACD-4C50-85D4-4D701E285392}"/>
    <cellStyle name="Porcentual 2 3 2 6 4" xfId="2533" xr:uid="{FBAF4CFD-141D-470E-A437-EDE25EC6AA21}"/>
    <cellStyle name="Porcentual 2 3 2 6 4 2" xfId="7577" xr:uid="{506FFEF0-3598-415A-939D-DF2A86ADC902}"/>
    <cellStyle name="Porcentual 2 3 2 6 5" xfId="4204" xr:uid="{83110614-D9A1-4030-8E44-4B879914326F}"/>
    <cellStyle name="Porcentual 2 3 2 7" xfId="1026" xr:uid="{2956C72D-FB9D-46E3-9306-15CB7ECBA75D}"/>
    <cellStyle name="Porcentual 2 3 2 7 2" xfId="3523" xr:uid="{5F3831E5-0F66-4048-8CA7-560553B40E12}"/>
    <cellStyle name="Porcentual 2 3 2 7 2 2" xfId="5408" xr:uid="{C9902DE6-9388-4519-92A0-B0C84F34D60C}"/>
    <cellStyle name="Porcentual 2 3 2 7 3" xfId="2607" xr:uid="{EE8EF3F4-7357-4A35-B464-F20C41E47D48}"/>
    <cellStyle name="Porcentual 2 3 2 7 4" xfId="4278" xr:uid="{98D9FFE2-59CE-4F3D-9AA3-3998415D323D}"/>
    <cellStyle name="Porcentual 2 3 2 8" xfId="1500" xr:uid="{D8EB25AC-DF38-4919-9E2E-043CB23328C3}"/>
    <cellStyle name="Porcentual 2 3 2 8 2" xfId="3126" xr:uid="{D49399D4-CBED-4C1D-AB78-018B4571EC53}"/>
    <cellStyle name="Porcentual 2 3 2 8 2 2" xfId="5773" xr:uid="{90FE3BB8-4497-42C4-B162-B13266DEF033}"/>
    <cellStyle name="Porcentual 2 3 2 8 3" xfId="4634" xr:uid="{CE0A1AE5-1D08-4DAE-80DE-FCB4DAED252B}"/>
    <cellStyle name="Porcentual 2 3 2 9" xfId="1802" xr:uid="{17D8BF3E-246C-4503-AC81-5AD0493FFA3D}"/>
    <cellStyle name="Porcentual 2 3 2 9 2" xfId="4820" xr:uid="{8371A4E0-EE1A-431D-BCAA-D1BC9D2B59A0}"/>
    <cellStyle name="Porcentual 2 3 3" xfId="285" xr:uid="{0D80F3A9-DD9C-42C1-98C7-6F4678F572D8}"/>
    <cellStyle name="Porcentual 2 3 3 2" xfId="1088" xr:uid="{A4B3D839-329B-4AF5-9FD3-EB6C2738CD14}"/>
    <cellStyle name="Porcentual 2 3 3 2 2" xfId="3576" xr:uid="{4FC2B616-10D7-4691-AEA3-F0228D9A4875}"/>
    <cellStyle name="Porcentual 2 3 3 2 2 2" xfId="5461" xr:uid="{FD98D93B-3580-4DFD-A979-005B5CE26E4D}"/>
    <cellStyle name="Porcentual 2 3 3 2 3" xfId="2660" xr:uid="{57958AD2-9EF5-482E-B8E4-C80B0A721C04}"/>
    <cellStyle name="Porcentual 2 3 3 2 4" xfId="4331" xr:uid="{35ED1E78-694D-4090-9BC3-E990958A8181}"/>
    <cellStyle name="Porcentual 2 3 3 3" xfId="1599" xr:uid="{74360842-EDA9-4191-82EB-A91D73213973}"/>
    <cellStyle name="Porcentual 2 3 3 3 2" xfId="3187" xr:uid="{AA15A3D9-EB59-4337-A52B-ECB73B2C0166}"/>
    <cellStyle name="Porcentual 2 3 3 3 2 2" xfId="5865" xr:uid="{8BDD123E-D100-450C-B92B-81933D573B8D}"/>
    <cellStyle name="Porcentual 2 3 3 3 3" xfId="4694" xr:uid="{114AFD29-2E67-4B5E-B2C1-908B5D7F5DE9}"/>
    <cellStyle name="Porcentual 2 3 3 4" xfId="1901" xr:uid="{E09D6CE7-4631-4611-ABDA-DE8CEB8493E9}"/>
    <cellStyle name="Porcentual 2 3 3 4 2" xfId="4880" xr:uid="{62D2ED0B-066A-4D7C-8D73-DA78C459E149}"/>
    <cellStyle name="Porcentual 2 3 3 5" xfId="610" xr:uid="{A8AB9EF1-FDF0-4F6E-B8A9-C879E57749CA}"/>
    <cellStyle name="Porcentual 2 3 3 5 2" xfId="5113" xr:uid="{AF7B7915-209E-420D-A8DA-C6A47F40D5B2}"/>
    <cellStyle name="Porcentual 2 3 3 6" xfId="2312" xr:uid="{329F7A0A-A680-4301-821B-CD3BA789AED4}"/>
    <cellStyle name="Porcentual 2 3 3 6 2" xfId="7578" xr:uid="{F6F38CF6-4C4F-4C67-8411-695F277ADC38}"/>
    <cellStyle name="Porcentual 2 3 3 7" xfId="3983" xr:uid="{38C1FFF3-4099-4C9C-ADA3-038D3934C883}"/>
    <cellStyle name="Porcentual 2 3 4" xfId="385" xr:uid="{B5261F9A-9538-4EB6-9D89-CDE022E7298E}"/>
    <cellStyle name="Porcentual 2 3 4 2" xfId="1152" xr:uid="{8593DF48-7525-48BD-8699-80730FB619B1}"/>
    <cellStyle name="Porcentual 2 3 4 2 2" xfId="3631" xr:uid="{A59604A5-5AE7-449D-9E3F-7D1655E2C385}"/>
    <cellStyle name="Porcentual 2 3 4 2 2 2" xfId="5516" xr:uid="{FBD77CA5-F718-4EC6-BABA-DE699F5B6436}"/>
    <cellStyle name="Porcentual 2 3 4 2 3" xfId="2715" xr:uid="{713303EE-E669-4FBB-9483-1D895121ADD2}"/>
    <cellStyle name="Porcentual 2 3 4 2 3 2" xfId="7580" xr:uid="{F2BC57C6-2615-416F-94D7-3242FD64B92D}"/>
    <cellStyle name="Porcentual 2 3 4 2 4" xfId="4386" xr:uid="{FB30D48B-F3B2-4782-843D-5242511FC2C2}"/>
    <cellStyle name="Porcentual 2 3 4 3" xfId="1698" xr:uid="{2FDC6E5D-5F1A-4542-8249-B4D4EA6ACD45}"/>
    <cellStyle name="Porcentual 2 3 4 3 2" xfId="3242" xr:uid="{32577B4C-A435-4799-B5F0-7C39869EC912}"/>
    <cellStyle name="Porcentual 2 3 4 3 2 2" xfId="5942" xr:uid="{E39C98AF-1F97-4F06-BE27-49D7A5DA9CF0}"/>
    <cellStyle name="Porcentual 2 3 4 3 3" xfId="4755" xr:uid="{63FA94B3-DC81-434B-A237-F7385B1CD5FF}"/>
    <cellStyle name="Porcentual 2 3 4 4" xfId="2000" xr:uid="{2865E77A-8CB6-4B82-A25C-FDB3E9367CC5}"/>
    <cellStyle name="Porcentual 2 3 4 4 2" xfId="4941" xr:uid="{8BB16A97-C624-4C32-9218-255753966F45}"/>
    <cellStyle name="Porcentual 2 3 4 5" xfId="674" xr:uid="{215D63D0-966D-4341-896F-9AD1D89F8C80}"/>
    <cellStyle name="Porcentual 2 3 4 5 2" xfId="5168" xr:uid="{E77742E3-00DF-4125-9135-F8BF403FA1DA}"/>
    <cellStyle name="Porcentual 2 3 4 6" xfId="2367" xr:uid="{9D2218E0-EA23-4C46-8EBD-5BB46BF18527}"/>
    <cellStyle name="Porcentual 2 3 4 6 2" xfId="7579" xr:uid="{E36F5943-8642-4B7C-8E71-558521D467FA}"/>
    <cellStyle name="Porcentual 2 3 4 7" xfId="4038" xr:uid="{9FB59BDB-E8DB-48D4-A19C-44B1BF2611E0}"/>
    <cellStyle name="Porcentual 2 3 5" xfId="486" xr:uid="{6339CA01-E99A-422B-8E24-B2FC3FF85C11}"/>
    <cellStyle name="Porcentual 2 3 5 2" xfId="1216" xr:uid="{A30D0749-2FAC-4510-A8D9-CEAFD667256D}"/>
    <cellStyle name="Porcentual 2 3 5 2 2" xfId="3692" xr:uid="{7CBF6157-67BE-4196-9859-376B3E1D70A8}"/>
    <cellStyle name="Porcentual 2 3 5 2 2 2" xfId="5571" xr:uid="{7DC21CC9-92D7-461A-A7A3-66351C606C3D}"/>
    <cellStyle name="Porcentual 2 3 5 2 3" xfId="2770" xr:uid="{13822208-E687-442B-A113-C8922B5DAA09}"/>
    <cellStyle name="Porcentual 2 3 5 2 4" xfId="4441" xr:uid="{CA2B39F1-5732-4D92-97B0-AADEE9C0A2BD}"/>
    <cellStyle name="Porcentual 2 3 5 3" xfId="2101" xr:uid="{1D8E81E6-A73C-44AF-B58F-9EE79E1FC681}"/>
    <cellStyle name="Porcentual 2 3 5 3 2" xfId="3297" xr:uid="{F41EC7EF-8DFB-477C-AE5B-21B2751FDA21}"/>
    <cellStyle name="Porcentual 2 3 5 3 3" xfId="5004" xr:uid="{DBBA6ABB-A2E8-47F7-8176-2997BC62C8AB}"/>
    <cellStyle name="Porcentual 2 3 5 4" xfId="738" xr:uid="{23044A09-0277-46FC-875A-294F0EC29616}"/>
    <cellStyle name="Porcentual 2 3 5 4 2" xfId="5223" xr:uid="{A0427114-F8EB-435E-A828-AE8E3BF1FBB8}"/>
    <cellStyle name="Porcentual 2 3 5 5" xfId="2422" xr:uid="{5EC32205-7193-4A37-A371-67EAC13C4B75}"/>
    <cellStyle name="Porcentual 2 3 5 5 2" xfId="7581" xr:uid="{B4151291-0E7D-4B24-8C96-4519271E24CB}"/>
    <cellStyle name="Porcentual 2 3 5 6" xfId="4093" xr:uid="{38C8B7E7-9D4B-44F3-8F57-E183E7DA3BE2}"/>
    <cellStyle name="Porcentual 2 3 6" xfId="802" xr:uid="{8477F364-13E0-4680-9339-BC4C6761B1EB}"/>
    <cellStyle name="Porcentual 2 3 6 2" xfId="1281" xr:uid="{753F1C5F-0829-43B7-BD7C-78EB594DDBA2}"/>
    <cellStyle name="Porcentual 2 3 6 2 2" xfId="3755" xr:uid="{9D9803F5-1E58-4264-B147-EC2BAA1F7BCE}"/>
    <cellStyle name="Porcentual 2 3 6 2 2 2" xfId="5626" xr:uid="{EF49E5BF-0891-43C7-8719-4C1E1D0FC9EC}"/>
    <cellStyle name="Porcentual 2 3 6 2 3" xfId="2825" xr:uid="{2ED8736C-63CD-4061-863A-5F350C88BC3C}"/>
    <cellStyle name="Porcentual 2 3 6 2 4" xfId="4496" xr:uid="{11474F09-17C4-41BF-B6C0-3E4C2E2AB3E5}"/>
    <cellStyle name="Porcentual 2 3 6 3" xfId="3352" xr:uid="{F89ADC4E-AC22-4B00-848E-4D2EB1D0D431}"/>
    <cellStyle name="Porcentual 2 3 6 3 2" xfId="5278" xr:uid="{6963B2CA-9613-45ED-BAB6-A2BE9487D44E}"/>
    <cellStyle name="Porcentual 2 3 6 4" xfId="2477" xr:uid="{A47EF72C-B750-4CF3-B13C-5A58508708E1}"/>
    <cellStyle name="Porcentual 2 3 6 4 2" xfId="7582" xr:uid="{27A64ED8-3938-481D-8CCC-E3E3DFBA673D}"/>
    <cellStyle name="Porcentual 2 3 6 5" xfId="4148" xr:uid="{E1AE3D62-F0A7-40F6-97CE-CAE74C22DE3C}"/>
    <cellStyle name="Porcentual 2 3 7" xfId="866" xr:uid="{7ADA9F8C-75E7-4606-9708-CDBE9DED96A7}"/>
    <cellStyle name="Porcentual 2 3 7 2" xfId="1345" xr:uid="{75BB05BF-64AB-4730-98DF-853CE244F925}"/>
    <cellStyle name="Porcentual 2 3 7 2 2" xfId="3819" xr:uid="{D65CB128-8B51-4DC2-92B0-DAD8FDC16183}"/>
    <cellStyle name="Porcentual 2 3 7 2 2 2" xfId="5681" xr:uid="{99563044-9EFE-4D61-BFCC-44F839D3BC94}"/>
    <cellStyle name="Porcentual 2 3 7 2 3" xfId="2880" xr:uid="{5AEAB53E-2E9C-4468-8317-74AD85189932}"/>
    <cellStyle name="Porcentual 2 3 7 2 4" xfId="4551" xr:uid="{C5048EFB-19B5-4334-92FD-0230A30FA804}"/>
    <cellStyle name="Porcentual 2 3 7 3" xfId="3407" xr:uid="{74F31F3D-1936-4F76-B55D-C5513D1416AA}"/>
    <cellStyle name="Porcentual 2 3 7 3 2" xfId="5333" xr:uid="{72B56C52-635F-4BD0-864B-0C2A223100F5}"/>
    <cellStyle name="Porcentual 2 3 7 4" xfId="2532" xr:uid="{DBEAC906-8111-4A46-ABD1-4F7F817A7318}"/>
    <cellStyle name="Porcentual 2 3 7 4 2" xfId="7583" xr:uid="{1002FE50-729A-47CF-AE20-3B00B8677342}"/>
    <cellStyle name="Porcentual 2 3 7 5" xfId="4203" xr:uid="{29490ADB-8BBE-4B9B-8DB4-D01FF5F28ED8}"/>
    <cellStyle name="Porcentual 2 3 8" xfId="985" xr:uid="{38EFA427-9FF2-4206-8E8C-B0FC9DAE56C8}"/>
    <cellStyle name="Porcentual 2 3 8 2" xfId="3482" xr:uid="{E5D26B5B-9663-404A-B71E-CB2769C390B2}"/>
    <cellStyle name="Porcentual 2 3 8 2 2" xfId="5371" xr:uid="{8B172203-7ADC-4D3A-A7FF-C2C74541D00C}"/>
    <cellStyle name="Porcentual 2 3 8 3" xfId="2570" xr:uid="{24AE0E81-C621-4D7E-AA4C-5A2D0DEF4AD8}"/>
    <cellStyle name="Porcentual 2 3 8 4" xfId="4241" xr:uid="{38428DDA-175C-4364-909F-0CB8A0DAFE6F}"/>
    <cellStyle name="Porcentual 2 3 9" xfId="1499" xr:uid="{99EF0D4C-AC96-4173-A46D-B3A9994B3A7D}"/>
    <cellStyle name="Porcentual 2 3 9 2" xfId="3072" xr:uid="{9CE7EDC8-FDDB-4087-811C-2570E97DE8BD}"/>
    <cellStyle name="Porcentual 2 3 9 2 2" xfId="5772" xr:uid="{5BE664E0-FB21-4AC3-A626-8DD7AD86A31B}"/>
    <cellStyle name="Porcentual 2 3 9 3" xfId="4633" xr:uid="{C379AEF3-56DD-418E-8131-1587D4256D23}"/>
    <cellStyle name="Porcentual 2 4" xfId="185" xr:uid="{2BB36B32-30B3-4CC5-9A98-62D36B80E950}"/>
    <cellStyle name="Porcentual 2 4 10" xfId="545" xr:uid="{178FD877-DAEF-452A-9E24-36CB48C83BA9}"/>
    <cellStyle name="Porcentual 2 4 10 2" xfId="5057" xr:uid="{BB83A439-6A7A-4563-ADFD-7574B71DC0C6}"/>
    <cellStyle name="Porcentual 2 4 11" xfId="2204" xr:uid="{FB61426F-08BC-4B10-AAB8-16BF6DFE85C5}"/>
    <cellStyle name="Porcentual 2 4 11 2" xfId="7584" xr:uid="{EAD0C21E-3F73-4C8B-B638-CC014CD5C426}"/>
    <cellStyle name="Porcentual 2 4 12" xfId="2256" xr:uid="{F6891948-D73F-4B81-BA9F-4821879BF294}"/>
    <cellStyle name="Porcentual 2 4 13" xfId="3927" xr:uid="{6AA0A1AF-C3F2-43C1-A194-2E265FEE0D51}"/>
    <cellStyle name="Porcentual 2 4 2" xfId="287" xr:uid="{2BDFAAFF-498D-43B8-9EE3-1B65FFFDA1BB}"/>
    <cellStyle name="Porcentual 2 4 2 2" xfId="1090" xr:uid="{A7A9B429-2016-4466-BB80-D4122173B1D3}"/>
    <cellStyle name="Porcentual 2 4 2 2 2" xfId="3578" xr:uid="{C5CBE86C-A6F1-4569-8482-42DDFA7E9572}"/>
    <cellStyle name="Porcentual 2 4 2 2 2 2" xfId="5463" xr:uid="{B8C9FA15-3E3E-4B79-B45F-361062470E90}"/>
    <cellStyle name="Porcentual 2 4 2 2 3" xfId="2662" xr:uid="{7CD55AD9-7965-4AAE-829F-BD661F5C03A7}"/>
    <cellStyle name="Porcentual 2 4 2 2 4" xfId="4333" xr:uid="{84775CD8-0610-43BF-99FE-D9FD0849DB08}"/>
    <cellStyle name="Porcentual 2 4 2 3" xfId="1601" xr:uid="{03C29756-E150-4D98-9667-03331FE38A01}"/>
    <cellStyle name="Porcentual 2 4 2 3 2" xfId="3189" xr:uid="{E6C3FF7A-403D-4C37-87DB-E70AF7278666}"/>
    <cellStyle name="Porcentual 2 4 2 3 2 2" xfId="5867" xr:uid="{11F0EF61-8FF1-416F-BB7C-9D3BE16CCA7C}"/>
    <cellStyle name="Porcentual 2 4 2 3 3" xfId="4696" xr:uid="{53B8F1B7-1F20-49BB-9ED2-A22D4E86024A}"/>
    <cellStyle name="Porcentual 2 4 2 4" xfId="1903" xr:uid="{8ED7F615-5015-4C95-A4A3-FEDDD999A865}"/>
    <cellStyle name="Porcentual 2 4 2 4 2" xfId="4882" xr:uid="{6C6045DB-7861-4B8A-B9E0-C95BEE066E7D}"/>
    <cellStyle name="Porcentual 2 4 2 5" xfId="612" xr:uid="{38114635-D56D-429B-839D-22D5C7E8EB04}"/>
    <cellStyle name="Porcentual 2 4 2 5 2" xfId="5115" xr:uid="{B2561E34-8FC2-4471-9029-10792C317F30}"/>
    <cellStyle name="Porcentual 2 4 2 6" xfId="2314" xr:uid="{CA6FC7B8-C753-4C8C-A528-FAD9724ACB31}"/>
    <cellStyle name="Porcentual 2 4 2 6 2" xfId="7585" xr:uid="{C76BC5B5-93A6-4FD8-A399-E4C410DCF878}"/>
    <cellStyle name="Porcentual 2 4 2 7" xfId="3985" xr:uid="{A0BD39F5-6119-4E53-BF7D-65366A2FF136}"/>
    <cellStyle name="Porcentual 2 4 3" xfId="387" xr:uid="{852DD741-D766-44BA-9E91-908F75DE2452}"/>
    <cellStyle name="Porcentual 2 4 3 2" xfId="1154" xr:uid="{66D40B72-1126-40FE-8C7B-D52F075592EB}"/>
    <cellStyle name="Porcentual 2 4 3 2 2" xfId="3633" xr:uid="{64E68632-5E90-4621-8147-737A431ED9B3}"/>
    <cellStyle name="Porcentual 2 4 3 2 2 2" xfId="5518" xr:uid="{31A0423A-AD4F-407C-B028-5EAD7FD07D69}"/>
    <cellStyle name="Porcentual 2 4 3 2 3" xfId="2717" xr:uid="{91CE0538-DE1A-4A34-87FC-022BE1924BB2}"/>
    <cellStyle name="Porcentual 2 4 3 2 4" xfId="4388" xr:uid="{E9AD2DD9-7BE3-4686-93D8-BCDA3A31724B}"/>
    <cellStyle name="Porcentual 2 4 3 3" xfId="1700" xr:uid="{32C1AFBA-D05B-483D-9582-9A4A213A8908}"/>
    <cellStyle name="Porcentual 2 4 3 3 2" xfId="3244" xr:uid="{1417EE09-A90C-4B60-BB11-0496C915F532}"/>
    <cellStyle name="Porcentual 2 4 3 3 2 2" xfId="5944" xr:uid="{45C3F509-2860-43AC-9AEB-C5BC68D6A09C}"/>
    <cellStyle name="Porcentual 2 4 3 3 3" xfId="4757" xr:uid="{DCA73E03-13CB-426B-BD8E-61A1D1284CD3}"/>
    <cellStyle name="Porcentual 2 4 3 4" xfId="2002" xr:uid="{C4E159FB-AED3-4A66-B30E-0993446146F4}"/>
    <cellStyle name="Porcentual 2 4 3 4 2" xfId="4943" xr:uid="{9F2C5921-F9DB-437D-8B4E-6686BF989018}"/>
    <cellStyle name="Porcentual 2 4 3 5" xfId="676" xr:uid="{C76110F7-EF97-4D7D-9352-2B104CED7899}"/>
    <cellStyle name="Porcentual 2 4 3 5 2" xfId="5170" xr:uid="{247A3FB8-C5E4-4353-B0AA-76B4F6E01098}"/>
    <cellStyle name="Porcentual 2 4 3 6" xfId="2369" xr:uid="{FF27DA4D-B34D-424A-952F-4954608ACB47}"/>
    <cellStyle name="Porcentual 2 4 3 6 2" xfId="7586" xr:uid="{B404FE2D-B504-45FD-BD96-441400C823C7}"/>
    <cellStyle name="Porcentual 2 4 3 7" xfId="4040" xr:uid="{DC3BBAB8-339A-413E-BB12-55437EDF42B6}"/>
    <cellStyle name="Porcentual 2 4 4" xfId="488" xr:uid="{1B6376E4-5995-4DDD-8080-01FB39B507C3}"/>
    <cellStyle name="Porcentual 2 4 4 2" xfId="1218" xr:uid="{5649733B-FD10-4E74-A649-D96012B7E858}"/>
    <cellStyle name="Porcentual 2 4 4 2 2" xfId="3694" xr:uid="{D40EA3AD-1D42-4144-8A4C-17A44C66FCF6}"/>
    <cellStyle name="Porcentual 2 4 4 2 2 2" xfId="5573" xr:uid="{DD20C26C-8A78-4806-AC60-436074F01550}"/>
    <cellStyle name="Porcentual 2 4 4 2 3" xfId="2772" xr:uid="{6546FAC3-E4C2-46A7-A7BD-1479A2CA5593}"/>
    <cellStyle name="Porcentual 2 4 4 2 4" xfId="4443" xr:uid="{481E5847-1E2A-47FA-ADED-D022EBA7DFE7}"/>
    <cellStyle name="Porcentual 2 4 4 3" xfId="2103" xr:uid="{17149881-78BB-48A7-A4D3-73BAF8C62FC3}"/>
    <cellStyle name="Porcentual 2 4 4 3 2" xfId="3299" xr:uid="{04BB1081-BF5A-4C9C-9CE3-EDD9D785E297}"/>
    <cellStyle name="Porcentual 2 4 4 3 3" xfId="5006" xr:uid="{86E00D98-89F0-4BBE-9A7C-D380883FE5F7}"/>
    <cellStyle name="Porcentual 2 4 4 4" xfId="740" xr:uid="{C09ED12C-9AD5-4D4C-B517-F5042F3982E3}"/>
    <cellStyle name="Porcentual 2 4 4 4 2" xfId="5225" xr:uid="{AEB49E6D-2551-4A1D-958D-74186334B9B2}"/>
    <cellStyle name="Porcentual 2 4 4 5" xfId="2424" xr:uid="{9A836005-5356-4998-8114-DC292F04D8D1}"/>
    <cellStyle name="Porcentual 2 4 4 5 2" xfId="7587" xr:uid="{B2B368ED-01E9-477C-8802-A1737E819ABE}"/>
    <cellStyle name="Porcentual 2 4 4 6" xfId="4095" xr:uid="{336331E0-4221-4048-BBDA-C347D27D9BAC}"/>
    <cellStyle name="Porcentual 2 4 5" xfId="804" xr:uid="{53898365-ECB9-4B37-8BBE-FF3FAFA3DA1A}"/>
    <cellStyle name="Porcentual 2 4 5 2" xfId="1283" xr:uid="{568A7587-AA25-4A7B-B4AB-06C5FCD93A57}"/>
    <cellStyle name="Porcentual 2 4 5 2 2" xfId="3757" xr:uid="{30C6910D-4913-43DE-BBCD-FD5583A61037}"/>
    <cellStyle name="Porcentual 2 4 5 2 2 2" xfId="5628" xr:uid="{EFBBCA23-DC7F-4959-8DB7-D7A30400D3B1}"/>
    <cellStyle name="Porcentual 2 4 5 2 3" xfId="2827" xr:uid="{3EA0B8CD-B31A-437D-AA09-79151F9BE1F1}"/>
    <cellStyle name="Porcentual 2 4 5 2 4" xfId="4498" xr:uid="{844CB4E9-B2EE-40F3-A997-BE568DCDED54}"/>
    <cellStyle name="Porcentual 2 4 5 3" xfId="3354" xr:uid="{54E7FFAB-94E4-447F-ACD2-68CAB9B9F625}"/>
    <cellStyle name="Porcentual 2 4 5 3 2" xfId="5280" xr:uid="{F596E1CB-48AE-409C-8D15-32DFE7580666}"/>
    <cellStyle name="Porcentual 2 4 5 4" xfId="2479" xr:uid="{8EFB47E0-0B16-4971-8B01-4C495B35E663}"/>
    <cellStyle name="Porcentual 2 4 5 4 2" xfId="7588" xr:uid="{DDE575C1-A9E9-4BE9-B48A-FF78B3CB6060}"/>
    <cellStyle name="Porcentual 2 4 5 5" xfId="4150" xr:uid="{927FE8A1-D101-4F92-B512-0C6ED551FB26}"/>
    <cellStyle name="Porcentual 2 4 6" xfId="868" xr:uid="{D6FA203C-566C-46B9-82A3-F49102ADC089}"/>
    <cellStyle name="Porcentual 2 4 6 2" xfId="1347" xr:uid="{32A6F1FF-11D4-4E88-8DAF-395E1C810FBB}"/>
    <cellStyle name="Porcentual 2 4 6 2 2" xfId="3821" xr:uid="{DEE90F46-7745-492C-87A1-F5AA8A9AC6AA}"/>
    <cellStyle name="Porcentual 2 4 6 2 2 2" xfId="5683" xr:uid="{038B33B2-A96B-46FF-9A15-B462386B2A6E}"/>
    <cellStyle name="Porcentual 2 4 6 2 3" xfId="2882" xr:uid="{F06400DC-5B84-489D-ADC0-2E2E2EA28F30}"/>
    <cellStyle name="Porcentual 2 4 6 2 4" xfId="4553" xr:uid="{579C590C-9C01-4C57-8C0F-84A2815CCF04}"/>
    <cellStyle name="Porcentual 2 4 6 3" xfId="3409" xr:uid="{793EA7BB-8658-4368-A5C9-292A917ACF6D}"/>
    <cellStyle name="Porcentual 2 4 6 3 2" xfId="5335" xr:uid="{FD81322F-6D08-4B54-9B9E-7A633BFC5A68}"/>
    <cellStyle name="Porcentual 2 4 6 4" xfId="2534" xr:uid="{87B7EA15-4B74-4E9B-B60E-36CC05AA08A0}"/>
    <cellStyle name="Porcentual 2 4 6 4 2" xfId="7589" xr:uid="{0E0D77C3-0FDB-44E8-956A-9ACE1E3CC6D0}"/>
    <cellStyle name="Porcentual 2 4 6 5" xfId="4205" xr:uid="{1F49C522-C75B-4071-9DF8-94DA1E0EE43E}"/>
    <cellStyle name="Porcentual 2 4 7" xfId="1023" xr:uid="{5493FC73-7A63-47FC-8D65-2C27778B37AE}"/>
    <cellStyle name="Porcentual 2 4 7 2" xfId="3520" xr:uid="{BE4F14BB-C13C-4E7E-AC53-1F3EFA111D71}"/>
    <cellStyle name="Porcentual 2 4 7 2 2" xfId="5405" xr:uid="{1A01DAFE-9A5B-451B-B8AE-EFF8237FB2CC}"/>
    <cellStyle name="Porcentual 2 4 7 3" xfId="2604" xr:uid="{2E63B206-116A-4B3E-A302-948CAC760D6C}"/>
    <cellStyle name="Porcentual 2 4 7 4" xfId="4275" xr:uid="{E8BAF938-0E08-414B-AABC-5B034C5F6FFE}"/>
    <cellStyle name="Porcentual 2 4 8" xfId="1501" xr:uid="{91D5116F-7CE4-40D4-A61F-16137E86C240}"/>
    <cellStyle name="Porcentual 2 4 8 2" xfId="3127" xr:uid="{E0F6C4B4-8ED5-4C6C-ACBF-AFE640906296}"/>
    <cellStyle name="Porcentual 2 4 8 2 2" xfId="5774" xr:uid="{84F22F47-82F8-4C4A-882B-0C02F6B5EBE3}"/>
    <cellStyle name="Porcentual 2 4 8 3" xfId="4635" xr:uid="{540A1AA8-FEE4-4676-A86E-58AFBA3628E8}"/>
    <cellStyle name="Porcentual 2 4 9" xfId="1803" xr:uid="{67E2D7E5-4D44-40C4-8E11-3659CD8B52D9}"/>
    <cellStyle name="Porcentual 2 4 9 2" xfId="4821" xr:uid="{CB58C0F3-643B-4D59-98F9-AA67712A8791}"/>
    <cellStyle name="Porcentual 2 5" xfId="280" xr:uid="{7FCD6600-E4A5-4BE2-9F02-EAB83B4CAA34}"/>
    <cellStyle name="Porcentual 2 5 2" xfId="1083" xr:uid="{8EF42EBF-5946-4590-ACE6-0BAC468E1E5B}"/>
    <cellStyle name="Porcentual 2 5 2 2" xfId="3571" xr:uid="{BCEC0514-EEEA-4857-A224-64B8029731A8}"/>
    <cellStyle name="Porcentual 2 5 2 2 2" xfId="5456" xr:uid="{F8E4ED99-AD3E-4B5F-B68B-71CE50F56D98}"/>
    <cellStyle name="Porcentual 2 5 2 3" xfId="2655" xr:uid="{535AB384-0D74-4E49-9D84-D40B4BB7C2DD}"/>
    <cellStyle name="Porcentual 2 5 2 4" xfId="4326" xr:uid="{D906D9BB-491C-43FC-AF17-C7A68B171739}"/>
    <cellStyle name="Porcentual 2 5 3" xfId="1594" xr:uid="{420E1D1D-2FA2-4FF3-8609-6C50B2590EAF}"/>
    <cellStyle name="Porcentual 2 5 3 2" xfId="3113" xr:uid="{CB280E7F-72CD-4FE6-81C2-6203070BA540}"/>
    <cellStyle name="Porcentual 2 5 3 2 2" xfId="5860" xr:uid="{919F4A60-0E4D-468E-AD22-3C70B7ACD897}"/>
    <cellStyle name="Porcentual 2 5 3 3" xfId="4689" xr:uid="{F0C73CC1-B2AD-4F68-BF22-504F24B9329F}"/>
    <cellStyle name="Porcentual 2 5 4" xfId="1896" xr:uid="{0D41E173-38BA-4E0D-A84C-40D06F2DC13D}"/>
    <cellStyle name="Porcentual 2 5 4 2" xfId="4875" xr:uid="{AE0BCE14-F6D0-479C-A7D5-3F18EE33B41E}"/>
    <cellStyle name="Porcentual 2 5 5" xfId="605" xr:uid="{F8F96B2F-69C8-4318-81A6-99CAF52F035B}"/>
    <cellStyle name="Porcentual 2 5 5 2" xfId="5108" xr:uid="{9EBC1D74-0D15-4BA3-950B-F582BE068680}"/>
    <cellStyle name="Porcentual 2 5 6" xfId="2307" xr:uid="{9D3F6D15-99EF-4A3F-9C2E-B41B338D13F0}"/>
    <cellStyle name="Porcentual 2 5 6 2" xfId="7590" xr:uid="{D4E78F81-621C-4184-81B4-B648B14449DA}"/>
    <cellStyle name="Porcentual 2 5 7" xfId="3978" xr:uid="{68409CB6-60F0-44C1-8FCF-95AD1D1E8B1A}"/>
    <cellStyle name="Porcentual 2 6" xfId="380" xr:uid="{AFAE2176-CFC9-487E-8E0B-74D848F4FA27}"/>
    <cellStyle name="Porcentual 2 6 2" xfId="1147" xr:uid="{18B06891-FC53-412E-9D63-BCCF3EE581AB}"/>
    <cellStyle name="Porcentual 2 6 2 2" xfId="3626" xr:uid="{9EE810C4-56ED-46EA-BA35-FCF6889F1605}"/>
    <cellStyle name="Porcentual 2 6 2 2 2" xfId="5511" xr:uid="{111859F4-31DD-422F-BA49-A9944008D48D}"/>
    <cellStyle name="Porcentual 2 6 2 3" xfId="2710" xr:uid="{EC33085C-2DB3-4A71-9C58-1980B8F30F31}"/>
    <cellStyle name="Porcentual 2 6 2 4" xfId="4381" xr:uid="{E8188250-7418-47C9-B5C5-C64F0D9E4CAD}"/>
    <cellStyle name="Porcentual 2 6 3" xfId="1693" xr:uid="{C9A6EFFE-4927-4BA8-950A-7AEA689B96FC}"/>
    <cellStyle name="Porcentual 2 6 3 2" xfId="3237" xr:uid="{7D3E691B-4CD8-45B3-9F82-F030C152D37B}"/>
    <cellStyle name="Porcentual 2 6 3 2 2" xfId="5937" xr:uid="{768B1F89-AF43-4D6F-991A-16EA6499BD31}"/>
    <cellStyle name="Porcentual 2 6 3 3" xfId="4750" xr:uid="{340BE1E7-A7C3-46A3-8CE7-56D4385E89BE}"/>
    <cellStyle name="Porcentual 2 6 4" xfId="1995" xr:uid="{4B7543A3-FD4D-4526-8BE1-F11B2B05158E}"/>
    <cellStyle name="Porcentual 2 6 4 2" xfId="4936" xr:uid="{3B9EA4D6-87E9-439E-82DB-B57CDA87080A}"/>
    <cellStyle name="Porcentual 2 6 5" xfId="669" xr:uid="{F0A66D73-CB63-4DEC-B6F6-D743C2258D44}"/>
    <cellStyle name="Porcentual 2 6 5 2" xfId="5163" xr:uid="{D46165F4-C131-4C5A-93E6-85BB965E7CFC}"/>
    <cellStyle name="Porcentual 2 6 6" xfId="2362" xr:uid="{DA49C057-8AB4-4094-A074-55129370B6A1}"/>
    <cellStyle name="Porcentual 2 6 6 2" xfId="7591" xr:uid="{A6CE4C3D-CE8D-493D-B39A-470FEBFCA5CD}"/>
    <cellStyle name="Porcentual 2 6 7" xfId="4033" xr:uid="{187720DA-A9F2-454F-BAF4-A56B18690EB9}"/>
    <cellStyle name="Porcentual 2 7" xfId="481" xr:uid="{51C21F26-25B6-41A8-ACED-0B625152AE5F}"/>
    <cellStyle name="Porcentual 2 7 2" xfId="1211" xr:uid="{A22601C5-248B-49D2-9BD7-E5A5547A9A7A}"/>
    <cellStyle name="Porcentual 2 7 2 2" xfId="3687" xr:uid="{9A960D2D-3E2B-4E57-96B9-4F8F0DD378CA}"/>
    <cellStyle name="Porcentual 2 7 2 2 2" xfId="5566" xr:uid="{4533956D-2614-47AB-AF0B-844460E7B1D4}"/>
    <cellStyle name="Porcentual 2 7 2 3" xfId="2765" xr:uid="{8420AF1C-7B6C-42FD-A753-93BE919BA114}"/>
    <cellStyle name="Porcentual 2 7 2 4" xfId="4436" xr:uid="{FB9DC45A-E02F-4F07-A52E-212B2677A157}"/>
    <cellStyle name="Porcentual 2 7 3" xfId="2096" xr:uid="{D2FC7AF9-BDDB-4E6A-A9F7-541A5A4BEA52}"/>
    <cellStyle name="Porcentual 2 7 3 2" xfId="3292" xr:uid="{083C3A8C-E7B8-419C-ADFE-04D5E5579E5F}"/>
    <cellStyle name="Porcentual 2 7 3 3" xfId="4999" xr:uid="{551342EC-8610-485F-9833-F3E407F1C0AB}"/>
    <cellStyle name="Porcentual 2 7 4" xfId="733" xr:uid="{F40B176B-043C-41F8-B2DC-C06B405A8CA1}"/>
    <cellStyle name="Porcentual 2 7 4 2" xfId="5218" xr:uid="{B05AB500-7C35-42D0-AB61-E95A4BF03C58}"/>
    <cellStyle name="Porcentual 2 7 5" xfId="2417" xr:uid="{3FFE330E-A198-44BB-9E77-04FE3325F63E}"/>
    <cellStyle name="Porcentual 2 7 5 2" xfId="7592" xr:uid="{3586032E-E3C4-4EEE-80B4-32FE5D4FDB39}"/>
    <cellStyle name="Porcentual 2 7 6" xfId="4088" xr:uid="{F1730789-39DE-46B5-855A-0F5F560F7873}"/>
    <cellStyle name="Porcentual 2 8" xfId="797" xr:uid="{CE66B6F9-914B-4586-A700-89E8CD6C66F2}"/>
    <cellStyle name="Porcentual 2 8 2" xfId="1276" xr:uid="{4A1709BC-72E0-4E0E-9D43-9495113D006A}"/>
    <cellStyle name="Porcentual 2 8 2 2" xfId="3750" xr:uid="{9ECC375B-3278-4EFD-BB3E-2028EA6CB766}"/>
    <cellStyle name="Porcentual 2 8 2 2 2" xfId="5621" xr:uid="{F0BFCACE-4AF0-40B8-AA7E-231B8B92FD35}"/>
    <cellStyle name="Porcentual 2 8 2 3" xfId="2820" xr:uid="{3E566F35-05B2-4D02-ACB2-6C33FB71186B}"/>
    <cellStyle name="Porcentual 2 8 2 4" xfId="4491" xr:uid="{BDBA3A67-5E76-451F-A695-256E0F7E8C6C}"/>
    <cellStyle name="Porcentual 2 8 3" xfId="3347" xr:uid="{BD83562B-26AA-42C7-A7CB-1BF1DE5EE935}"/>
    <cellStyle name="Porcentual 2 8 3 2" xfId="5273" xr:uid="{FE3327B8-FE7E-4741-9A37-A616986D1F02}"/>
    <cellStyle name="Porcentual 2 8 4" xfId="2472" xr:uid="{59278160-9CDC-4C1A-ABCB-872D1F656DBD}"/>
    <cellStyle name="Porcentual 2 8 4 2" xfId="7593" xr:uid="{EC4C22F3-66DE-4D95-A75D-0CEEEBCD8DAF}"/>
    <cellStyle name="Porcentual 2 8 5" xfId="4143" xr:uid="{063D3DF2-6311-4463-A097-8320C7258432}"/>
    <cellStyle name="Porcentual 2 9" xfId="861" xr:uid="{7F300A93-26C8-43A0-9191-031951694FB3}"/>
    <cellStyle name="Porcentual 2 9 2" xfId="1340" xr:uid="{995D9B20-72F0-4E64-A870-1871D7D1382C}"/>
    <cellStyle name="Porcentual 2 9 2 2" xfId="3814" xr:uid="{8CC65699-3B36-4734-A34B-B1EAD73AAAC8}"/>
    <cellStyle name="Porcentual 2 9 2 2 2" xfId="5676" xr:uid="{2EFB6397-4417-404A-9126-1641737D65BE}"/>
    <cellStyle name="Porcentual 2 9 2 3" xfId="2875" xr:uid="{7C7414D7-05F0-4E3A-A9E1-92DF022E96F6}"/>
    <cellStyle name="Porcentual 2 9 2 4" xfId="4546" xr:uid="{8B26910D-12A7-4638-A472-11857C8078E9}"/>
    <cellStyle name="Porcentual 2 9 3" xfId="3402" xr:uid="{C0F0A8F1-E43C-418F-B872-2F6FF856A9CA}"/>
    <cellStyle name="Porcentual 2 9 3 2" xfId="5328" xr:uid="{AB28A44C-5F3A-4D3A-AB61-659A1A230E36}"/>
    <cellStyle name="Porcentual 2 9 4" xfId="2527" xr:uid="{26B2EE44-BD2E-4167-8FC5-CFFA1220C528}"/>
    <cellStyle name="Porcentual 2 9 4 2" xfId="7594" xr:uid="{C2399C0E-959B-4686-B383-00ACC0B97989}"/>
    <cellStyle name="Porcentual 2 9 5" xfId="4198" xr:uid="{E1C1FC29-7076-4692-972D-F90226B9FA86}"/>
    <cellStyle name="Porcentual 3" xfId="186" xr:uid="{530D1406-F8F0-4645-A969-4198FD10E16B}"/>
    <cellStyle name="Porcentual 3 2" xfId="938" xr:uid="{A31AA95A-AE98-447B-AFF3-F01B067DAE92}"/>
    <cellStyle name="Porcentual 3 2 2" xfId="7595" xr:uid="{B3AA444B-A843-4AC2-9724-A083BD8E2512}"/>
    <cellStyle name="Porcentual 3 3" xfId="7596" xr:uid="{BC52B948-E15C-4A34-9415-CECF90632D75}"/>
    <cellStyle name="Porcentual 4" xfId="7597" xr:uid="{6770F327-9EA9-4BA2-BD38-BF8502700284}"/>
    <cellStyle name="Salida 2" xfId="939" xr:uid="{D1C30C51-CBA1-41EF-BB02-1CC2347610D8}"/>
    <cellStyle name="Salida 2 2" xfId="3448" xr:uid="{60A8C51A-1F6E-4156-8BC6-92FC4D02F0BB}"/>
    <cellStyle name="Salida 2 2 2" xfId="7598" xr:uid="{1A664A32-3FDB-4DF0-88F0-8F9E99178031}"/>
    <cellStyle name="Salida 2 3" xfId="3046" xr:uid="{AA748C7A-9B0E-4514-BF76-9ED34F5C8BE1}"/>
    <cellStyle name="Salida 3" xfId="3047" xr:uid="{8F73E72B-EF21-4A9C-99D4-0E4CCA64AB3E}"/>
    <cellStyle name="Texto de advertencia 2" xfId="940" xr:uid="{0D54A7C2-1F56-470E-89AE-ECAE2363E884}"/>
    <cellStyle name="Texto de advertencia 3" xfId="3048" xr:uid="{D1C1B057-97CF-4E35-8735-978E8E6D39E2}"/>
    <cellStyle name="Texto explicativo 2" xfId="941" xr:uid="{9DD29710-54DA-4A41-963B-3BA317CBA657}"/>
    <cellStyle name="Texto explicativo 3" xfId="3049" xr:uid="{9C34304C-460E-468D-823D-43872F6F4D43}"/>
    <cellStyle name="Title" xfId="3050" xr:uid="{5CE8C6DE-B0F2-484E-BAFF-0165D377187B}"/>
    <cellStyle name="Título 1 2" xfId="3051" xr:uid="{55DE3E81-08A3-4BA7-943A-6F9638A4B075}"/>
    <cellStyle name="Título 1 3" xfId="3052" xr:uid="{63DFA7D7-755E-421A-9D21-C8189FFD53D8}"/>
    <cellStyle name="Título 2 2" xfId="942" xr:uid="{E591E16F-6E11-4183-9FB9-B76DC7ECEC20}"/>
    <cellStyle name="Título 2 3" xfId="3053" xr:uid="{81500FA4-9BD3-44B5-B3A1-E6E867F7E355}"/>
    <cellStyle name="Título 3 2" xfId="943" xr:uid="{64041BE4-571A-442C-B948-14758CDBF3B7}"/>
    <cellStyle name="Título 3 2 2" xfId="959" xr:uid="{DF128613-23B4-468F-B607-D67E1F9FBC18}"/>
    <cellStyle name="Título 3 3" xfId="3054" xr:uid="{BE348330-0F40-45AB-82D8-33AD0BE6D423}"/>
    <cellStyle name="Título 4" xfId="944" xr:uid="{D072F8BD-F8D3-4D91-9A2C-02DE0DCBD090}"/>
    <cellStyle name="Título 4 2" xfId="7600" xr:uid="{4C51955A-9772-455D-B340-3FC97DE7F0CA}"/>
    <cellStyle name="Título 4 3" xfId="7599" xr:uid="{F91C3CE5-B4E2-415C-B236-6AF59E344391}"/>
    <cellStyle name="Título 5" xfId="3055" xr:uid="{42F08B81-1F8A-43EA-BACA-217AA8D729D4}"/>
    <cellStyle name="Total 2" xfId="945" xr:uid="{DE3611CD-84F4-4EE7-B918-871A0203E924}"/>
    <cellStyle name="Total 3" xfId="3056" xr:uid="{F284D4F0-A252-46C3-BBAD-87AB98541824}"/>
    <cellStyle name="Undefined" xfId="2942" xr:uid="{7EC88714-7551-4B9F-8172-F7963DD0EA28}"/>
    <cellStyle name="Warning Text" xfId="3057" xr:uid="{910E7F60-3080-4337-9600-1A0F39B134A2}"/>
  </cellStyles>
  <dxfs count="19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00B050"/>
      </font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DDEBF7"/>
      <color rgb="FF9CE8E6"/>
      <color rgb="FFFF7474"/>
      <color rgb="FF5CD9D6"/>
      <color rgb="FF33CCCC"/>
      <color rgb="FFBCEEED"/>
      <color rgb="FF2AABA8"/>
      <color rgb="FFFF6699"/>
      <color rgb="FFFCE4D6"/>
      <color rgb="FFFAD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8467724" cy="847725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D207E0CE-182F-48C6-A08E-00F1CF74DA2F}"/>
            </a:ext>
          </a:extLst>
        </xdr:cNvPr>
        <xdr:cNvSpPr/>
      </xdr:nvSpPr>
      <xdr:spPr>
        <a:xfrm>
          <a:off x="0" y="0"/>
          <a:ext cx="8467724" cy="847725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>
          <a:noAutofit/>
        </a:bodyPr>
        <a:lstStyle/>
        <a:p>
          <a:pPr algn="l"/>
          <a:r>
            <a:rPr lang="es-ES" sz="4800" b="0" cap="none" spc="0" baseline="0">
              <a:ln w="0">
                <a:noFill/>
              </a:ln>
              <a:gradFill>
                <a:gsLst>
                  <a:gs pos="10000">
                    <a:srgbClr val="2AABA8"/>
                  </a:gs>
                  <a:gs pos="74000">
                    <a:srgbClr val="5CD9D6"/>
                  </a:gs>
                  <a:gs pos="83000">
                    <a:srgbClr val="9CE8E6"/>
                  </a:gs>
                  <a:gs pos="100000">
                    <a:srgbClr val="BCEEED"/>
                  </a:gs>
                </a:gsLst>
                <a:lin ang="5400000" scaled="1"/>
              </a:gradFill>
              <a:effectLst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rPr>
            <a:t>Control</a:t>
          </a:r>
          <a:r>
            <a:rPr lang="es-ES" sz="4800" b="0" cap="none" spc="0" baseline="0">
              <a:ln w="0">
                <a:noFill/>
              </a:ln>
              <a:solidFill>
                <a:srgbClr val="2AABA8"/>
              </a:solidFill>
              <a:effectLst>
                <a:reflection blurRad="6350" stA="55000" endA="300" endPos="45500" dir="5400000" sy="-100000" algn="bl" rotWithShape="0"/>
              </a:effectLst>
            </a:rPr>
            <a:t> </a:t>
          </a:r>
          <a:r>
            <a:rPr lang="es-ES" sz="4800" b="0" cap="none" spc="0" baseline="0">
              <a:ln w="0">
                <a:noFill/>
              </a:ln>
              <a:gradFill>
                <a:gsLst>
                  <a:gs pos="10000">
                    <a:srgbClr val="2AABA8"/>
                  </a:gs>
                  <a:gs pos="74000">
                    <a:srgbClr val="5CD9D6"/>
                  </a:gs>
                  <a:gs pos="83000">
                    <a:srgbClr val="9CE8E6"/>
                  </a:gs>
                  <a:gs pos="100000">
                    <a:srgbClr val="BCEEED"/>
                  </a:gs>
                </a:gsLst>
                <a:lin ang="5400000" scaled="1"/>
              </a:gradFill>
              <a:effectLst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rPr>
            <a:t>de</a:t>
          </a:r>
          <a:r>
            <a:rPr lang="es-ES" sz="4800" b="0" cap="none" spc="0" baseline="0">
              <a:ln w="0">
                <a:noFill/>
              </a:ln>
              <a:solidFill>
                <a:srgbClr val="2AABA8"/>
              </a:solidFill>
              <a:effectLst>
                <a:reflection blurRad="6350" stA="55000" endA="300" endPos="45500" dir="5400000" sy="-100000" algn="bl" rotWithShape="0"/>
              </a:effectLst>
            </a:rPr>
            <a:t> </a:t>
          </a:r>
          <a:r>
            <a:rPr lang="es-ES" sz="4800" b="0" cap="none" spc="0" baseline="0">
              <a:ln w="0">
                <a:noFill/>
              </a:ln>
              <a:gradFill>
                <a:gsLst>
                  <a:gs pos="10000">
                    <a:srgbClr val="2AABA8"/>
                  </a:gs>
                  <a:gs pos="74000">
                    <a:srgbClr val="5CD9D6"/>
                  </a:gs>
                  <a:gs pos="83000">
                    <a:srgbClr val="9CE8E6"/>
                  </a:gs>
                  <a:gs pos="100000">
                    <a:srgbClr val="BCEEED"/>
                  </a:gs>
                </a:gsLst>
                <a:lin ang="5400000" scaled="1"/>
              </a:gradFill>
              <a:effectLst>
                <a:reflection blurRad="6350" stA="55000" endA="300" endPos="45500" dir="5400000" sy="-100000" algn="bl" rotWithShape="0"/>
              </a:effectLst>
              <a:latin typeface="+mn-lt"/>
              <a:ea typeface="+mn-ea"/>
              <a:cs typeface="+mn-cs"/>
            </a:rPr>
            <a:t>Banco Credicoop</a:t>
          </a:r>
        </a:p>
        <a:p>
          <a:pPr algn="l"/>
          <a:endParaRPr lang="es-ES" sz="5400" b="0" cap="none" spc="0" baseline="0">
            <a:ln w="0">
              <a:noFill/>
            </a:ln>
            <a:gradFill>
              <a:gsLst>
                <a:gs pos="10000">
                  <a:srgbClr val="2AABA8"/>
                </a:gs>
                <a:gs pos="74000">
                  <a:srgbClr val="5CD9D6"/>
                </a:gs>
                <a:gs pos="83000">
                  <a:srgbClr val="9CE8E6"/>
                </a:gs>
                <a:gs pos="100000">
                  <a:srgbClr val="BCEEED"/>
                </a:gs>
              </a:gsLst>
              <a:lin ang="5400000" scaled="1"/>
            </a:gradFill>
            <a:effectLst>
              <a:reflection blurRad="6350" stA="55000" endA="300" endPos="45500" dir="5400000" sy="-100000" algn="bl" rotWithShape="0"/>
            </a:effectLst>
            <a:latin typeface="+mn-lt"/>
            <a:ea typeface="+mn-ea"/>
            <a:cs typeface="+mn-cs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5</xdr:col>
          <xdr:colOff>0</xdr:colOff>
          <xdr:row>10</xdr:row>
          <xdr:rowOff>9525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IMPORTAR EXTRACTO BANCARIO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5</xdr:col>
          <xdr:colOff>0</xdr:colOff>
          <xdr:row>16</xdr:row>
          <xdr:rowOff>9525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DAR FORMATO AL EXTRACTO BANCARIO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196216</xdr:colOff>
      <xdr:row>17</xdr:row>
      <xdr:rowOff>137160</xdr:rowOff>
    </xdr:from>
    <xdr:ext cx="1590674" cy="280205"/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36E86F40-B1BC-487A-BAE0-47FEC41FF618}"/>
            </a:ext>
          </a:extLst>
        </xdr:cNvPr>
        <xdr:cNvSpPr/>
      </xdr:nvSpPr>
      <xdr:spPr>
        <a:xfrm>
          <a:off x="988696" y="3992880"/>
          <a:ext cx="1590674" cy="28020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1200" b="1" cap="none" spc="0">
              <a:ln w="0"/>
              <a:solidFill>
                <a:srgbClr val="2AABA8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INGRESE EL PERIODO: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0</xdr:rowOff>
        </xdr:from>
        <xdr:to>
          <xdr:col>5</xdr:col>
          <xdr:colOff>0</xdr:colOff>
          <xdr:row>25</xdr:row>
          <xdr:rowOff>9525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TRANSLADO DE EXTRACTO BANCARIO AL PERIODO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1296912</xdr:colOff>
      <xdr:row>26</xdr:row>
      <xdr:rowOff>125506</xdr:rowOff>
    </xdr:from>
    <xdr:ext cx="2674450" cy="280205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10633C6D-D3CA-44A8-A9A4-858465B5B5D9}"/>
            </a:ext>
          </a:extLst>
        </xdr:cNvPr>
        <xdr:cNvSpPr/>
      </xdr:nvSpPr>
      <xdr:spPr>
        <a:xfrm>
          <a:off x="1296912" y="4249271"/>
          <a:ext cx="2674450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1" cap="none" spc="0">
              <a:ln w="0"/>
              <a:solidFill>
                <a:srgbClr val="2AABA8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INGRESE SALDO INICIAL DEL PERIODO: </a:t>
          </a:r>
        </a:p>
      </xdr:txBody>
    </xdr:sp>
    <xdr:clientData/>
  </xdr:oneCellAnchor>
  <xdr:oneCellAnchor>
    <xdr:from>
      <xdr:col>0</xdr:col>
      <xdr:colOff>1359050</xdr:colOff>
      <xdr:row>28</xdr:row>
      <xdr:rowOff>151912</xdr:rowOff>
    </xdr:from>
    <xdr:ext cx="2581605" cy="280205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896A4D9-4657-41C1-9757-448BE1D2FEE1}"/>
            </a:ext>
          </a:extLst>
        </xdr:cNvPr>
        <xdr:cNvSpPr/>
      </xdr:nvSpPr>
      <xdr:spPr>
        <a:xfrm>
          <a:off x="1359050" y="4623059"/>
          <a:ext cx="2581605" cy="28020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1200" b="1" cap="none" spc="0">
              <a:ln w="0"/>
              <a:solidFill>
                <a:srgbClr val="2AABA8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INGRESE SALDO FINAL DEL PERIODO: 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32</xdr:row>
          <xdr:rowOff>0</xdr:rowOff>
        </xdr:from>
        <xdr:to>
          <xdr:col>5</xdr:col>
          <xdr:colOff>0</xdr:colOff>
          <xdr:row>36</xdr:row>
          <xdr:rowOff>9525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000" b="1" i="0" u="none" strike="noStrike" baseline="0">
                  <a:solidFill>
                    <a:srgbClr val="008080"/>
                  </a:solidFill>
                  <a:latin typeface="Arial"/>
                  <a:cs typeface="Arial"/>
                </a:rPr>
                <a:t>CONTROL DE SALDOS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8314-712F-475F-9038-5E29915C065A}">
  <sheetPr codeName="Hoja19"/>
  <dimension ref="E14:F31"/>
  <sheetViews>
    <sheetView tabSelected="1" zoomScale="85" zoomScaleNormal="85" workbookViewId="0">
      <selection activeCell="G16" sqref="G16"/>
    </sheetView>
  </sheetViews>
  <sheetFormatPr baseColWidth="10" defaultRowHeight="12.75"/>
  <cols>
    <col min="1" max="1" width="20.42578125" style="430" customWidth="1"/>
    <col min="2" max="5" width="14.28515625" style="430" customWidth="1"/>
    <col min="6" max="6" width="11.5703125" style="430" customWidth="1"/>
    <col min="7" max="16384" width="11.42578125" style="430"/>
  </cols>
  <sheetData>
    <row r="14" spans="6:6">
      <c r="F14" s="429"/>
    </row>
    <row r="18" spans="5:6" ht="13.5" thickBot="1"/>
    <row r="19" spans="5:6" ht="14.25" thickTop="1" thickBot="1">
      <c r="E19" s="428" t="s">
        <v>137</v>
      </c>
    </row>
    <row r="20" spans="5:6" ht="13.5" thickTop="1"/>
    <row r="23" spans="5:6">
      <c r="F23" s="429"/>
    </row>
    <row r="27" spans="5:6" ht="13.5" thickBot="1"/>
    <row r="28" spans="5:6" ht="14.25" thickTop="1" thickBot="1">
      <c r="E28" s="431">
        <v>278427.77</v>
      </c>
    </row>
    <row r="29" spans="5:6" ht="14.25" thickTop="1" thickBot="1"/>
    <row r="30" spans="5:6" ht="14.25" thickTop="1" thickBot="1">
      <c r="E30" s="431">
        <v>201626.47999999975</v>
      </c>
    </row>
    <row r="31" spans="5:6" ht="13.5" thickTop="1"/>
  </sheetData>
  <dataValidations count="1">
    <dataValidation type="list" allowBlank="1" showInputMessage="1" showErrorMessage="1" sqref="E19" xr:uid="{19204025-C2A7-4CEE-BE3F-51933C0C6881}">
      <formula1>"01,02,03,04,05,06,07,08,09,10,11,12"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Importar_Banco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Formato_Banco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Button 4">
              <controlPr defaultSize="0" print="0" autoFill="0" autoPict="0" macro="[0]!Translado_Informacion">
                <anchor moveWithCells="1" sizeWithCells="1">
                  <from>
                    <xdr:col>1</xdr:col>
                    <xdr:colOff>0</xdr:colOff>
                    <xdr:row>21</xdr:row>
                    <xdr:rowOff>0</xdr:rowOff>
                  </from>
                  <to>
                    <xdr:col>5</xdr:col>
                    <xdr:colOff>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7" name="Button 11">
              <controlPr defaultSize="0" print="0" autoFill="0" autoPict="0" macro="[0]!Control_De_Saldos">
                <anchor moveWithCells="1" sizeWithCells="1">
                  <from>
                    <xdr:col>1</xdr:col>
                    <xdr:colOff>0</xdr:colOff>
                    <xdr:row>32</xdr:row>
                    <xdr:rowOff>0</xdr:rowOff>
                  </from>
                  <to>
                    <xdr:col>5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B4D36-14A2-483B-88CB-4D6E2AA1C84A}">
  <sheetPr codeName="Hoja20"/>
  <dimension ref="A1:I67"/>
  <sheetViews>
    <sheetView zoomScale="80" zoomScaleNormal="80" workbookViewId="0"/>
  </sheetViews>
  <sheetFormatPr baseColWidth="10" defaultRowHeight="12.75"/>
  <cols>
    <col min="3" max="3" width="76.5703125" bestFit="1" customWidth="1"/>
    <col min="4" max="4" width="14.28515625" customWidth="1"/>
    <col min="6" max="6" width="14.140625" bestFit="1" customWidth="1"/>
    <col min="7" max="7" width="15.28515625" bestFit="1" customWidth="1"/>
  </cols>
  <sheetData>
    <row r="1" spans="1:9">
      <c r="A1" s="187"/>
      <c r="B1" s="188" t="s">
        <v>0</v>
      </c>
      <c r="C1" s="188" t="s">
        <v>1</v>
      </c>
      <c r="D1" s="188" t="s">
        <v>2</v>
      </c>
      <c r="E1" s="189" t="s">
        <v>3</v>
      </c>
      <c r="F1" s="189" t="s">
        <v>4</v>
      </c>
      <c r="G1" s="189" t="s">
        <v>5</v>
      </c>
      <c r="H1" s="190" t="s">
        <v>6</v>
      </c>
      <c r="I1" s="187"/>
    </row>
    <row r="2" spans="1:9" ht="22.5">
      <c r="A2" s="187"/>
      <c r="B2" s="191" t="s">
        <v>119</v>
      </c>
      <c r="C2" s="10" t="s">
        <v>45</v>
      </c>
      <c r="D2" s="191">
        <v>0</v>
      </c>
      <c r="E2" s="195">
        <v>308.73</v>
      </c>
      <c r="F2" s="195">
        <v>0</v>
      </c>
      <c r="G2" s="195">
        <v>4832171.33</v>
      </c>
      <c r="H2" s="5" t="s">
        <v>46</v>
      </c>
      <c r="I2" s="187"/>
    </row>
    <row r="3" spans="1:9" ht="22.5">
      <c r="A3" s="187"/>
      <c r="B3" s="191" t="s">
        <v>119</v>
      </c>
      <c r="C3" s="10" t="s">
        <v>12</v>
      </c>
      <c r="D3" s="191">
        <v>0</v>
      </c>
      <c r="E3" s="195">
        <v>19.75</v>
      </c>
      <c r="F3" s="195">
        <v>0</v>
      </c>
      <c r="G3" s="195">
        <v>4832480.0599999996</v>
      </c>
      <c r="H3" s="5" t="s">
        <v>13</v>
      </c>
      <c r="I3" s="187"/>
    </row>
    <row r="4" spans="1:9" ht="22.5">
      <c r="A4" s="187"/>
      <c r="B4" s="191" t="s">
        <v>119</v>
      </c>
      <c r="C4" s="10" t="s">
        <v>47</v>
      </c>
      <c r="D4" s="191">
        <v>0</v>
      </c>
      <c r="E4" s="195">
        <v>44.1</v>
      </c>
      <c r="F4" s="195">
        <v>0</v>
      </c>
      <c r="G4" s="195">
        <v>4832499.8099999996</v>
      </c>
      <c r="H4" s="5" t="s">
        <v>48</v>
      </c>
      <c r="I4" s="187"/>
    </row>
    <row r="5" spans="1:9" ht="22.5">
      <c r="A5" s="187"/>
      <c r="B5" s="191" t="s">
        <v>119</v>
      </c>
      <c r="C5" s="10" t="s">
        <v>49</v>
      </c>
      <c r="D5" s="191">
        <v>0</v>
      </c>
      <c r="E5" s="195">
        <v>2940.29</v>
      </c>
      <c r="F5" s="195">
        <v>0</v>
      </c>
      <c r="G5" s="195">
        <v>4832543.91</v>
      </c>
      <c r="H5" s="5">
        <v>560</v>
      </c>
      <c r="I5" s="187"/>
    </row>
    <row r="6" spans="1:9" ht="22.5">
      <c r="A6" s="187"/>
      <c r="B6" s="191" t="s">
        <v>120</v>
      </c>
      <c r="C6" s="10" t="s">
        <v>16</v>
      </c>
      <c r="D6" s="191">
        <v>0</v>
      </c>
      <c r="E6" s="195">
        <v>1350</v>
      </c>
      <c r="F6" s="195">
        <v>0</v>
      </c>
      <c r="G6" s="195">
        <v>4835484.2</v>
      </c>
      <c r="H6" s="5" t="s">
        <v>17</v>
      </c>
      <c r="I6" s="187"/>
    </row>
    <row r="7" spans="1:9" ht="22.5">
      <c r="A7" s="187"/>
      <c r="B7" s="191" t="s">
        <v>120</v>
      </c>
      <c r="C7" s="10" t="s">
        <v>14</v>
      </c>
      <c r="D7" s="191">
        <v>0</v>
      </c>
      <c r="E7" s="195">
        <v>9450</v>
      </c>
      <c r="F7" s="195">
        <v>0</v>
      </c>
      <c r="G7" s="195">
        <v>4836834.2</v>
      </c>
      <c r="H7" s="5" t="s">
        <v>15</v>
      </c>
      <c r="I7" s="187"/>
    </row>
    <row r="8" spans="1:9" ht="22.5">
      <c r="A8" s="187"/>
      <c r="B8" s="191" t="s">
        <v>120</v>
      </c>
      <c r="C8" s="10" t="s">
        <v>12</v>
      </c>
      <c r="D8" s="191">
        <v>0</v>
      </c>
      <c r="E8" s="195">
        <v>3214.8</v>
      </c>
      <c r="F8" s="195">
        <v>0</v>
      </c>
      <c r="G8" s="195">
        <v>4846284.2</v>
      </c>
      <c r="H8" s="5" t="s">
        <v>13</v>
      </c>
      <c r="I8" s="187"/>
    </row>
    <row r="9" spans="1:9" ht="22.5">
      <c r="A9" s="187"/>
      <c r="B9" s="191" t="s">
        <v>120</v>
      </c>
      <c r="C9" s="10" t="s">
        <v>53</v>
      </c>
      <c r="D9" s="191">
        <v>253328</v>
      </c>
      <c r="E9" s="195">
        <v>45000</v>
      </c>
      <c r="F9" s="195">
        <v>0</v>
      </c>
      <c r="G9" s="195">
        <v>4849499</v>
      </c>
      <c r="H9" s="5">
        <v>1507</v>
      </c>
      <c r="I9" s="187"/>
    </row>
    <row r="10" spans="1:9" ht="22.5">
      <c r="A10" s="187"/>
      <c r="B10" s="191" t="s">
        <v>122</v>
      </c>
      <c r="C10" s="10" t="s">
        <v>14</v>
      </c>
      <c r="D10" s="191">
        <v>0</v>
      </c>
      <c r="E10" s="195">
        <v>199.5</v>
      </c>
      <c r="F10" s="195">
        <v>0</v>
      </c>
      <c r="G10" s="195">
        <v>5374499</v>
      </c>
      <c r="H10" s="5" t="s">
        <v>15</v>
      </c>
      <c r="I10" s="187"/>
    </row>
    <row r="11" spans="1:9" ht="22.5">
      <c r="A11" s="187"/>
      <c r="B11" s="191" t="s">
        <v>122</v>
      </c>
      <c r="C11" s="10" t="s">
        <v>12</v>
      </c>
      <c r="D11" s="191">
        <v>0</v>
      </c>
      <c r="E11" s="195">
        <v>32578.21</v>
      </c>
      <c r="F11" s="195">
        <v>0</v>
      </c>
      <c r="G11" s="195">
        <v>5374698.5</v>
      </c>
      <c r="H11" s="5" t="s">
        <v>13</v>
      </c>
      <c r="I11" s="187"/>
    </row>
    <row r="12" spans="1:9" ht="22.5">
      <c r="A12" s="187"/>
      <c r="B12" s="191" t="s">
        <v>122</v>
      </c>
      <c r="C12" s="10" t="s">
        <v>19</v>
      </c>
      <c r="D12" s="191">
        <v>56856</v>
      </c>
      <c r="E12" s="195">
        <v>54851.12</v>
      </c>
      <c r="F12" s="195">
        <v>0</v>
      </c>
      <c r="G12" s="195">
        <v>5407276.71</v>
      </c>
      <c r="H12" s="5">
        <v>382</v>
      </c>
      <c r="I12" s="187"/>
    </row>
    <row r="13" spans="1:9" ht="22.5">
      <c r="A13" s="187"/>
      <c r="B13" s="191" t="s">
        <v>123</v>
      </c>
      <c r="C13" s="10" t="s">
        <v>12</v>
      </c>
      <c r="D13" s="191">
        <v>0</v>
      </c>
      <c r="E13" s="195">
        <v>15534.03</v>
      </c>
      <c r="F13" s="195">
        <v>0</v>
      </c>
      <c r="G13" s="195">
        <v>10836777.83</v>
      </c>
      <c r="H13" s="5" t="s">
        <v>13</v>
      </c>
      <c r="I13" s="187"/>
    </row>
    <row r="14" spans="1:9" ht="22.5">
      <c r="A14" s="187"/>
      <c r="B14" s="191" t="s">
        <v>123</v>
      </c>
      <c r="C14" s="10" t="s">
        <v>10</v>
      </c>
      <c r="D14" s="191">
        <v>0</v>
      </c>
      <c r="E14" s="195">
        <v>74504.41</v>
      </c>
      <c r="F14" s="195">
        <v>0</v>
      </c>
      <c r="G14" s="195">
        <v>10852311.859999999</v>
      </c>
      <c r="H14" s="5" t="s">
        <v>11</v>
      </c>
      <c r="I14" s="187"/>
    </row>
    <row r="15" spans="1:9" ht="22.5">
      <c r="A15" s="187"/>
      <c r="B15" s="191" t="s">
        <v>123</v>
      </c>
      <c r="C15" s="10" t="s">
        <v>22</v>
      </c>
      <c r="D15" s="191">
        <v>0</v>
      </c>
      <c r="E15" s="195">
        <v>0</v>
      </c>
      <c r="F15" s="195">
        <v>1297402.47</v>
      </c>
      <c r="G15" s="195">
        <v>10926816.27</v>
      </c>
      <c r="H15" s="5" t="s">
        <v>23</v>
      </c>
      <c r="I15" s="187"/>
    </row>
    <row r="16" spans="1:9" ht="22.5">
      <c r="A16" s="187"/>
      <c r="B16" s="191" t="s">
        <v>124</v>
      </c>
      <c r="C16" s="10" t="s">
        <v>12</v>
      </c>
      <c r="D16" s="191">
        <v>0</v>
      </c>
      <c r="E16" s="195">
        <v>10333.81</v>
      </c>
      <c r="F16" s="195">
        <v>0</v>
      </c>
      <c r="G16" s="195">
        <v>1098419.76</v>
      </c>
      <c r="H16" s="5" t="s">
        <v>13</v>
      </c>
      <c r="I16" s="187"/>
    </row>
    <row r="17" spans="1:9" ht="22.5">
      <c r="A17" s="187"/>
      <c r="B17" s="191" t="s">
        <v>124</v>
      </c>
      <c r="C17" s="10" t="s">
        <v>43</v>
      </c>
      <c r="D17" s="191">
        <v>624447</v>
      </c>
      <c r="E17" s="195">
        <v>172301.2</v>
      </c>
      <c r="F17" s="195">
        <v>0</v>
      </c>
      <c r="G17" s="195">
        <v>1108753.57</v>
      </c>
      <c r="H17" s="5">
        <v>382</v>
      </c>
      <c r="I17" s="187"/>
    </row>
    <row r="18" spans="1:9" ht="22.5">
      <c r="A18" s="187"/>
      <c r="B18" s="191" t="s">
        <v>125</v>
      </c>
      <c r="C18" s="10" t="s">
        <v>12</v>
      </c>
      <c r="D18" s="191">
        <v>0</v>
      </c>
      <c r="E18" s="195">
        <v>1446.94</v>
      </c>
      <c r="F18" s="195">
        <v>0</v>
      </c>
      <c r="G18" s="195">
        <v>2831054.77</v>
      </c>
      <c r="H18" s="5" t="s">
        <v>13</v>
      </c>
      <c r="I18" s="187"/>
    </row>
    <row r="19" spans="1:9" ht="22.5">
      <c r="A19" s="187"/>
      <c r="B19" s="191" t="s">
        <v>126</v>
      </c>
      <c r="C19" s="10" t="s">
        <v>14</v>
      </c>
      <c r="D19" s="191">
        <v>0</v>
      </c>
      <c r="E19" s="195">
        <v>63</v>
      </c>
      <c r="F19" s="195">
        <v>0</v>
      </c>
      <c r="G19" s="195">
        <v>3073659.26</v>
      </c>
      <c r="H19" s="5" t="s">
        <v>15</v>
      </c>
      <c r="I19" s="187"/>
    </row>
    <row r="20" spans="1:9" ht="22.5">
      <c r="A20" s="187"/>
      <c r="B20" s="191" t="s">
        <v>126</v>
      </c>
      <c r="C20" s="10" t="s">
        <v>12</v>
      </c>
      <c r="D20" s="191">
        <v>0</v>
      </c>
      <c r="E20" s="195">
        <v>30332.27</v>
      </c>
      <c r="F20" s="195">
        <v>0</v>
      </c>
      <c r="G20" s="195">
        <v>3073722.26</v>
      </c>
      <c r="H20" s="5" t="s">
        <v>13</v>
      </c>
      <c r="I20" s="187"/>
    </row>
    <row r="21" spans="1:9" ht="22.5">
      <c r="A21" s="187"/>
      <c r="B21" s="191" t="s">
        <v>126</v>
      </c>
      <c r="C21" s="18" t="s">
        <v>142</v>
      </c>
      <c r="D21" s="191">
        <v>335536</v>
      </c>
      <c r="E21" s="195">
        <v>300</v>
      </c>
      <c r="F21" s="195">
        <v>0</v>
      </c>
      <c r="G21" s="195">
        <v>8159071.5199999996</v>
      </c>
      <c r="H21" s="5">
        <v>211</v>
      </c>
      <c r="I21" s="187"/>
    </row>
    <row r="22" spans="1:9" ht="22.5">
      <c r="A22" s="187"/>
      <c r="B22" s="191" t="s">
        <v>127</v>
      </c>
      <c r="C22" s="10" t="s">
        <v>12</v>
      </c>
      <c r="D22" s="191">
        <v>0</v>
      </c>
      <c r="E22" s="195">
        <v>2551.2800000000002</v>
      </c>
      <c r="F22" s="195">
        <v>0</v>
      </c>
      <c r="G22" s="195">
        <v>8159371.5199999996</v>
      </c>
      <c r="H22" s="5" t="s">
        <v>13</v>
      </c>
      <c r="I22" s="187"/>
    </row>
    <row r="23" spans="1:9" ht="22.5">
      <c r="A23" s="187"/>
      <c r="B23" s="191" t="s">
        <v>128</v>
      </c>
      <c r="C23" s="10" t="s">
        <v>14</v>
      </c>
      <c r="D23" s="191">
        <v>0</v>
      </c>
      <c r="E23" s="195">
        <v>63</v>
      </c>
      <c r="F23" s="195">
        <v>0</v>
      </c>
      <c r="G23" s="195">
        <v>8587136.5</v>
      </c>
      <c r="H23" s="5" t="s">
        <v>15</v>
      </c>
      <c r="I23" s="187"/>
    </row>
    <row r="24" spans="1:9" ht="22.5">
      <c r="A24" s="187"/>
      <c r="B24" s="191" t="s">
        <v>128</v>
      </c>
      <c r="C24" s="10" t="s">
        <v>12</v>
      </c>
      <c r="D24" s="191">
        <v>0</v>
      </c>
      <c r="E24" s="195">
        <v>9570.85</v>
      </c>
      <c r="F24" s="195">
        <v>0</v>
      </c>
      <c r="G24" s="195">
        <v>8587199.5</v>
      </c>
      <c r="H24" s="5" t="s">
        <v>13</v>
      </c>
      <c r="I24" s="187"/>
    </row>
    <row r="25" spans="1:9" ht="22.5">
      <c r="A25" s="187"/>
      <c r="B25" s="191" t="s">
        <v>128</v>
      </c>
      <c r="C25" s="10" t="s">
        <v>10</v>
      </c>
      <c r="D25" s="191">
        <v>0</v>
      </c>
      <c r="E25" s="195">
        <v>62192.74</v>
      </c>
      <c r="F25" s="195">
        <v>0</v>
      </c>
      <c r="G25" s="195">
        <v>8596770.3499999996</v>
      </c>
      <c r="H25" s="5" t="s">
        <v>11</v>
      </c>
      <c r="I25" s="187"/>
    </row>
    <row r="26" spans="1:9" ht="22.5">
      <c r="A26" s="187"/>
      <c r="B26" s="191" t="s">
        <v>128</v>
      </c>
      <c r="C26" s="10" t="s">
        <v>22</v>
      </c>
      <c r="D26" s="191">
        <v>0</v>
      </c>
      <c r="E26" s="195">
        <v>0</v>
      </c>
      <c r="F26" s="195">
        <v>103457.16</v>
      </c>
      <c r="G26" s="195">
        <v>8658963.0899999999</v>
      </c>
      <c r="H26" s="5" t="s">
        <v>23</v>
      </c>
      <c r="I26" s="187"/>
    </row>
    <row r="27" spans="1:9" ht="22.5">
      <c r="A27" s="187"/>
      <c r="B27" s="191" t="s">
        <v>128</v>
      </c>
      <c r="C27" s="10" t="s">
        <v>19</v>
      </c>
      <c r="D27" s="191">
        <v>650705</v>
      </c>
      <c r="E27" s="195">
        <v>194779.01</v>
      </c>
      <c r="F27" s="195">
        <v>0</v>
      </c>
      <c r="G27" s="195">
        <v>-1706494.07</v>
      </c>
      <c r="H27" s="5">
        <v>382</v>
      </c>
      <c r="I27" s="187"/>
    </row>
    <row r="28" spans="1:9" ht="22.5">
      <c r="A28" s="187"/>
      <c r="B28" s="191" t="s">
        <v>128</v>
      </c>
      <c r="C28" s="18" t="s">
        <v>142</v>
      </c>
      <c r="D28" s="191">
        <v>335536</v>
      </c>
      <c r="E28" s="195">
        <v>300</v>
      </c>
      <c r="F28" s="195">
        <v>0</v>
      </c>
      <c r="G28" s="195">
        <v>-111715.06</v>
      </c>
      <c r="H28" s="5">
        <v>211</v>
      </c>
      <c r="I28" s="187"/>
    </row>
    <row r="29" spans="1:9" ht="22.5">
      <c r="A29" s="187"/>
      <c r="B29" s="191" t="s">
        <v>129</v>
      </c>
      <c r="C29" s="10" t="s">
        <v>12</v>
      </c>
      <c r="D29" s="191">
        <v>0</v>
      </c>
      <c r="E29" s="195">
        <v>46084.92</v>
      </c>
      <c r="F29" s="195">
        <v>0</v>
      </c>
      <c r="G29" s="195">
        <v>-111415.06</v>
      </c>
      <c r="H29" s="5" t="s">
        <v>13</v>
      </c>
      <c r="I29" s="187"/>
    </row>
    <row r="30" spans="1:9" ht="22.5">
      <c r="A30" s="187"/>
      <c r="B30" s="191" t="s">
        <v>129</v>
      </c>
      <c r="C30" s="10" t="s">
        <v>10</v>
      </c>
      <c r="D30" s="191">
        <v>0</v>
      </c>
      <c r="E30" s="195">
        <v>23603.31</v>
      </c>
      <c r="F30" s="195">
        <v>0</v>
      </c>
      <c r="G30" s="195">
        <v>-65330.14</v>
      </c>
      <c r="H30" s="5" t="s">
        <v>11</v>
      </c>
      <c r="I30" s="187"/>
    </row>
    <row r="31" spans="1:9" ht="22.5">
      <c r="A31" s="187"/>
      <c r="B31" s="191" t="s">
        <v>129</v>
      </c>
      <c r="C31" s="10" t="s">
        <v>44</v>
      </c>
      <c r="D31" s="191">
        <v>228918</v>
      </c>
      <c r="E31" s="195">
        <v>1081706.69</v>
      </c>
      <c r="F31" s="195">
        <v>0</v>
      </c>
      <c r="G31" s="195">
        <v>6477386.9699999997</v>
      </c>
      <c r="H31" s="5">
        <v>382</v>
      </c>
      <c r="I31" s="187"/>
    </row>
    <row r="32" spans="1:9" ht="22.5">
      <c r="A32" s="187"/>
      <c r="B32" s="191" t="s">
        <v>129</v>
      </c>
      <c r="C32" s="73" t="s">
        <v>149</v>
      </c>
      <c r="D32" s="191">
        <v>440418</v>
      </c>
      <c r="E32" s="195">
        <v>0</v>
      </c>
      <c r="F32" s="195">
        <v>39384.29</v>
      </c>
      <c r="G32" s="195">
        <v>7639093.6600000001</v>
      </c>
      <c r="H32" s="5">
        <v>1872</v>
      </c>
      <c r="I32" s="187"/>
    </row>
    <row r="33" spans="1:9" ht="22.5">
      <c r="A33" s="187"/>
      <c r="B33" s="191" t="s">
        <v>130</v>
      </c>
      <c r="C33" s="10" t="s">
        <v>12</v>
      </c>
      <c r="D33" s="191">
        <v>0</v>
      </c>
      <c r="E33" s="195">
        <v>616.44000000000005</v>
      </c>
      <c r="F33" s="195">
        <v>0</v>
      </c>
      <c r="G33" s="195">
        <v>3705209.37</v>
      </c>
      <c r="H33" s="5" t="s">
        <v>13</v>
      </c>
      <c r="I33" s="187"/>
    </row>
    <row r="34" spans="1:9" ht="22.5">
      <c r="A34" s="187"/>
      <c r="B34" s="191" t="s">
        <v>130</v>
      </c>
      <c r="C34" s="10" t="s">
        <v>18</v>
      </c>
      <c r="D34" s="191">
        <v>171489</v>
      </c>
      <c r="E34" s="195">
        <v>102739.67</v>
      </c>
      <c r="F34" s="195">
        <v>0</v>
      </c>
      <c r="G34" s="195">
        <v>3705825.81</v>
      </c>
      <c r="H34" s="5">
        <v>382</v>
      </c>
      <c r="I34" s="187"/>
    </row>
    <row r="35" spans="1:9" ht="22.5">
      <c r="A35" s="187"/>
      <c r="B35" s="191" t="s">
        <v>131</v>
      </c>
      <c r="C35" s="10" t="s">
        <v>14</v>
      </c>
      <c r="D35" s="191">
        <v>0</v>
      </c>
      <c r="E35" s="195">
        <v>63</v>
      </c>
      <c r="F35" s="195">
        <v>0</v>
      </c>
      <c r="G35" s="195">
        <v>3808565.48</v>
      </c>
      <c r="H35" s="5" t="s">
        <v>15</v>
      </c>
      <c r="I35" s="187"/>
    </row>
    <row r="36" spans="1:9" ht="22.5">
      <c r="A36" s="187"/>
      <c r="B36" s="191" t="s">
        <v>131</v>
      </c>
      <c r="C36" s="10" t="s">
        <v>12</v>
      </c>
      <c r="D36" s="191">
        <v>0</v>
      </c>
      <c r="E36" s="195">
        <v>16475.34</v>
      </c>
      <c r="F36" s="195">
        <v>0</v>
      </c>
      <c r="G36" s="195">
        <v>3808628.48</v>
      </c>
      <c r="H36" s="5" t="s">
        <v>13</v>
      </c>
      <c r="I36" s="187"/>
    </row>
    <row r="37" spans="1:9" ht="22.5">
      <c r="A37" s="187"/>
      <c r="B37" s="191" t="s">
        <v>131</v>
      </c>
      <c r="C37" s="18" t="s">
        <v>142</v>
      </c>
      <c r="D37" s="191">
        <v>335536</v>
      </c>
      <c r="E37" s="195">
        <v>300</v>
      </c>
      <c r="F37" s="195">
        <v>0</v>
      </c>
      <c r="G37" s="195">
        <v>3825103.82</v>
      </c>
      <c r="H37" s="5">
        <v>211</v>
      </c>
      <c r="I37" s="187"/>
    </row>
    <row r="38" spans="1:9" ht="22.5">
      <c r="A38" s="187"/>
      <c r="B38" s="191" t="s">
        <v>132</v>
      </c>
      <c r="C38" s="10" t="s">
        <v>14</v>
      </c>
      <c r="D38" s="191">
        <v>0</v>
      </c>
      <c r="E38" s="195">
        <v>63</v>
      </c>
      <c r="F38" s="195">
        <v>0</v>
      </c>
      <c r="G38" s="195">
        <v>6570930.7599999998</v>
      </c>
      <c r="H38" s="5" t="s">
        <v>15</v>
      </c>
      <c r="I38" s="187"/>
    </row>
    <row r="39" spans="1:9" ht="22.5">
      <c r="A39" s="187"/>
      <c r="B39" s="191" t="s">
        <v>132</v>
      </c>
      <c r="C39" s="10" t="s">
        <v>12</v>
      </c>
      <c r="D39" s="191">
        <v>0</v>
      </c>
      <c r="E39" s="195">
        <v>49545.77</v>
      </c>
      <c r="F39" s="195">
        <v>0</v>
      </c>
      <c r="G39" s="195">
        <v>6570993.7599999998</v>
      </c>
      <c r="H39" s="5" t="s">
        <v>13</v>
      </c>
      <c r="I39" s="187"/>
    </row>
    <row r="40" spans="1:9" ht="22.5">
      <c r="A40" s="187"/>
      <c r="B40" s="191" t="s">
        <v>132</v>
      </c>
      <c r="C40" s="10" t="s">
        <v>10</v>
      </c>
      <c r="D40" s="191">
        <v>0</v>
      </c>
      <c r="E40" s="195">
        <v>74504.41</v>
      </c>
      <c r="F40" s="195">
        <v>0</v>
      </c>
      <c r="G40" s="195">
        <v>6620539.5300000003</v>
      </c>
      <c r="H40" s="5" t="s">
        <v>11</v>
      </c>
      <c r="I40" s="187"/>
    </row>
    <row r="41" spans="1:9" ht="22.5">
      <c r="A41" s="187"/>
      <c r="B41" s="191" t="s">
        <v>132</v>
      </c>
      <c r="C41" s="10" t="s">
        <v>22</v>
      </c>
      <c r="D41" s="191">
        <v>0</v>
      </c>
      <c r="E41" s="195">
        <v>0</v>
      </c>
      <c r="F41" s="195">
        <v>124020.47</v>
      </c>
      <c r="G41" s="195">
        <v>6695043.9400000004</v>
      </c>
      <c r="H41" s="5" t="s">
        <v>23</v>
      </c>
      <c r="I41" s="187"/>
    </row>
    <row r="42" spans="1:9" ht="22.5">
      <c r="A42" s="187"/>
      <c r="B42" s="191" t="s">
        <v>132</v>
      </c>
      <c r="C42" s="18" t="s">
        <v>142</v>
      </c>
      <c r="D42" s="191">
        <v>335536</v>
      </c>
      <c r="E42" s="195">
        <v>300</v>
      </c>
      <c r="F42" s="195">
        <v>0</v>
      </c>
      <c r="G42" s="195">
        <v>739200.86</v>
      </c>
      <c r="H42" s="5">
        <v>211</v>
      </c>
      <c r="I42" s="187"/>
    </row>
    <row r="43" spans="1:9" ht="22.5">
      <c r="A43" s="187"/>
      <c r="B43" s="191" t="s">
        <v>133</v>
      </c>
      <c r="C43" s="10" t="s">
        <v>14</v>
      </c>
      <c r="D43" s="191">
        <v>0</v>
      </c>
      <c r="E43" s="195">
        <v>136.5</v>
      </c>
      <c r="F43" s="195">
        <v>0</v>
      </c>
      <c r="G43" s="195">
        <v>2535205.86</v>
      </c>
      <c r="H43" s="5" t="s">
        <v>15</v>
      </c>
      <c r="I43" s="187"/>
    </row>
    <row r="44" spans="1:9" ht="22.5">
      <c r="A44" s="187"/>
      <c r="B44" s="191" t="s">
        <v>133</v>
      </c>
      <c r="C44" s="10" t="s">
        <v>12</v>
      </c>
      <c r="D44" s="191">
        <v>0</v>
      </c>
      <c r="E44" s="195">
        <v>826.45</v>
      </c>
      <c r="F44" s="195">
        <v>0</v>
      </c>
      <c r="G44" s="195">
        <v>2535342.36</v>
      </c>
      <c r="H44" s="5" t="s">
        <v>13</v>
      </c>
      <c r="I44" s="187"/>
    </row>
    <row r="45" spans="1:9" ht="22.5">
      <c r="A45" s="187"/>
      <c r="B45" s="191" t="s">
        <v>133</v>
      </c>
      <c r="C45" s="10" t="s">
        <v>10</v>
      </c>
      <c r="D45" s="191">
        <v>0</v>
      </c>
      <c r="E45" s="195">
        <v>16246.44</v>
      </c>
      <c r="F45" s="195">
        <v>0</v>
      </c>
      <c r="G45" s="195">
        <v>2536168.81</v>
      </c>
      <c r="H45" s="5" t="s">
        <v>11</v>
      </c>
      <c r="I45" s="187"/>
    </row>
    <row r="46" spans="1:9" ht="22.5">
      <c r="A46" s="187"/>
      <c r="B46" s="191" t="s">
        <v>133</v>
      </c>
      <c r="C46" s="73" t="s">
        <v>149</v>
      </c>
      <c r="D46" s="191">
        <v>190223</v>
      </c>
      <c r="E46" s="195">
        <v>0</v>
      </c>
      <c r="F46" s="195">
        <v>27040.05</v>
      </c>
      <c r="G46" s="195">
        <v>2552415.25</v>
      </c>
      <c r="H46" s="5">
        <v>974</v>
      </c>
      <c r="I46" s="187"/>
    </row>
    <row r="47" spans="1:9" ht="22.5">
      <c r="A47" s="187"/>
      <c r="B47" s="191" t="s">
        <v>133</v>
      </c>
      <c r="C47" s="18" t="s">
        <v>142</v>
      </c>
      <c r="D47" s="191">
        <v>335536</v>
      </c>
      <c r="E47" s="195">
        <v>650</v>
      </c>
      <c r="F47" s="195">
        <v>0</v>
      </c>
      <c r="G47" s="195">
        <v>-155324.79999999999</v>
      </c>
      <c r="H47" s="5">
        <v>211</v>
      </c>
      <c r="I47" s="187"/>
    </row>
    <row r="48" spans="1:9" ht="22.5">
      <c r="A48" s="187"/>
      <c r="B48" s="191" t="s">
        <v>133</v>
      </c>
      <c r="C48" s="6" t="s">
        <v>148</v>
      </c>
      <c r="D48" s="191">
        <v>614145</v>
      </c>
      <c r="E48" s="195">
        <v>117222.02</v>
      </c>
      <c r="F48" s="195">
        <v>0</v>
      </c>
      <c r="G48" s="195">
        <v>-154674.79999999999</v>
      </c>
      <c r="H48" s="5">
        <v>429</v>
      </c>
      <c r="I48" s="187"/>
    </row>
    <row r="49" spans="1:9" ht="22.5">
      <c r="A49" s="187"/>
      <c r="B49" s="191" t="s">
        <v>134</v>
      </c>
      <c r="C49" s="10" t="s">
        <v>12</v>
      </c>
      <c r="D49" s="191">
        <v>0</v>
      </c>
      <c r="E49" s="195">
        <v>75730.710000000006</v>
      </c>
      <c r="F49" s="195">
        <v>0</v>
      </c>
      <c r="G49" s="195">
        <v>-17719.41</v>
      </c>
      <c r="H49" s="5" t="s">
        <v>13</v>
      </c>
      <c r="I49" s="187"/>
    </row>
    <row r="50" spans="1:9" ht="22.5">
      <c r="A50" s="187"/>
      <c r="B50" s="191" t="s">
        <v>134</v>
      </c>
      <c r="C50" s="10" t="s">
        <v>10</v>
      </c>
      <c r="D50" s="191">
        <v>0</v>
      </c>
      <c r="E50" s="195">
        <v>28350.85</v>
      </c>
      <c r="F50" s="195">
        <v>0</v>
      </c>
      <c r="G50" s="195">
        <v>58011.3</v>
      </c>
      <c r="H50" s="5" t="s">
        <v>11</v>
      </c>
      <c r="I50" s="187"/>
    </row>
    <row r="51" spans="1:9" ht="22.5">
      <c r="A51" s="187"/>
      <c r="B51" s="191" t="s">
        <v>134</v>
      </c>
      <c r="C51" s="6" t="s">
        <v>33</v>
      </c>
      <c r="D51" s="191">
        <v>729846</v>
      </c>
      <c r="E51" s="195">
        <v>80000</v>
      </c>
      <c r="F51" s="195">
        <v>0</v>
      </c>
      <c r="G51" s="195">
        <v>86362.15</v>
      </c>
      <c r="H51" s="5">
        <v>110</v>
      </c>
      <c r="I51" s="187"/>
    </row>
    <row r="52" spans="1:9" ht="22.5">
      <c r="A52" s="187"/>
      <c r="B52" s="191" t="s">
        <v>134</v>
      </c>
      <c r="C52" s="6" t="s">
        <v>33</v>
      </c>
      <c r="D52" s="191">
        <v>191884</v>
      </c>
      <c r="E52" s="195">
        <v>80000</v>
      </c>
      <c r="F52" s="195">
        <v>0</v>
      </c>
      <c r="G52" s="195">
        <v>11224196.76</v>
      </c>
      <c r="H52" s="5">
        <v>244</v>
      </c>
      <c r="I52" s="187"/>
    </row>
    <row r="53" spans="1:9" ht="22.5">
      <c r="A53" s="187"/>
      <c r="B53" s="191" t="s">
        <v>134</v>
      </c>
      <c r="C53" s="10" t="s">
        <v>26</v>
      </c>
      <c r="D53" s="191">
        <v>600508</v>
      </c>
      <c r="E53" s="195">
        <v>0</v>
      </c>
      <c r="F53" s="195">
        <v>79543.59</v>
      </c>
      <c r="G53" s="195">
        <v>12708146.76</v>
      </c>
      <c r="H53" s="5">
        <v>940</v>
      </c>
      <c r="I53" s="187"/>
    </row>
    <row r="54" spans="1:9" ht="22.5">
      <c r="A54" s="187"/>
      <c r="B54" s="191" t="s">
        <v>134</v>
      </c>
      <c r="C54" s="73" t="s">
        <v>149</v>
      </c>
      <c r="D54" s="191">
        <v>997961</v>
      </c>
      <c r="E54" s="195">
        <v>0</v>
      </c>
      <c r="F54" s="195">
        <v>10000</v>
      </c>
      <c r="G54" s="195">
        <v>4753393.17</v>
      </c>
      <c r="H54" s="5">
        <v>1872</v>
      </c>
      <c r="I54" s="187"/>
    </row>
    <row r="55" spans="1:9" ht="22.5">
      <c r="A55" s="187"/>
      <c r="B55" s="191" t="s">
        <v>134</v>
      </c>
      <c r="C55" s="10" t="s">
        <v>26</v>
      </c>
      <c r="D55" s="191">
        <v>378769</v>
      </c>
      <c r="E55" s="195">
        <v>0</v>
      </c>
      <c r="F55" s="195">
        <v>10000.74</v>
      </c>
      <c r="G55" s="195">
        <v>28252.01</v>
      </c>
      <c r="H55" s="5">
        <v>940</v>
      </c>
      <c r="I55" s="187"/>
    </row>
    <row r="56" spans="1:9" ht="22.5">
      <c r="A56" s="187"/>
      <c r="B56" s="191" t="s">
        <v>135</v>
      </c>
      <c r="C56" s="10" t="s">
        <v>14</v>
      </c>
      <c r="D56" s="191">
        <v>0</v>
      </c>
      <c r="E56" s="195">
        <v>126</v>
      </c>
      <c r="F56" s="195">
        <v>0</v>
      </c>
      <c r="G56" s="195">
        <v>-971827.73</v>
      </c>
      <c r="H56" s="5" t="s">
        <v>15</v>
      </c>
      <c r="I56" s="187"/>
    </row>
    <row r="57" spans="1:9" ht="22.5">
      <c r="A57" s="187"/>
      <c r="B57" s="191" t="s">
        <v>135</v>
      </c>
      <c r="C57" s="10" t="s">
        <v>12</v>
      </c>
      <c r="D57" s="191">
        <v>0</v>
      </c>
      <c r="E57" s="195">
        <v>6004.36</v>
      </c>
      <c r="F57" s="195">
        <v>0</v>
      </c>
      <c r="G57" s="195">
        <v>-971701.73</v>
      </c>
      <c r="H57" s="5" t="s">
        <v>13</v>
      </c>
      <c r="I57" s="187"/>
    </row>
    <row r="58" spans="1:9" ht="22.5">
      <c r="A58" s="187"/>
      <c r="B58" s="191" t="s">
        <v>135</v>
      </c>
      <c r="C58" s="10" t="s">
        <v>117</v>
      </c>
      <c r="D58" s="191">
        <v>0</v>
      </c>
      <c r="E58" s="195">
        <v>600</v>
      </c>
      <c r="F58" s="195">
        <v>0</v>
      </c>
      <c r="G58" s="195">
        <v>-965697.37</v>
      </c>
      <c r="H58" s="5">
        <v>1572</v>
      </c>
      <c r="I58" s="187"/>
    </row>
    <row r="59" spans="1:9" ht="22.5">
      <c r="A59" s="187"/>
      <c r="B59" s="191" t="s">
        <v>136</v>
      </c>
      <c r="C59" s="10" t="s">
        <v>14</v>
      </c>
      <c r="D59" s="191">
        <v>0</v>
      </c>
      <c r="E59" s="195">
        <v>41.16</v>
      </c>
      <c r="F59" s="195">
        <v>0</v>
      </c>
      <c r="G59" s="195">
        <v>34902.629999999997</v>
      </c>
      <c r="H59" s="5" t="s">
        <v>15</v>
      </c>
      <c r="I59" s="187"/>
    </row>
    <row r="60" spans="1:9" ht="22.5">
      <c r="A60" s="187"/>
      <c r="B60" s="191" t="s">
        <v>136</v>
      </c>
      <c r="C60" s="10" t="s">
        <v>12</v>
      </c>
      <c r="D60" s="191">
        <v>0</v>
      </c>
      <c r="E60" s="195">
        <v>8013.87</v>
      </c>
      <c r="F60" s="195">
        <v>0</v>
      </c>
      <c r="G60" s="195">
        <v>34943.79</v>
      </c>
      <c r="H60" s="5" t="s">
        <v>13</v>
      </c>
      <c r="I60" s="187"/>
    </row>
    <row r="61" spans="1:9" ht="22.5">
      <c r="A61" s="187"/>
      <c r="B61" s="191" t="s">
        <v>136</v>
      </c>
      <c r="C61" s="10" t="s">
        <v>51</v>
      </c>
      <c r="D61" s="191">
        <v>87332</v>
      </c>
      <c r="E61" s="195">
        <v>0</v>
      </c>
      <c r="F61" s="195">
        <v>14.18</v>
      </c>
      <c r="G61" s="195">
        <v>42957.66</v>
      </c>
      <c r="H61" s="5">
        <v>947</v>
      </c>
      <c r="I61" s="187"/>
    </row>
    <row r="62" spans="1:9" ht="22.5">
      <c r="A62" s="187"/>
      <c r="B62" s="191" t="s">
        <v>136</v>
      </c>
      <c r="C62" s="10" t="s">
        <v>109</v>
      </c>
      <c r="D62" s="191">
        <v>12</v>
      </c>
      <c r="E62" s="195">
        <v>111385.65</v>
      </c>
      <c r="F62" s="195">
        <v>0</v>
      </c>
      <c r="G62" s="195">
        <v>42943.48</v>
      </c>
      <c r="H62" s="5">
        <v>485</v>
      </c>
      <c r="I62" s="187"/>
    </row>
    <row r="63" spans="1:9" ht="22.5">
      <c r="A63" s="187"/>
      <c r="B63" s="191" t="s">
        <v>136</v>
      </c>
      <c r="C63" s="10" t="s">
        <v>37</v>
      </c>
      <c r="D63" s="191">
        <v>484729</v>
      </c>
      <c r="E63" s="195">
        <v>10665.57</v>
      </c>
      <c r="F63" s="195">
        <v>0</v>
      </c>
      <c r="G63" s="195">
        <v>154329.13</v>
      </c>
      <c r="H63" s="5">
        <v>382</v>
      </c>
      <c r="I63" s="187"/>
    </row>
    <row r="64" spans="1:9" ht="22.5">
      <c r="A64" s="187"/>
      <c r="B64" s="191" t="s">
        <v>136</v>
      </c>
      <c r="C64" s="10" t="s">
        <v>37</v>
      </c>
      <c r="D64" s="191">
        <v>724068</v>
      </c>
      <c r="E64" s="195">
        <v>205426.41</v>
      </c>
      <c r="F64" s="195">
        <v>0</v>
      </c>
      <c r="G64" s="195">
        <v>1166994.7</v>
      </c>
      <c r="H64" s="5">
        <v>382</v>
      </c>
      <c r="I64" s="187"/>
    </row>
    <row r="65" spans="1:9" ht="22.5">
      <c r="A65" s="187"/>
      <c r="B65" s="191" t="s">
        <v>136</v>
      </c>
      <c r="C65" s="10" t="s">
        <v>26</v>
      </c>
      <c r="D65" s="191">
        <v>76102</v>
      </c>
      <c r="E65" s="195">
        <v>0</v>
      </c>
      <c r="F65" s="195">
        <v>1100119.3400000001</v>
      </c>
      <c r="G65" s="195">
        <v>1372421.11</v>
      </c>
      <c r="H65" s="5">
        <v>940</v>
      </c>
      <c r="I65" s="187"/>
    </row>
    <row r="66" spans="1:9" ht="22.5">
      <c r="A66" s="187"/>
      <c r="B66" s="191" t="s">
        <v>136</v>
      </c>
      <c r="C66" s="10" t="s">
        <v>9</v>
      </c>
      <c r="D66" s="191">
        <v>253075</v>
      </c>
      <c r="E66" s="195">
        <v>5930</v>
      </c>
      <c r="F66" s="195">
        <v>0</v>
      </c>
      <c r="G66" s="195">
        <v>272301.77</v>
      </c>
      <c r="H66" s="5">
        <v>518</v>
      </c>
      <c r="I66" s="187"/>
    </row>
    <row r="67" spans="1:9" ht="22.5">
      <c r="A67" s="187"/>
      <c r="B67" s="191" t="s">
        <v>136</v>
      </c>
      <c r="C67" s="10" t="s">
        <v>109</v>
      </c>
      <c r="D67" s="191">
        <v>796308</v>
      </c>
      <c r="E67" s="195">
        <v>196</v>
      </c>
      <c r="F67" s="195">
        <v>0</v>
      </c>
      <c r="G67" s="195">
        <v>278231.77</v>
      </c>
      <c r="H67" s="5">
        <v>356</v>
      </c>
      <c r="I67" s="18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59FFC-7871-4206-9A62-3EFB1AFAF69E}">
  <sheetPr codeName="Hoja8"/>
  <dimension ref="B1:AF235"/>
  <sheetViews>
    <sheetView zoomScale="85" zoomScaleNormal="85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ColWidth="11.5703125" defaultRowHeight="12.75"/>
  <cols>
    <col min="1" max="1" width="5.140625" customWidth="1"/>
    <col min="2" max="2" width="13.28515625" customWidth="1"/>
    <col min="3" max="3" width="65.28515625" customWidth="1"/>
    <col min="4" max="4" width="8.7109375" customWidth="1"/>
    <col min="5" max="6" width="15.7109375" customWidth="1"/>
    <col min="7" max="7" width="18.140625" customWidth="1"/>
    <col min="9" max="9" width="14" customWidth="1"/>
    <col min="10" max="11" width="20.85546875" customWidth="1"/>
    <col min="12" max="12" width="11.85546875" customWidth="1"/>
    <col min="13" max="13" width="19" bestFit="1" customWidth="1"/>
    <col min="14" max="14" width="15.5703125" bestFit="1" customWidth="1"/>
    <col min="15" max="15" width="15.7109375" bestFit="1" customWidth="1"/>
    <col min="16" max="16" width="16.28515625" bestFit="1" customWidth="1"/>
    <col min="17" max="17" width="15.85546875" bestFit="1" customWidth="1"/>
    <col min="18" max="18" width="14.85546875" bestFit="1" customWidth="1"/>
    <col min="19" max="19" width="11.85546875" customWidth="1"/>
    <col min="20" max="20" width="16.28515625" bestFit="1" customWidth="1"/>
    <col min="21" max="21" width="14.7109375" bestFit="1" customWidth="1"/>
    <col min="22" max="22" width="15.85546875" bestFit="1" customWidth="1"/>
    <col min="23" max="23" width="14.7109375" bestFit="1" customWidth="1"/>
    <col min="24" max="24" width="13.7109375" bestFit="1" customWidth="1"/>
    <col min="25" max="25" width="15.42578125" bestFit="1" customWidth="1"/>
    <col min="26" max="26" width="15.7109375" bestFit="1" customWidth="1"/>
    <col min="27" max="27" width="15.42578125" bestFit="1" customWidth="1"/>
    <col min="28" max="28" width="12.7109375" bestFit="1" customWidth="1"/>
    <col min="29" max="29" width="15.42578125" bestFit="1" customWidth="1"/>
    <col min="30" max="30" width="15.5703125" bestFit="1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B2" s="68"/>
      <c r="C2" s="73"/>
      <c r="D2" s="68"/>
      <c r="E2" s="52"/>
      <c r="F2" s="52"/>
      <c r="G2" s="52"/>
      <c r="H2" s="53"/>
      <c r="I2" s="70"/>
      <c r="J2" s="17"/>
      <c r="K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</row>
    <row r="3" spans="2:32">
      <c r="B3" s="68"/>
      <c r="C3" s="73"/>
      <c r="D3" s="68"/>
      <c r="E3" s="52"/>
      <c r="F3" s="52"/>
      <c r="G3" s="52"/>
      <c r="H3" s="53"/>
      <c r="I3" s="70"/>
      <c r="J3" s="17"/>
      <c r="K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</row>
    <row r="4" spans="2:32">
      <c r="B4" s="68"/>
      <c r="C4" s="73"/>
      <c r="D4" s="68"/>
      <c r="E4" s="52"/>
      <c r="F4" s="52"/>
      <c r="G4" s="52"/>
      <c r="H4" s="53"/>
      <c r="I4" s="70"/>
      <c r="J4" s="17"/>
      <c r="K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</row>
    <row r="5" spans="2:32">
      <c r="B5" s="68"/>
      <c r="C5" s="69"/>
      <c r="D5" s="68"/>
      <c r="E5" s="52"/>
      <c r="F5" s="52"/>
      <c r="G5" s="52"/>
      <c r="H5" s="53"/>
      <c r="I5" s="70"/>
      <c r="J5" s="17"/>
      <c r="K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6" spans="2:32">
      <c r="B6" s="68"/>
      <c r="C6" s="69"/>
      <c r="D6" s="68"/>
      <c r="E6" s="52"/>
      <c r="F6" s="52"/>
      <c r="G6" s="52"/>
      <c r="H6" s="53"/>
      <c r="I6" s="70"/>
      <c r="J6" s="17"/>
      <c r="K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</row>
    <row r="7" spans="2:32">
      <c r="B7" s="68"/>
      <c r="C7" s="69"/>
      <c r="D7" s="68"/>
      <c r="E7" s="52"/>
      <c r="F7" s="52"/>
      <c r="G7" s="52"/>
      <c r="H7" s="53"/>
      <c r="I7" s="70"/>
      <c r="J7" s="17"/>
      <c r="K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</row>
    <row r="8" spans="2:32">
      <c r="B8" s="68"/>
      <c r="C8" s="69"/>
      <c r="D8" s="68"/>
      <c r="E8" s="52"/>
      <c r="F8" s="52"/>
      <c r="G8" s="52"/>
      <c r="H8" s="53"/>
      <c r="I8" s="70"/>
      <c r="J8" s="17"/>
      <c r="K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</row>
    <row r="9" spans="2:32">
      <c r="B9" s="68"/>
      <c r="C9" s="73"/>
      <c r="D9" s="68"/>
      <c r="E9" s="52"/>
      <c r="F9" s="52"/>
      <c r="G9" s="52"/>
      <c r="H9" s="53"/>
      <c r="I9" s="70"/>
      <c r="J9" s="17"/>
      <c r="K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</row>
    <row r="10" spans="2:32">
      <c r="B10" s="68"/>
      <c r="C10" s="73"/>
      <c r="D10" s="68"/>
      <c r="E10" s="52"/>
      <c r="F10" s="52"/>
      <c r="G10" s="52"/>
      <c r="H10" s="53"/>
      <c r="I10" s="70"/>
      <c r="J10" s="17"/>
      <c r="K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</row>
    <row r="11" spans="2:32">
      <c r="B11" s="68"/>
      <c r="C11" s="73"/>
      <c r="D11" s="68"/>
      <c r="E11" s="52"/>
      <c r="F11" s="52"/>
      <c r="G11" s="52"/>
      <c r="H11" s="53"/>
      <c r="I11" s="70"/>
      <c r="J11" s="17"/>
      <c r="K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</row>
    <row r="12" spans="2:32">
      <c r="B12" s="68"/>
      <c r="C12" s="73"/>
      <c r="D12" s="68"/>
      <c r="E12" s="52"/>
      <c r="F12" s="52"/>
      <c r="G12" s="52"/>
      <c r="H12" s="53"/>
      <c r="I12" s="70"/>
      <c r="J12" s="17"/>
      <c r="K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</row>
    <row r="13" spans="2:32">
      <c r="B13" s="68"/>
      <c r="C13" s="73"/>
      <c r="D13" s="68"/>
      <c r="E13" s="52"/>
      <c r="F13" s="52"/>
      <c r="G13" s="52"/>
      <c r="H13" s="53"/>
      <c r="I13" s="70"/>
      <c r="J13" s="17"/>
      <c r="K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</row>
    <row r="14" spans="2:32">
      <c r="B14" s="68"/>
      <c r="C14" s="73"/>
      <c r="D14" s="68"/>
      <c r="E14" s="52"/>
      <c r="F14" s="52"/>
      <c r="G14" s="52"/>
      <c r="H14" s="53"/>
      <c r="I14" s="70"/>
      <c r="J14" s="17"/>
      <c r="K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</row>
    <row r="15" spans="2:32">
      <c r="B15" s="68"/>
      <c r="C15" s="69"/>
      <c r="D15" s="68"/>
      <c r="E15" s="52"/>
      <c r="F15" s="52"/>
      <c r="G15" s="52"/>
      <c r="H15" s="53"/>
      <c r="I15" s="70"/>
      <c r="J15" s="17"/>
      <c r="K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</row>
    <row r="16" spans="2:32">
      <c r="B16" s="68"/>
      <c r="C16" s="73"/>
      <c r="D16" s="68"/>
      <c r="E16" s="52"/>
      <c r="F16" s="52"/>
      <c r="G16" s="52"/>
      <c r="H16" s="53"/>
      <c r="I16" s="70"/>
      <c r="J16" s="17"/>
      <c r="K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</row>
    <row r="17" spans="2:30">
      <c r="B17" s="68"/>
      <c r="C17" s="73"/>
      <c r="D17" s="68"/>
      <c r="E17" s="52"/>
      <c r="F17" s="52"/>
      <c r="G17" s="52"/>
      <c r="H17" s="53"/>
      <c r="I17" s="70"/>
      <c r="J17" s="17"/>
      <c r="K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</row>
    <row r="18" spans="2:30">
      <c r="B18" s="68"/>
      <c r="C18" s="73"/>
      <c r="D18" s="68"/>
      <c r="E18" s="52"/>
      <c r="F18" s="52"/>
      <c r="G18" s="52"/>
      <c r="H18" s="53"/>
      <c r="I18" s="70"/>
      <c r="J18" s="17"/>
      <c r="K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</row>
    <row r="19" spans="2:30">
      <c r="B19" s="68"/>
      <c r="C19" s="73"/>
      <c r="D19" s="68"/>
      <c r="E19" s="52"/>
      <c r="F19" s="52"/>
      <c r="G19" s="52"/>
      <c r="H19" s="53"/>
      <c r="I19" s="70"/>
      <c r="J19" s="17"/>
      <c r="K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</row>
    <row r="20" spans="2:30">
      <c r="B20" s="68"/>
      <c r="C20" s="73"/>
      <c r="D20" s="68"/>
      <c r="E20" s="52"/>
      <c r="F20" s="52"/>
      <c r="G20" s="52"/>
      <c r="H20" s="53"/>
      <c r="I20" s="70"/>
      <c r="J20" s="17"/>
      <c r="K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</row>
    <row r="21" spans="2:30">
      <c r="B21" s="68"/>
      <c r="C21" s="73"/>
      <c r="D21" s="68"/>
      <c r="E21" s="52"/>
      <c r="F21" s="52"/>
      <c r="G21" s="52"/>
      <c r="H21" s="53"/>
      <c r="I21" s="70"/>
      <c r="J21" s="17"/>
      <c r="K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</row>
    <row r="22" spans="2:30">
      <c r="B22" s="68"/>
      <c r="C22" s="73"/>
      <c r="D22" s="68"/>
      <c r="E22" s="52"/>
      <c r="F22" s="52"/>
      <c r="G22" s="52"/>
      <c r="H22" s="53"/>
      <c r="I22" s="70"/>
      <c r="J22" s="17"/>
      <c r="K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</row>
    <row r="23" spans="2:30">
      <c r="B23" s="68"/>
      <c r="C23" s="73"/>
      <c r="D23" s="68"/>
      <c r="E23" s="52"/>
      <c r="F23" s="52"/>
      <c r="G23" s="52"/>
      <c r="H23" s="53"/>
      <c r="I23" s="70"/>
      <c r="J23" s="17"/>
      <c r="K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2:30">
      <c r="B24" s="68"/>
      <c r="C24" s="73"/>
      <c r="D24" s="68"/>
      <c r="E24" s="52"/>
      <c r="F24" s="52"/>
      <c r="G24" s="52"/>
      <c r="H24" s="53"/>
      <c r="I24" s="70"/>
      <c r="J24" s="17"/>
      <c r="K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</row>
    <row r="25" spans="2:30">
      <c r="B25" s="68"/>
      <c r="C25" s="73"/>
      <c r="D25" s="68"/>
      <c r="E25" s="52"/>
      <c r="F25" s="52"/>
      <c r="G25" s="52"/>
      <c r="H25" s="53"/>
      <c r="I25" s="70"/>
      <c r="J25" s="17"/>
      <c r="K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</row>
    <row r="26" spans="2:30">
      <c r="B26" s="68"/>
      <c r="C26" s="73"/>
      <c r="D26" s="68"/>
      <c r="E26" s="52"/>
      <c r="F26" s="52"/>
      <c r="G26" s="52"/>
      <c r="H26" s="53"/>
      <c r="I26" s="70"/>
      <c r="J26" s="17"/>
      <c r="K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</row>
    <row r="27" spans="2:30">
      <c r="B27" s="68"/>
      <c r="C27" s="73"/>
      <c r="D27" s="68"/>
      <c r="E27" s="52"/>
      <c r="F27" s="52"/>
      <c r="G27" s="52"/>
      <c r="H27" s="53"/>
      <c r="I27" s="70"/>
      <c r="J27" s="17"/>
      <c r="K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2:30">
      <c r="B28" s="68"/>
      <c r="C28" s="73"/>
      <c r="D28" s="68"/>
      <c r="E28" s="52"/>
      <c r="F28" s="52"/>
      <c r="G28" s="52"/>
      <c r="H28" s="53"/>
      <c r="I28" s="70"/>
      <c r="J28" s="17"/>
      <c r="K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2:30">
      <c r="B29" s="68"/>
      <c r="C29" s="73"/>
      <c r="D29" s="68"/>
      <c r="E29" s="52"/>
      <c r="F29" s="52"/>
      <c r="G29" s="52"/>
      <c r="H29" s="53"/>
      <c r="I29" s="70"/>
      <c r="J29" s="17"/>
      <c r="K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2:30">
      <c r="B30" s="68"/>
      <c r="C30" s="73"/>
      <c r="D30" s="68"/>
      <c r="E30" s="52"/>
      <c r="F30" s="52"/>
      <c r="G30" s="52"/>
      <c r="H30" s="53"/>
      <c r="I30" s="70"/>
      <c r="J30" s="17"/>
      <c r="K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</row>
    <row r="31" spans="2:30">
      <c r="B31" s="68"/>
      <c r="C31" s="73"/>
      <c r="D31" s="68"/>
      <c r="E31" s="52"/>
      <c r="F31" s="52"/>
      <c r="G31" s="52"/>
      <c r="H31" s="53"/>
      <c r="I31" s="70"/>
      <c r="J31" s="17"/>
      <c r="K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</row>
    <row r="32" spans="2:30">
      <c r="B32" s="68"/>
      <c r="C32" s="73"/>
      <c r="D32" s="68"/>
      <c r="E32" s="52"/>
      <c r="F32" s="52"/>
      <c r="G32" s="52"/>
      <c r="H32" s="53"/>
      <c r="I32" s="70"/>
      <c r="J32" s="17"/>
      <c r="K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2:30">
      <c r="B33" s="68"/>
      <c r="C33" s="73"/>
      <c r="D33" s="68"/>
      <c r="E33" s="52"/>
      <c r="F33" s="52"/>
      <c r="G33" s="52"/>
      <c r="H33" s="53"/>
      <c r="I33" s="70"/>
      <c r="J33" s="17"/>
      <c r="K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2:30">
      <c r="B34" s="68"/>
      <c r="C34" s="73"/>
      <c r="D34" s="68"/>
      <c r="E34" s="52"/>
      <c r="F34" s="52"/>
      <c r="G34" s="52"/>
      <c r="H34" s="53"/>
      <c r="I34" s="70"/>
      <c r="J34" s="17"/>
      <c r="K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</row>
    <row r="35" spans="2:30">
      <c r="B35" s="68"/>
      <c r="C35" s="73"/>
      <c r="D35" s="68"/>
      <c r="E35" s="52"/>
      <c r="F35" s="52"/>
      <c r="G35" s="52"/>
      <c r="H35" s="53"/>
      <c r="I35" s="70"/>
      <c r="J35" s="17"/>
      <c r="K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2:30">
      <c r="B36" s="68"/>
      <c r="C36" s="73"/>
      <c r="D36" s="68"/>
      <c r="E36" s="52"/>
      <c r="F36" s="52"/>
      <c r="G36" s="52"/>
      <c r="H36" s="53"/>
      <c r="I36" s="70"/>
      <c r="J36" s="17"/>
      <c r="K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2:30">
      <c r="B37" s="68"/>
      <c r="C37" s="73"/>
      <c r="D37" s="68"/>
      <c r="E37" s="52"/>
      <c r="F37" s="52"/>
      <c r="G37" s="52"/>
      <c r="H37" s="53"/>
      <c r="I37" s="70"/>
      <c r="J37" s="17"/>
      <c r="K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2:30">
      <c r="B38" s="68"/>
      <c r="C38" s="73"/>
      <c r="D38" s="68"/>
      <c r="E38" s="52"/>
      <c r="F38" s="52"/>
      <c r="G38" s="52"/>
      <c r="H38" s="53"/>
      <c r="I38" s="70"/>
      <c r="J38" s="17"/>
      <c r="K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2:30">
      <c r="B39" s="68"/>
      <c r="C39" s="73"/>
      <c r="D39" s="68"/>
      <c r="E39" s="52"/>
      <c r="F39" s="52"/>
      <c r="G39" s="52"/>
      <c r="H39" s="53"/>
      <c r="I39" s="70"/>
      <c r="J39" s="17"/>
      <c r="K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2:30">
      <c r="B40" s="68"/>
      <c r="C40" s="73"/>
      <c r="D40" s="68"/>
      <c r="E40" s="52"/>
      <c r="F40" s="52"/>
      <c r="G40" s="52"/>
      <c r="H40" s="53"/>
      <c r="I40" s="70"/>
      <c r="J40" s="17"/>
      <c r="K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2:30">
      <c r="B41" s="68"/>
      <c r="C41" s="73"/>
      <c r="D41" s="68"/>
      <c r="E41" s="52"/>
      <c r="F41" s="52"/>
      <c r="G41" s="52"/>
      <c r="H41" s="53"/>
      <c r="I41" s="70"/>
      <c r="J41" s="17"/>
      <c r="K41" s="17"/>
      <c r="M41" s="7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2:30">
      <c r="B42" s="68"/>
      <c r="C42" s="73"/>
      <c r="D42" s="68"/>
      <c r="E42" s="52"/>
      <c r="F42" s="52"/>
      <c r="G42" s="52"/>
      <c r="H42" s="53"/>
      <c r="I42" s="70"/>
      <c r="J42" s="17"/>
      <c r="K42" s="17"/>
      <c r="M42" s="7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2:30">
      <c r="B43" s="68"/>
      <c r="C43" s="73"/>
      <c r="D43" s="68"/>
      <c r="E43" s="52"/>
      <c r="F43" s="52"/>
      <c r="G43" s="52"/>
      <c r="H43" s="53"/>
      <c r="I43" s="70"/>
      <c r="J43" s="17"/>
      <c r="K43" s="17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2:30">
      <c r="B44" s="68"/>
      <c r="C44" s="73"/>
      <c r="D44" s="68"/>
      <c r="E44" s="52"/>
      <c r="F44" s="52"/>
      <c r="G44" s="52"/>
      <c r="H44" s="53"/>
      <c r="I44" s="70"/>
      <c r="J44" s="17"/>
      <c r="K44" s="17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2:30">
      <c r="B45" s="68"/>
      <c r="C45" s="73"/>
      <c r="D45" s="68"/>
      <c r="E45" s="52"/>
      <c r="F45" s="52"/>
      <c r="G45" s="52"/>
      <c r="H45" s="53"/>
      <c r="I45" s="70"/>
      <c r="J45" s="17"/>
      <c r="K45" s="17"/>
      <c r="M45" s="71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2:30">
      <c r="B46" s="68"/>
      <c r="C46" s="73"/>
      <c r="D46" s="68"/>
      <c r="E46" s="52"/>
      <c r="F46" s="52"/>
      <c r="G46" s="52"/>
      <c r="H46" s="53"/>
      <c r="I46" s="70"/>
      <c r="J46" s="17"/>
      <c r="K46" s="17"/>
      <c r="M46" s="71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2:30">
      <c r="B47" s="68"/>
      <c r="C47" s="73"/>
      <c r="D47" s="68"/>
      <c r="E47" s="52"/>
      <c r="F47" s="52"/>
      <c r="G47" s="52"/>
      <c r="H47" s="53"/>
      <c r="I47" s="70"/>
      <c r="J47" s="17"/>
      <c r="K47" s="17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2:30">
      <c r="B48" s="68"/>
      <c r="C48" s="73"/>
      <c r="D48" s="68"/>
      <c r="E48" s="52"/>
      <c r="F48" s="52"/>
      <c r="G48" s="52"/>
      <c r="H48" s="53"/>
      <c r="I48" s="70"/>
      <c r="J48" s="17"/>
      <c r="K48" s="17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2:30">
      <c r="B49" s="68"/>
      <c r="C49" s="73"/>
      <c r="D49" s="68"/>
      <c r="E49" s="52"/>
      <c r="F49" s="52"/>
      <c r="G49" s="52"/>
      <c r="H49" s="53"/>
      <c r="I49" s="70"/>
      <c r="J49" s="17"/>
      <c r="K49" s="17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2:30">
      <c r="B50" s="68"/>
      <c r="C50" s="73"/>
      <c r="D50" s="68"/>
      <c r="E50" s="52"/>
      <c r="F50" s="52"/>
      <c r="G50" s="52"/>
      <c r="H50" s="53"/>
      <c r="I50" s="70"/>
      <c r="J50" s="17"/>
      <c r="K50" s="17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2:30">
      <c r="B51" s="68"/>
      <c r="C51" s="73"/>
      <c r="D51" s="68"/>
      <c r="E51" s="52"/>
      <c r="F51" s="52"/>
      <c r="G51" s="52"/>
      <c r="H51" s="53"/>
      <c r="I51" s="70"/>
      <c r="J51" s="17"/>
      <c r="K51" s="17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2:30">
      <c r="B52" s="68"/>
      <c r="C52" s="73"/>
      <c r="D52" s="68"/>
      <c r="E52" s="52"/>
      <c r="F52" s="52"/>
      <c r="G52" s="52"/>
      <c r="H52" s="53"/>
      <c r="I52" s="70"/>
      <c r="J52" s="17"/>
      <c r="K52" s="17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2:30">
      <c r="B53" s="68"/>
      <c r="C53" s="73"/>
      <c r="D53" s="68"/>
      <c r="E53" s="52"/>
      <c r="F53" s="52"/>
      <c r="G53" s="52"/>
      <c r="H53" s="53"/>
      <c r="I53" s="70"/>
      <c r="J53" s="17"/>
      <c r="K53" s="17"/>
      <c r="L53" s="145"/>
      <c r="M53" s="103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2:30">
      <c r="B54" s="68"/>
      <c r="C54" s="73"/>
      <c r="D54" s="68"/>
      <c r="E54" s="52"/>
      <c r="F54" s="52"/>
      <c r="G54" s="52"/>
      <c r="H54" s="53"/>
      <c r="I54" s="70"/>
      <c r="J54" s="17"/>
      <c r="K54" s="17"/>
      <c r="L54" s="14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2:30">
      <c r="B55" s="68"/>
      <c r="C55" s="69"/>
      <c r="D55" s="68"/>
      <c r="E55" s="52"/>
      <c r="F55" s="52"/>
      <c r="G55" s="52"/>
      <c r="H55" s="53"/>
      <c r="I55" s="70"/>
      <c r="J55" s="17"/>
      <c r="K55" s="17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2:30">
      <c r="B56" s="68"/>
      <c r="C56" s="69"/>
      <c r="D56" s="68"/>
      <c r="E56" s="52"/>
      <c r="F56" s="52"/>
      <c r="G56" s="52"/>
      <c r="H56" s="53"/>
      <c r="I56" s="70"/>
      <c r="J56" s="17"/>
      <c r="K56" s="17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2:30">
      <c r="B57" s="68"/>
      <c r="C57" s="73"/>
      <c r="D57" s="68"/>
      <c r="E57" s="52"/>
      <c r="F57" s="52"/>
      <c r="G57" s="52"/>
      <c r="H57" s="53"/>
      <c r="I57" s="70"/>
      <c r="J57" s="17"/>
      <c r="K57" s="17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2:30">
      <c r="B58" s="68"/>
      <c r="C58" s="69"/>
      <c r="D58" s="68"/>
      <c r="E58" s="52"/>
      <c r="F58" s="52"/>
      <c r="G58" s="52"/>
      <c r="H58" s="53"/>
      <c r="I58" s="70"/>
      <c r="J58" s="17"/>
      <c r="K58" s="17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2:30">
      <c r="B59" s="68"/>
      <c r="C59" s="69"/>
      <c r="D59" s="68"/>
      <c r="E59" s="52"/>
      <c r="F59" s="52"/>
      <c r="G59" s="52"/>
      <c r="H59" s="53"/>
      <c r="I59" s="70"/>
      <c r="J59" s="17"/>
      <c r="K59" s="17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2:30">
      <c r="B60" s="68"/>
      <c r="C60" s="69"/>
      <c r="D60" s="68"/>
      <c r="E60" s="52"/>
      <c r="F60" s="52"/>
      <c r="G60" s="52"/>
      <c r="H60" s="53"/>
      <c r="I60" s="70"/>
      <c r="J60" s="17"/>
      <c r="K60" s="142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2:30">
      <c r="B61" s="68"/>
      <c r="C61" s="69"/>
      <c r="D61" s="68"/>
      <c r="E61" s="52"/>
      <c r="F61" s="52"/>
      <c r="G61" s="52"/>
      <c r="H61" s="53"/>
      <c r="I61" s="70"/>
      <c r="J61" s="17"/>
      <c r="K61" s="142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2:30">
      <c r="B62" s="68"/>
      <c r="C62" s="69"/>
      <c r="D62" s="68"/>
      <c r="E62" s="52"/>
      <c r="F62" s="52"/>
      <c r="G62" s="52"/>
      <c r="H62" s="53"/>
      <c r="I62" s="70"/>
      <c r="J62" s="17"/>
      <c r="K62" s="17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2:30">
      <c r="B63" s="68"/>
      <c r="C63" s="69"/>
      <c r="D63" s="68"/>
      <c r="E63" s="52"/>
      <c r="F63" s="52"/>
      <c r="G63" s="52"/>
      <c r="H63" s="53"/>
      <c r="I63" s="70"/>
      <c r="J63" s="17"/>
      <c r="K63" s="17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2:30">
      <c r="B64" s="68"/>
      <c r="C64" s="69"/>
      <c r="D64" s="68"/>
      <c r="E64" s="52"/>
      <c r="F64" s="52"/>
      <c r="G64" s="52"/>
      <c r="H64" s="53"/>
      <c r="I64" s="70"/>
      <c r="J64" s="17"/>
      <c r="K64" s="17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2:30">
      <c r="B65" s="68"/>
      <c r="C65" s="69"/>
      <c r="D65" s="68"/>
      <c r="E65" s="52"/>
      <c r="F65" s="52"/>
      <c r="G65" s="52"/>
      <c r="H65" s="53"/>
      <c r="I65" s="70"/>
      <c r="J65" s="17"/>
      <c r="K65" s="17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2:30">
      <c r="B66" s="68"/>
      <c r="C66" s="69"/>
      <c r="D66" s="68"/>
      <c r="E66" s="52"/>
      <c r="F66" s="52"/>
      <c r="G66" s="52"/>
      <c r="H66" s="53"/>
      <c r="I66" s="70"/>
      <c r="J66" s="17"/>
      <c r="K66" s="17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2:30">
      <c r="B67" s="68"/>
      <c r="C67" s="69"/>
      <c r="D67" s="68"/>
      <c r="E67" s="52"/>
      <c r="F67" s="52"/>
      <c r="G67" s="52"/>
      <c r="H67" s="53"/>
      <c r="I67" s="70"/>
      <c r="J67" s="17"/>
      <c r="K67" s="17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2:30">
      <c r="B68" s="68"/>
      <c r="C68" s="69"/>
      <c r="D68" s="68"/>
      <c r="E68" s="52"/>
      <c r="F68" s="52"/>
      <c r="G68" s="52"/>
      <c r="H68" s="53"/>
      <c r="I68" s="70"/>
      <c r="J68" s="17"/>
      <c r="K68" s="17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  <row r="69" spans="2:30">
      <c r="B69" s="68"/>
      <c r="C69" s="73"/>
      <c r="D69" s="68"/>
      <c r="E69" s="52"/>
      <c r="F69" s="52"/>
      <c r="G69" s="52"/>
      <c r="H69" s="53"/>
      <c r="I69" s="70"/>
      <c r="J69" s="17"/>
      <c r="K69" s="17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</row>
    <row r="70" spans="2:30">
      <c r="B70" s="68"/>
      <c r="C70" s="73"/>
      <c r="D70" s="68"/>
      <c r="E70" s="52"/>
      <c r="F70" s="52"/>
      <c r="G70" s="52"/>
      <c r="H70" s="53"/>
      <c r="I70" s="70"/>
      <c r="J70" s="17"/>
      <c r="K70" s="17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</row>
    <row r="71" spans="2:30">
      <c r="B71" s="68"/>
      <c r="C71" s="73"/>
      <c r="D71" s="68"/>
      <c r="E71" s="52"/>
      <c r="F71" s="52"/>
      <c r="G71" s="52"/>
      <c r="H71" s="53"/>
      <c r="I71" s="70"/>
      <c r="J71" s="17"/>
      <c r="K71" s="17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</row>
    <row r="72" spans="2:30">
      <c r="B72" s="68"/>
      <c r="C72" s="73"/>
      <c r="D72" s="68"/>
      <c r="E72" s="52"/>
      <c r="F72" s="52"/>
      <c r="G72" s="52"/>
      <c r="H72" s="53"/>
      <c r="I72" s="70"/>
      <c r="J72" s="17"/>
      <c r="K72" s="17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</row>
    <row r="73" spans="2:30">
      <c r="B73" s="68"/>
      <c r="C73" s="69"/>
      <c r="D73" s="68"/>
      <c r="E73" s="52"/>
      <c r="F73" s="52"/>
      <c r="G73" s="52"/>
      <c r="H73" s="53"/>
      <c r="I73" s="70"/>
      <c r="J73" s="17"/>
      <c r="K73" s="17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</row>
    <row r="74" spans="2:30">
      <c r="B74" s="68"/>
      <c r="C74" s="69"/>
      <c r="D74" s="68"/>
      <c r="E74" s="52"/>
      <c r="F74" s="52"/>
      <c r="G74" s="52"/>
      <c r="H74" s="53"/>
      <c r="I74" s="70"/>
      <c r="J74" s="17"/>
      <c r="K74" s="17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</row>
    <row r="75" spans="2:30">
      <c r="B75" s="68"/>
      <c r="C75" s="69"/>
      <c r="D75" s="68"/>
      <c r="E75" s="52"/>
      <c r="F75" s="52"/>
      <c r="G75" s="52"/>
      <c r="H75" s="53"/>
      <c r="I75" s="70"/>
      <c r="J75" s="17"/>
      <c r="K75" s="17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</row>
    <row r="76" spans="2:30">
      <c r="B76" s="68"/>
      <c r="C76" s="69"/>
      <c r="D76" s="68"/>
      <c r="E76" s="52"/>
      <c r="F76" s="52"/>
      <c r="G76" s="52"/>
      <c r="H76" s="53"/>
      <c r="I76" s="70"/>
      <c r="J76" s="17"/>
      <c r="K76" s="17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</row>
    <row r="77" spans="2:30">
      <c r="B77" s="68"/>
      <c r="C77" s="69"/>
      <c r="D77" s="68"/>
      <c r="E77" s="52"/>
      <c r="F77" s="52"/>
      <c r="G77" s="52"/>
      <c r="H77" s="53"/>
      <c r="I77" s="70"/>
      <c r="J77" s="17"/>
      <c r="K77" s="17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2:30">
      <c r="B78" s="68"/>
      <c r="C78" s="69"/>
      <c r="D78" s="68"/>
      <c r="E78" s="52"/>
      <c r="F78" s="52"/>
      <c r="G78" s="52"/>
      <c r="H78" s="53"/>
      <c r="I78" s="70"/>
      <c r="J78" s="17"/>
      <c r="K78" s="17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</row>
    <row r="79" spans="2:30">
      <c r="B79" s="68"/>
      <c r="C79" s="69"/>
      <c r="D79" s="68"/>
      <c r="E79" s="52"/>
      <c r="F79" s="52"/>
      <c r="G79" s="52"/>
      <c r="H79" s="53"/>
      <c r="I79" s="70"/>
      <c r="J79" s="17"/>
      <c r="K79" s="17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</row>
    <row r="80" spans="2:30">
      <c r="B80" s="68"/>
      <c r="C80" s="69"/>
      <c r="D80" s="68"/>
      <c r="E80" s="52"/>
      <c r="F80" s="52"/>
      <c r="G80" s="52"/>
      <c r="H80" s="53"/>
      <c r="I80" s="70"/>
      <c r="J80" s="17"/>
      <c r="K80" s="17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</row>
    <row r="81" spans="2:30">
      <c r="B81" s="68"/>
      <c r="C81" s="69"/>
      <c r="D81" s="68"/>
      <c r="E81" s="52"/>
      <c r="F81" s="52"/>
      <c r="G81" s="52"/>
      <c r="H81" s="53"/>
      <c r="I81" s="70"/>
      <c r="J81" s="17"/>
      <c r="K81" s="17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</row>
    <row r="82" spans="2:30">
      <c r="B82" s="68"/>
      <c r="C82" s="69"/>
      <c r="D82" s="68"/>
      <c r="E82" s="52"/>
      <c r="F82" s="52"/>
      <c r="G82" s="52"/>
      <c r="H82" s="53"/>
      <c r="I82" s="70"/>
      <c r="J82" s="17"/>
      <c r="K82" s="17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</row>
    <row r="83" spans="2:30">
      <c r="B83" s="68"/>
      <c r="C83" s="69"/>
      <c r="D83" s="68"/>
      <c r="E83" s="52"/>
      <c r="F83" s="52"/>
      <c r="G83" s="52"/>
      <c r="H83" s="53"/>
      <c r="I83" s="70"/>
      <c r="J83" s="17"/>
      <c r="K83" s="17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</row>
    <row r="84" spans="2:30">
      <c r="B84" s="68"/>
      <c r="C84" s="69"/>
      <c r="D84" s="68"/>
      <c r="E84" s="52"/>
      <c r="F84" s="52"/>
      <c r="G84" s="52"/>
      <c r="H84" s="53"/>
      <c r="I84" s="70"/>
      <c r="J84" s="17"/>
      <c r="K84" s="17"/>
      <c r="M84" s="7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2:30">
      <c r="B85" s="68"/>
      <c r="C85" s="69"/>
      <c r="D85" s="68"/>
      <c r="E85" s="52"/>
      <c r="F85" s="52"/>
      <c r="G85" s="52"/>
      <c r="H85" s="53"/>
      <c r="I85" s="70"/>
      <c r="J85" s="17"/>
      <c r="K85" s="17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</row>
    <row r="86" spans="2:30">
      <c r="B86" s="68"/>
      <c r="C86" s="69"/>
      <c r="D86" s="68"/>
      <c r="E86" s="52"/>
      <c r="F86" s="52"/>
      <c r="G86" s="52"/>
      <c r="H86" s="53"/>
      <c r="I86" s="70"/>
      <c r="J86" s="17"/>
      <c r="K86" s="17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</row>
    <row r="87" spans="2:30">
      <c r="B87" s="68"/>
      <c r="C87" s="69"/>
      <c r="D87" s="68"/>
      <c r="E87" s="52"/>
      <c r="F87" s="52"/>
      <c r="G87" s="52"/>
      <c r="H87" s="53"/>
      <c r="I87" s="70"/>
      <c r="J87" s="17"/>
      <c r="K87" s="17"/>
      <c r="M87" s="7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</row>
    <row r="88" spans="2:30">
      <c r="B88" s="68"/>
      <c r="C88" s="69"/>
      <c r="D88" s="68"/>
      <c r="E88" s="52"/>
      <c r="F88" s="52"/>
      <c r="G88" s="52"/>
      <c r="H88" s="53"/>
      <c r="I88" s="70"/>
      <c r="J88" s="17"/>
      <c r="K88" s="17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</row>
    <row r="89" spans="2:30">
      <c r="B89" s="68"/>
      <c r="C89" s="69"/>
      <c r="D89" s="68"/>
      <c r="E89" s="52"/>
      <c r="F89" s="52"/>
      <c r="G89" s="52"/>
      <c r="H89" s="53"/>
      <c r="I89" s="70"/>
      <c r="J89" s="17"/>
      <c r="K89" s="17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</row>
    <row r="90" spans="2:30">
      <c r="B90" s="68"/>
      <c r="C90" s="69"/>
      <c r="D90" s="68"/>
      <c r="E90" s="52"/>
      <c r="F90" s="52"/>
      <c r="G90" s="52"/>
      <c r="H90" s="53"/>
      <c r="I90" s="70"/>
      <c r="J90" s="17"/>
      <c r="K90" s="17"/>
      <c r="M90" s="71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2:30">
      <c r="B91" s="68"/>
      <c r="C91" s="69"/>
      <c r="D91" s="68"/>
      <c r="E91" s="52"/>
      <c r="F91" s="52"/>
      <c r="G91" s="52"/>
      <c r="H91" s="53"/>
      <c r="I91" s="70"/>
      <c r="J91" s="17"/>
      <c r="K91" s="17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</row>
    <row r="92" spans="2:30">
      <c r="B92" s="68"/>
      <c r="C92" s="69"/>
      <c r="D92" s="68"/>
      <c r="E92" s="52"/>
      <c r="F92" s="52"/>
      <c r="G92" s="52"/>
      <c r="H92" s="53"/>
      <c r="I92" s="70"/>
      <c r="J92" s="17"/>
      <c r="K92" s="17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</row>
    <row r="93" spans="2:30">
      <c r="B93" s="68"/>
      <c r="C93" s="69"/>
      <c r="D93" s="68"/>
      <c r="E93" s="52"/>
      <c r="F93" s="52"/>
      <c r="G93" s="52"/>
      <c r="H93" s="53"/>
      <c r="I93" s="70"/>
      <c r="J93" s="17"/>
      <c r="K93" s="17"/>
      <c r="M93" s="71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</row>
    <row r="94" spans="2:30">
      <c r="B94" s="68"/>
      <c r="C94" s="73"/>
      <c r="D94" s="68"/>
      <c r="E94" s="52"/>
      <c r="F94" s="52"/>
      <c r="G94" s="52"/>
      <c r="H94" s="53"/>
      <c r="I94" s="70"/>
      <c r="J94" s="17"/>
      <c r="K94" s="17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</row>
    <row r="95" spans="2:30">
      <c r="B95" s="68"/>
      <c r="C95" s="73"/>
      <c r="D95" s="68"/>
      <c r="E95" s="52"/>
      <c r="F95" s="52"/>
      <c r="G95" s="52"/>
      <c r="H95" s="53"/>
      <c r="I95" s="70"/>
      <c r="J95" s="17"/>
      <c r="K95" s="17"/>
      <c r="M95" s="7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</row>
    <row r="96" spans="2:30">
      <c r="B96" s="68"/>
      <c r="C96" s="73"/>
      <c r="D96" s="68"/>
      <c r="E96" s="52"/>
      <c r="F96" s="52"/>
      <c r="G96" s="52"/>
      <c r="H96" s="53"/>
      <c r="I96" s="70"/>
      <c r="J96" s="17"/>
      <c r="K96" s="17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</row>
    <row r="97" spans="2:30">
      <c r="B97" s="68"/>
      <c r="C97" s="73"/>
      <c r="D97" s="68"/>
      <c r="E97" s="52"/>
      <c r="F97" s="52"/>
      <c r="G97" s="52"/>
      <c r="H97" s="53"/>
      <c r="I97" s="70"/>
      <c r="J97" s="17"/>
      <c r="K97" s="17"/>
      <c r="M97" s="7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2:30">
      <c r="B98" s="68"/>
      <c r="C98" s="73"/>
      <c r="D98" s="68"/>
      <c r="E98" s="52"/>
      <c r="F98" s="52"/>
      <c r="G98" s="52"/>
      <c r="H98" s="53"/>
      <c r="I98" s="70"/>
      <c r="J98" s="17"/>
      <c r="K98" s="17"/>
      <c r="M98" s="71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2:30">
      <c r="B99" s="68"/>
      <c r="C99" s="73"/>
      <c r="D99" s="68"/>
      <c r="E99" s="52"/>
      <c r="F99" s="52"/>
      <c r="G99" s="54"/>
      <c r="H99" s="53"/>
      <c r="I99" s="70"/>
      <c r="J99" s="17"/>
      <c r="K99" s="17"/>
      <c r="L99" s="14"/>
      <c r="M99" s="71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</row>
    <row r="100" spans="2:30">
      <c r="B100" s="68"/>
      <c r="C100" s="73"/>
      <c r="D100" s="68"/>
      <c r="E100" s="52"/>
      <c r="F100" s="52"/>
      <c r="G100" s="52"/>
      <c r="H100" s="53"/>
      <c r="I100" s="70"/>
      <c r="J100" s="17"/>
      <c r="K100" s="142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</row>
    <row r="101" spans="2:30">
      <c r="B101" s="68"/>
      <c r="C101" s="73"/>
      <c r="D101" s="68"/>
      <c r="E101" s="52"/>
      <c r="F101" s="52"/>
      <c r="G101" s="52"/>
      <c r="H101" s="53"/>
      <c r="I101" s="70"/>
      <c r="J101" s="17"/>
      <c r="K101" s="142"/>
      <c r="M101" s="7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2:30">
      <c r="B102" s="68"/>
      <c r="C102" s="69"/>
      <c r="D102" s="68"/>
      <c r="E102" s="52"/>
      <c r="F102" s="52"/>
      <c r="G102" s="52"/>
      <c r="H102" s="53"/>
      <c r="I102" s="70"/>
      <c r="J102" s="17"/>
      <c r="K102" s="17"/>
      <c r="L102" s="17"/>
      <c r="M102" s="7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</row>
    <row r="103" spans="2:30">
      <c r="B103" s="68"/>
      <c r="C103" s="69"/>
      <c r="D103" s="68"/>
      <c r="E103" s="52"/>
      <c r="F103" s="52"/>
      <c r="G103" s="52"/>
      <c r="H103" s="53"/>
      <c r="I103" s="70"/>
      <c r="J103" s="17"/>
      <c r="K103" s="17"/>
      <c r="L103" s="17"/>
      <c r="M103" s="7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</row>
    <row r="104" spans="2:30">
      <c r="B104" s="68"/>
      <c r="C104" s="69"/>
      <c r="D104" s="68"/>
      <c r="E104" s="52"/>
      <c r="F104" s="52"/>
      <c r="G104" s="52"/>
      <c r="H104" s="53"/>
      <c r="I104" s="70"/>
      <c r="J104" s="17"/>
      <c r="K104" s="17"/>
      <c r="L104" s="17"/>
      <c r="M104" s="71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</row>
    <row r="105" spans="2:30">
      <c r="B105" s="68"/>
      <c r="C105" s="69"/>
      <c r="D105" s="68"/>
      <c r="E105" s="52"/>
      <c r="F105" s="52"/>
      <c r="G105" s="52"/>
      <c r="H105" s="53"/>
      <c r="I105" s="70"/>
      <c r="J105" s="17"/>
      <c r="K105" s="17"/>
      <c r="L105" s="17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</row>
    <row r="106" spans="2:30">
      <c r="B106" s="68"/>
      <c r="C106" s="69"/>
      <c r="D106" s="68"/>
      <c r="E106" s="52"/>
      <c r="F106" s="52"/>
      <c r="G106" s="52"/>
      <c r="H106" s="53"/>
      <c r="I106" s="70"/>
      <c r="J106" s="17"/>
      <c r="K106" s="17"/>
      <c r="L106" s="17"/>
      <c r="M106" s="124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</row>
    <row r="107" spans="2:30">
      <c r="B107" s="68"/>
      <c r="C107" s="69"/>
      <c r="D107" s="68"/>
      <c r="E107" s="52"/>
      <c r="F107" s="52"/>
      <c r="G107" s="52"/>
      <c r="H107" s="53"/>
      <c r="I107" s="70"/>
      <c r="J107" s="17"/>
      <c r="K107" s="17"/>
      <c r="M107" s="71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</row>
    <row r="108" spans="2:30">
      <c r="B108" s="68"/>
      <c r="C108" s="69"/>
      <c r="D108" s="68"/>
      <c r="E108" s="52"/>
      <c r="F108" s="52"/>
      <c r="G108" s="52"/>
      <c r="H108" s="53"/>
      <c r="I108" s="70"/>
      <c r="J108" s="17"/>
      <c r="K108" s="17"/>
      <c r="M108" s="71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</row>
    <row r="109" spans="2:30">
      <c r="B109" s="68"/>
      <c r="C109" s="69"/>
      <c r="D109" s="68"/>
      <c r="E109" s="52"/>
      <c r="F109" s="52"/>
      <c r="G109" s="52"/>
      <c r="H109" s="53"/>
      <c r="I109" s="70"/>
      <c r="J109" s="17"/>
      <c r="K109" s="17"/>
      <c r="M109" s="71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</row>
    <row r="110" spans="2:30">
      <c r="B110" s="68"/>
      <c r="C110" s="69"/>
      <c r="D110" s="68"/>
      <c r="E110" s="52"/>
      <c r="F110" s="52"/>
      <c r="G110" s="52"/>
      <c r="H110" s="53"/>
      <c r="I110" s="70"/>
      <c r="J110" s="17"/>
      <c r="K110" s="17"/>
      <c r="M110" s="71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</row>
    <row r="111" spans="2:30">
      <c r="B111" s="68"/>
      <c r="C111" s="69"/>
      <c r="D111" s="68"/>
      <c r="E111" s="52"/>
      <c r="F111" s="52"/>
      <c r="G111" s="52"/>
      <c r="H111" s="53"/>
      <c r="I111" s="70"/>
      <c r="J111" s="17"/>
      <c r="K111" s="17"/>
      <c r="M111" s="71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</row>
    <row r="112" spans="2:30">
      <c r="B112" s="68"/>
      <c r="C112" s="69"/>
      <c r="D112" s="68"/>
      <c r="E112" s="52"/>
      <c r="F112" s="52"/>
      <c r="G112" s="52"/>
      <c r="H112" s="53"/>
      <c r="I112" s="70"/>
      <c r="J112" s="17"/>
      <c r="K112" s="17"/>
      <c r="M112" s="71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</row>
    <row r="113" spans="2:30">
      <c r="B113" s="68"/>
      <c r="C113" s="69"/>
      <c r="D113" s="68"/>
      <c r="E113" s="52"/>
      <c r="F113" s="52"/>
      <c r="G113" s="52"/>
      <c r="H113" s="53"/>
      <c r="I113" s="70"/>
      <c r="J113" s="17"/>
      <c r="K113" s="17"/>
      <c r="M113" s="71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</row>
    <row r="114" spans="2:30">
      <c r="B114" s="68"/>
      <c r="C114" s="69"/>
      <c r="D114" s="68"/>
      <c r="E114" s="52"/>
      <c r="F114" s="52"/>
      <c r="G114" s="52"/>
      <c r="H114" s="53"/>
      <c r="I114" s="70"/>
      <c r="J114" s="17"/>
      <c r="K114" s="17"/>
      <c r="M114" s="71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</row>
    <row r="115" spans="2:30">
      <c r="B115" s="68"/>
      <c r="C115" s="69"/>
      <c r="D115" s="68"/>
      <c r="E115" s="52"/>
      <c r="F115" s="52"/>
      <c r="G115" s="52"/>
      <c r="H115" s="53"/>
      <c r="I115" s="70"/>
      <c r="J115" s="17"/>
      <c r="K115" s="17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</row>
    <row r="116" spans="2:30">
      <c r="K116" s="17"/>
      <c r="L116" s="17"/>
      <c r="M116" s="124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</row>
    <row r="117" spans="2:30" ht="15.75">
      <c r="B117" s="78"/>
      <c r="C117" s="17"/>
      <c r="D117" s="17"/>
      <c r="E117" s="79"/>
      <c r="F117" s="79"/>
      <c r="G117" s="79"/>
      <c r="K117" s="17"/>
      <c r="M117" s="80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</row>
    <row r="118" spans="2:30">
      <c r="K118" s="17"/>
      <c r="M118" s="36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24"/>
      <c r="Y118" s="36"/>
      <c r="Z118" s="17"/>
      <c r="AA118" s="17"/>
      <c r="AB118" s="17"/>
    </row>
    <row r="119" spans="2:30" ht="15">
      <c r="B119" s="2"/>
      <c r="D119" s="2"/>
      <c r="E119" s="81"/>
      <c r="F119" s="81"/>
      <c r="K119" s="17"/>
      <c r="M119" s="82"/>
      <c r="N119" s="14"/>
      <c r="O119" s="14"/>
      <c r="P119" s="14"/>
      <c r="Q119" s="14"/>
      <c r="R119" s="14"/>
      <c r="S119" s="83"/>
      <c r="T119" s="83"/>
      <c r="U119" s="83"/>
      <c r="V119" s="83"/>
      <c r="W119" s="83"/>
      <c r="X119" s="83"/>
      <c r="Y119" s="83"/>
      <c r="Z119" s="83"/>
      <c r="AA119" s="83"/>
    </row>
    <row r="120" spans="2:30">
      <c r="B120" s="15"/>
      <c r="C120" s="17"/>
      <c r="D120" s="17"/>
      <c r="E120" s="84"/>
      <c r="F120" s="84"/>
      <c r="K120" s="17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</row>
    <row r="121" spans="2:30">
      <c r="B121" s="15"/>
      <c r="C121" s="17"/>
      <c r="D121" s="17"/>
      <c r="E121" s="84"/>
      <c r="F121" s="84"/>
      <c r="K121" s="17"/>
      <c r="M121" s="36"/>
      <c r="N121" s="85"/>
      <c r="O121" s="36"/>
      <c r="P121" s="36"/>
      <c r="Q121" s="85"/>
      <c r="R121" s="36"/>
      <c r="S121" s="36"/>
      <c r="T121" s="85"/>
      <c r="U121" s="36"/>
      <c r="V121" s="36"/>
      <c r="W121" s="36"/>
      <c r="X121" s="36"/>
      <c r="Y121" s="36"/>
      <c r="Z121" s="36"/>
      <c r="AA121" s="36"/>
      <c r="AB121" s="86"/>
    </row>
    <row r="122" spans="2:30">
      <c r="B122" s="15"/>
      <c r="C122" s="17"/>
      <c r="D122" s="17"/>
      <c r="E122" s="84"/>
      <c r="F122" s="84"/>
      <c r="K122" s="1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  <c r="AA122" s="87"/>
    </row>
    <row r="123" spans="2:30">
      <c r="B123" s="15"/>
      <c r="C123" s="17"/>
      <c r="D123" s="17"/>
      <c r="E123" s="84"/>
      <c r="F123" s="84"/>
      <c r="K123" s="17"/>
      <c r="M123" s="88"/>
      <c r="N123" s="88"/>
      <c r="O123" s="87"/>
      <c r="P123" s="87"/>
      <c r="Q123" s="87"/>
      <c r="R123" s="87"/>
      <c r="S123" s="87"/>
      <c r="T123" s="87"/>
      <c r="U123" s="87"/>
      <c r="V123" s="87"/>
      <c r="W123" s="89"/>
      <c r="X123" s="87"/>
      <c r="Y123" s="87"/>
      <c r="Z123" s="87"/>
      <c r="AA123" s="87"/>
      <c r="AB123" s="87"/>
    </row>
    <row r="124" spans="2:30">
      <c r="B124" s="15"/>
      <c r="C124" s="17"/>
      <c r="D124" s="17"/>
      <c r="E124" s="84"/>
      <c r="F124" s="84"/>
      <c r="K124" s="17"/>
      <c r="M124" s="88"/>
      <c r="N124" s="88"/>
      <c r="O124" s="87"/>
      <c r="P124" s="87"/>
      <c r="Q124" s="87"/>
      <c r="R124" s="87"/>
      <c r="S124" s="87"/>
      <c r="T124" s="87"/>
      <c r="U124" s="87"/>
      <c r="V124" s="87"/>
      <c r="W124" s="89"/>
      <c r="X124" s="87"/>
      <c r="Y124" s="87"/>
      <c r="Z124" s="87"/>
      <c r="AA124" s="87"/>
      <c r="AB124" s="87"/>
    </row>
    <row r="125" spans="2:30">
      <c r="B125" s="15"/>
      <c r="C125" s="17"/>
      <c r="D125" s="17"/>
      <c r="E125" s="84"/>
      <c r="F125" s="84"/>
      <c r="K125" s="17"/>
      <c r="M125" s="88"/>
      <c r="N125" s="88"/>
      <c r="O125" s="88"/>
      <c r="P125" s="88"/>
      <c r="Q125" s="88"/>
      <c r="R125" s="88"/>
      <c r="S125" s="88"/>
      <c r="T125" s="88"/>
      <c r="U125" s="88"/>
      <c r="Y125" s="87"/>
      <c r="Z125" s="88"/>
      <c r="AA125" s="88"/>
      <c r="AB125" s="88"/>
    </row>
    <row r="126" spans="2:30" ht="15">
      <c r="B126" s="15"/>
      <c r="C126" s="17"/>
      <c r="D126" s="17"/>
      <c r="E126" s="84"/>
      <c r="F126" s="84"/>
      <c r="K126" s="17"/>
      <c r="M126" s="82"/>
      <c r="N126" s="14"/>
      <c r="O126" s="14"/>
      <c r="P126" s="14"/>
      <c r="Q126" s="14"/>
      <c r="R126" s="14"/>
      <c r="S126" s="14"/>
      <c r="T126" s="88"/>
      <c r="U126" s="88"/>
      <c r="Y126" s="87"/>
      <c r="Z126" s="88"/>
      <c r="AA126" s="88"/>
      <c r="AB126" s="88"/>
    </row>
    <row r="127" spans="2:30">
      <c r="B127" s="15"/>
      <c r="C127" s="17"/>
      <c r="D127" s="17"/>
      <c r="E127" s="84"/>
      <c r="F127" s="84"/>
      <c r="K127" s="17"/>
      <c r="M127" s="88"/>
      <c r="N127" s="88"/>
      <c r="O127" s="88"/>
      <c r="P127" s="88"/>
      <c r="Q127" s="88"/>
      <c r="R127" s="88"/>
      <c r="S127" s="88"/>
      <c r="T127" s="88"/>
      <c r="U127" s="88"/>
      <c r="Y127" s="87"/>
    </row>
    <row r="128" spans="2:30" ht="15">
      <c r="B128" s="15"/>
      <c r="C128" s="17"/>
      <c r="D128" s="17"/>
      <c r="E128" s="84"/>
      <c r="F128" s="84"/>
      <c r="K128" s="17"/>
      <c r="M128" s="14"/>
      <c r="N128" s="90"/>
      <c r="O128" s="14"/>
      <c r="P128" s="14"/>
      <c r="Q128" s="91"/>
      <c r="R128" s="91"/>
      <c r="S128" s="14"/>
      <c r="T128" s="14"/>
      <c r="U128" s="82"/>
      <c r="Y128" s="87"/>
      <c r="Z128" s="92"/>
      <c r="AA128" s="92"/>
      <c r="AB128" s="14"/>
    </row>
    <row r="129" spans="2:28" ht="15">
      <c r="B129" s="15"/>
      <c r="C129" s="17"/>
      <c r="D129" s="17"/>
      <c r="E129" s="84"/>
      <c r="F129" s="84"/>
      <c r="K129" s="17"/>
      <c r="M129" s="14"/>
      <c r="N129" s="93"/>
      <c r="O129" s="94"/>
      <c r="P129" s="95"/>
      <c r="Q129" s="91"/>
      <c r="R129" s="91"/>
      <c r="S129" s="14"/>
      <c r="T129" s="14"/>
      <c r="U129" s="82"/>
      <c r="V129" s="14"/>
      <c r="W129" s="14"/>
      <c r="X129" s="14"/>
      <c r="Y129" s="14"/>
      <c r="Z129" s="92"/>
      <c r="AA129" s="92"/>
      <c r="AB129" s="14"/>
    </row>
    <row r="130" spans="2:28" ht="15">
      <c r="B130" s="15"/>
      <c r="C130" s="17"/>
      <c r="D130" s="17"/>
      <c r="E130" s="84"/>
      <c r="F130" s="84"/>
      <c r="K130" s="17"/>
      <c r="M130" s="14"/>
      <c r="N130" s="94"/>
      <c r="O130" s="96"/>
      <c r="P130" s="14"/>
      <c r="Q130" s="91"/>
      <c r="R130" s="91"/>
      <c r="S130" s="14"/>
      <c r="T130" s="14"/>
      <c r="U130" s="82"/>
      <c r="V130" s="14"/>
      <c r="W130" s="14"/>
      <c r="X130" s="14"/>
      <c r="Y130" s="14"/>
      <c r="Z130" s="92"/>
      <c r="AA130" s="92"/>
      <c r="AB130" s="14"/>
    </row>
    <row r="131" spans="2:28">
      <c r="B131" s="15"/>
      <c r="C131" s="17"/>
      <c r="D131" s="17"/>
      <c r="E131" s="84"/>
      <c r="F131" s="84"/>
      <c r="K131" s="17"/>
      <c r="M131" s="43"/>
      <c r="N131" s="43"/>
      <c r="O131" s="43"/>
      <c r="P131" s="43"/>
      <c r="Q131" s="43"/>
      <c r="R131" s="43"/>
      <c r="S131" s="43"/>
      <c r="T131" s="14"/>
      <c r="U131" s="14"/>
      <c r="V131" s="14"/>
      <c r="W131" s="14"/>
      <c r="X131" s="14"/>
      <c r="Y131" s="97"/>
      <c r="Z131" s="97"/>
      <c r="AA131" s="97"/>
      <c r="AB131" s="14"/>
    </row>
    <row r="132" spans="2:28">
      <c r="B132" s="15"/>
      <c r="C132" s="17"/>
      <c r="D132" s="17"/>
      <c r="E132" s="84"/>
      <c r="F132" s="84"/>
      <c r="K132" s="17"/>
      <c r="M132" s="98"/>
      <c r="N132" s="14"/>
      <c r="O132" s="99"/>
      <c r="P132" s="90"/>
      <c r="Q132" s="100"/>
      <c r="R132" s="100"/>
      <c r="S132" s="90"/>
      <c r="T132" s="14"/>
      <c r="U132" s="98"/>
      <c r="V132" s="14"/>
      <c r="W132" s="14"/>
      <c r="X132" s="99"/>
      <c r="Y132" s="90"/>
      <c r="Z132" s="90"/>
      <c r="AA132" s="90"/>
      <c r="AB132" s="14"/>
    </row>
    <row r="133" spans="2:28">
      <c r="B133" s="17"/>
      <c r="C133" s="17"/>
      <c r="D133" s="17"/>
      <c r="E133" s="84"/>
      <c r="F133" s="102"/>
      <c r="K133" s="17"/>
      <c r="M133" s="14"/>
      <c r="N133" s="14"/>
      <c r="O133" s="14"/>
      <c r="P133" s="90"/>
      <c r="Q133" s="101"/>
      <c r="R133" s="101"/>
      <c r="S133" s="90"/>
      <c r="T133" s="14"/>
      <c r="U133" s="98"/>
      <c r="V133" s="14"/>
      <c r="W133" s="14"/>
      <c r="X133" s="14"/>
      <c r="Y133" s="90"/>
      <c r="Z133" s="90"/>
      <c r="AA133" s="90"/>
      <c r="AB133" s="14"/>
    </row>
    <row r="134" spans="2:28">
      <c r="K134" s="17"/>
      <c r="M134" s="88"/>
      <c r="N134" s="88"/>
      <c r="O134" s="14"/>
      <c r="P134" s="90"/>
      <c r="Q134" s="101"/>
      <c r="R134" s="101"/>
      <c r="S134" s="90"/>
      <c r="T134" s="14"/>
      <c r="U134" s="98"/>
      <c r="V134" s="14"/>
      <c r="W134" s="14"/>
      <c r="X134" s="14"/>
      <c r="Y134" s="90"/>
      <c r="Z134" s="90"/>
      <c r="AA134" s="90"/>
      <c r="AB134" s="14"/>
    </row>
    <row r="135" spans="2:28">
      <c r="K135" s="17"/>
      <c r="M135" s="29"/>
      <c r="N135" s="14"/>
      <c r="O135" s="14"/>
      <c r="P135" s="14"/>
      <c r="Q135" s="14"/>
      <c r="R135" s="14"/>
      <c r="S135" s="90"/>
      <c r="T135" s="14"/>
      <c r="U135" s="98"/>
      <c r="V135" s="14"/>
      <c r="W135" s="14"/>
      <c r="X135" s="14"/>
      <c r="Y135" s="90"/>
      <c r="Z135" s="90"/>
      <c r="AA135" s="90"/>
      <c r="AB135" s="14"/>
    </row>
    <row r="136" spans="2:28">
      <c r="K136" s="17"/>
      <c r="M136" s="14"/>
      <c r="N136" s="14"/>
      <c r="O136" s="14"/>
      <c r="P136" s="14"/>
      <c r="Q136" s="101"/>
      <c r="R136" s="101"/>
      <c r="S136" s="90"/>
      <c r="T136" s="14"/>
      <c r="U136" s="98"/>
      <c r="V136" s="14"/>
      <c r="W136" s="14"/>
      <c r="X136" s="14"/>
      <c r="Y136" s="90"/>
      <c r="Z136" s="90"/>
      <c r="AA136" s="90"/>
      <c r="AB136" s="14"/>
    </row>
    <row r="137" spans="2:28">
      <c r="K137" s="17"/>
      <c r="M137" s="14"/>
      <c r="N137" s="14"/>
      <c r="O137" s="14"/>
      <c r="P137" s="14"/>
      <c r="Q137" s="14"/>
      <c r="R137" s="14"/>
      <c r="S137" s="90"/>
      <c r="T137" s="14"/>
      <c r="U137" s="98"/>
      <c r="V137" s="14"/>
      <c r="W137" s="14"/>
      <c r="X137" s="14"/>
      <c r="Y137" s="90"/>
      <c r="Z137" s="90"/>
      <c r="AA137" s="90"/>
      <c r="AB137" s="14"/>
    </row>
    <row r="138" spans="2:28">
      <c r="K138" s="17"/>
      <c r="M138" s="29"/>
      <c r="N138" s="14"/>
      <c r="O138" s="14"/>
      <c r="P138" s="14"/>
      <c r="Q138" s="14"/>
      <c r="R138" s="14"/>
      <c r="S138" s="90"/>
      <c r="T138" s="14"/>
      <c r="U138" s="98"/>
      <c r="V138" s="14"/>
      <c r="W138" s="14"/>
      <c r="X138" s="14"/>
      <c r="Y138" s="90"/>
      <c r="Z138" s="90"/>
      <c r="AA138" s="90"/>
      <c r="AB138" s="14"/>
    </row>
    <row r="139" spans="2:28">
      <c r="K139" s="17"/>
      <c r="M139" s="14"/>
      <c r="N139" s="14"/>
      <c r="O139" s="14"/>
      <c r="P139" s="14"/>
      <c r="Q139" s="14"/>
      <c r="R139" s="14"/>
      <c r="S139" s="90"/>
      <c r="T139" s="14"/>
      <c r="U139" s="98"/>
      <c r="V139" s="14"/>
      <c r="W139" s="14"/>
      <c r="X139" s="14"/>
      <c r="Y139" s="90"/>
      <c r="Z139" s="90"/>
      <c r="AA139" s="90"/>
      <c r="AB139" s="14"/>
    </row>
    <row r="140" spans="2:28">
      <c r="K140" s="17"/>
      <c r="M140" s="14"/>
      <c r="N140" s="14"/>
      <c r="O140" s="14"/>
      <c r="P140" s="14"/>
      <c r="Q140" s="14"/>
      <c r="R140" s="14"/>
      <c r="S140" s="90"/>
      <c r="T140" s="90"/>
      <c r="U140" s="14"/>
      <c r="V140" s="14"/>
      <c r="W140" s="14"/>
      <c r="X140" s="14"/>
      <c r="Y140" s="103"/>
      <c r="Z140" s="103"/>
      <c r="AA140" s="103"/>
      <c r="AB140" s="14"/>
    </row>
    <row r="141" spans="2:28">
      <c r="K141" s="17"/>
      <c r="M141" s="14"/>
      <c r="N141" s="14"/>
      <c r="O141" s="14"/>
      <c r="P141" s="14"/>
      <c r="Q141" s="14"/>
      <c r="R141" s="14"/>
      <c r="S141" s="14"/>
      <c r="T141" s="90"/>
      <c r="U141" s="90"/>
      <c r="V141" s="90"/>
      <c r="W141" s="90"/>
      <c r="X141" s="14"/>
      <c r="Y141" s="14"/>
      <c r="Z141" s="91"/>
      <c r="AA141" s="91"/>
      <c r="AB141" s="14"/>
    </row>
    <row r="142" spans="2:28" ht="15">
      <c r="K142" s="17"/>
      <c r="M142" s="104"/>
    </row>
    <row r="143" spans="2:28">
      <c r="K143" s="17"/>
      <c r="M143" s="14"/>
    </row>
    <row r="144" spans="2:28">
      <c r="K144" s="17"/>
      <c r="M144" s="14"/>
    </row>
    <row r="145" spans="11:28">
      <c r="K145" s="17"/>
      <c r="M145" s="14"/>
    </row>
    <row r="146" spans="11:28">
      <c r="K146" s="17"/>
      <c r="M146" s="43"/>
      <c r="N146" s="43"/>
      <c r="O146" s="43"/>
      <c r="P146" s="43"/>
      <c r="Q146" s="97"/>
      <c r="R146" s="97"/>
      <c r="S146" s="97"/>
      <c r="Y146" s="97"/>
      <c r="Z146" s="97"/>
      <c r="AA146" s="97"/>
    </row>
    <row r="147" spans="11:28">
      <c r="K147" s="17"/>
      <c r="M147" s="98"/>
      <c r="N147" s="14"/>
      <c r="O147" s="105"/>
      <c r="P147" s="14"/>
      <c r="S147" s="90"/>
      <c r="T147" s="31"/>
      <c r="U147" s="98"/>
      <c r="V147" s="14"/>
      <c r="W147" s="14"/>
      <c r="X147" s="99"/>
      <c r="Y147" s="90"/>
      <c r="Z147" s="90"/>
      <c r="AA147" s="90"/>
    </row>
    <row r="148" spans="11:28">
      <c r="K148" s="17"/>
      <c r="M148" s="98"/>
      <c r="N148" s="14"/>
      <c r="O148" s="105"/>
      <c r="P148" s="14"/>
      <c r="S148" s="90"/>
      <c r="T148" s="31"/>
      <c r="U148" s="98"/>
      <c r="V148" s="14"/>
      <c r="W148" s="14"/>
      <c r="Y148" s="90"/>
      <c r="Z148" s="90"/>
      <c r="AA148" s="90"/>
    </row>
    <row r="149" spans="11:28">
      <c r="K149" s="17"/>
      <c r="M149" s="98"/>
      <c r="N149" s="14"/>
      <c r="O149" s="105"/>
      <c r="P149" s="14"/>
      <c r="S149" s="90"/>
      <c r="T149" s="106"/>
      <c r="U149" s="98"/>
      <c r="V149" s="14"/>
      <c r="W149" s="14"/>
      <c r="Y149" s="90"/>
      <c r="Z149" s="90"/>
      <c r="AA149" s="90"/>
    </row>
    <row r="150" spans="11:28">
      <c r="K150" s="17"/>
      <c r="M150" s="98"/>
      <c r="N150" s="14"/>
      <c r="O150" s="105"/>
      <c r="P150" s="14"/>
      <c r="S150" s="90"/>
      <c r="T150" s="106"/>
      <c r="U150" s="98"/>
      <c r="V150" s="14"/>
      <c r="W150" s="14"/>
      <c r="Y150" s="90"/>
      <c r="Z150" s="90"/>
      <c r="AA150" s="90"/>
    </row>
    <row r="151" spans="11:28">
      <c r="T151" s="71"/>
      <c r="U151" s="98"/>
      <c r="V151" s="14"/>
      <c r="W151" s="14"/>
      <c r="Y151" s="90"/>
      <c r="Z151" s="90"/>
      <c r="AA151" s="90"/>
    </row>
    <row r="152" spans="11:28">
      <c r="M152" s="98"/>
      <c r="N152" s="14"/>
      <c r="Q152" s="90"/>
      <c r="R152" s="90"/>
      <c r="S152" s="90"/>
      <c r="T152" s="90"/>
      <c r="U152" s="98"/>
      <c r="V152" s="14"/>
      <c r="W152" s="14"/>
      <c r="Y152" s="90"/>
      <c r="Z152" s="90"/>
      <c r="AA152" s="90"/>
    </row>
    <row r="153" spans="11:28">
      <c r="Y153" s="103"/>
      <c r="Z153" s="103"/>
      <c r="AA153" s="103"/>
    </row>
    <row r="154" spans="11:28">
      <c r="Q154" s="98"/>
      <c r="R154" s="98"/>
      <c r="S154" s="103"/>
      <c r="T154" s="90"/>
      <c r="Z154" s="91"/>
      <c r="AA154" s="107"/>
    </row>
    <row r="155" spans="11:28"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08"/>
      <c r="AA155" s="17"/>
      <c r="AB155" s="17"/>
    </row>
    <row r="156" spans="11:28" ht="15">
      <c r="M156" s="17"/>
      <c r="N156" s="17"/>
      <c r="O156" s="17"/>
      <c r="P156" s="17"/>
      <c r="Q156" s="17"/>
      <c r="R156" s="17"/>
      <c r="S156" s="17"/>
      <c r="T156" s="17"/>
      <c r="U156" s="33"/>
      <c r="V156" s="109"/>
      <c r="W156" s="110"/>
      <c r="Y156" s="111"/>
      <c r="Z156" s="111"/>
      <c r="AA156" s="17"/>
      <c r="AB156" s="17"/>
    </row>
    <row r="157" spans="11:28">
      <c r="M157" s="17"/>
      <c r="N157" s="17"/>
      <c r="O157" s="17"/>
      <c r="P157" s="17"/>
      <c r="Q157" s="17"/>
      <c r="R157" s="17"/>
      <c r="S157" s="17"/>
      <c r="T157" s="17"/>
      <c r="U157" s="112"/>
      <c r="V157" s="23"/>
      <c r="Y157" s="113"/>
      <c r="Z157" s="113"/>
      <c r="AA157" s="17"/>
      <c r="AB157" s="17"/>
    </row>
    <row r="158" spans="11:28">
      <c r="M158" s="17"/>
      <c r="N158" s="17"/>
      <c r="O158" s="17"/>
      <c r="P158" s="17"/>
      <c r="Q158" s="17"/>
      <c r="R158" s="17"/>
      <c r="S158" s="17"/>
      <c r="T158" s="17"/>
      <c r="AA158" s="17"/>
      <c r="AB158" s="17"/>
    </row>
    <row r="159" spans="11:28">
      <c r="M159" s="17"/>
      <c r="N159" s="17"/>
      <c r="O159" s="17"/>
      <c r="P159" s="17"/>
      <c r="Q159" s="17"/>
      <c r="R159" s="17"/>
      <c r="S159" s="17"/>
      <c r="T159" s="17"/>
      <c r="U159" s="40"/>
      <c r="V159" s="34"/>
      <c r="Y159" s="113"/>
      <c r="Z159" s="113"/>
      <c r="AA159" s="17"/>
      <c r="AB159" s="17"/>
    </row>
    <row r="160" spans="11:28">
      <c r="M160" s="17"/>
      <c r="N160" s="17"/>
      <c r="O160" s="17"/>
      <c r="P160" s="17"/>
      <c r="Q160" s="17"/>
      <c r="R160" s="17"/>
      <c r="S160" s="17"/>
      <c r="T160" s="17"/>
      <c r="AA160" s="17"/>
      <c r="AB160" s="17"/>
    </row>
    <row r="161" spans="13:28">
      <c r="M161" s="17"/>
      <c r="N161" s="17"/>
      <c r="O161" s="17"/>
      <c r="P161" s="17"/>
      <c r="Q161" s="17"/>
      <c r="R161" s="17"/>
      <c r="S161" s="17"/>
      <c r="T161" s="17"/>
      <c r="U161" s="114"/>
      <c r="V161" s="115"/>
      <c r="AA161" s="17"/>
      <c r="AB161" s="17"/>
    </row>
    <row r="162" spans="13:28">
      <c r="M162" s="17"/>
      <c r="N162" s="17"/>
      <c r="O162" s="17"/>
      <c r="P162" s="17"/>
      <c r="Q162" s="17"/>
      <c r="R162" s="17"/>
      <c r="S162" s="17"/>
      <c r="T162" s="17"/>
      <c r="AA162" s="17"/>
      <c r="AB162" s="17"/>
    </row>
    <row r="163" spans="13:28">
      <c r="M163" s="17"/>
      <c r="N163" s="17"/>
      <c r="O163" s="17"/>
      <c r="P163" s="17"/>
      <c r="Q163" s="17"/>
      <c r="R163" s="17"/>
      <c r="S163" s="17"/>
      <c r="T163" s="17"/>
      <c r="U163" s="12"/>
      <c r="V163" s="13"/>
      <c r="Y163" s="113"/>
      <c r="Z163" s="113"/>
      <c r="AA163" s="17"/>
      <c r="AB163" s="17"/>
    </row>
    <row r="164" spans="13:28">
      <c r="M164" s="17"/>
      <c r="N164" s="17"/>
      <c r="O164" s="17"/>
      <c r="P164" s="17"/>
      <c r="Q164" s="17"/>
      <c r="R164" s="17"/>
      <c r="S164" s="17"/>
      <c r="T164" s="17"/>
      <c r="U164" s="109"/>
      <c r="V164" s="109"/>
      <c r="Y164" s="116"/>
      <c r="Z164" s="116"/>
      <c r="AA164" s="17"/>
      <c r="AB164" s="17"/>
    </row>
    <row r="165" spans="13:28">
      <c r="M165" s="17"/>
      <c r="N165" s="17"/>
      <c r="O165" s="17"/>
      <c r="P165" s="17"/>
      <c r="Q165" s="17"/>
      <c r="R165" s="17"/>
      <c r="S165" s="17"/>
      <c r="T165" s="17"/>
      <c r="U165" s="66"/>
      <c r="V165" s="66"/>
      <c r="W165" s="66"/>
      <c r="Y165" s="35"/>
      <c r="Z165" s="91"/>
      <c r="AB165" s="17"/>
    </row>
    <row r="166" spans="13:28">
      <c r="M166" s="17"/>
      <c r="N166" s="17"/>
      <c r="O166" s="17"/>
      <c r="P166" s="17"/>
      <c r="Q166" s="17"/>
      <c r="R166" s="17"/>
      <c r="S166" s="17"/>
      <c r="T166" s="17"/>
      <c r="U166" s="117"/>
      <c r="V166" s="117"/>
      <c r="Y166" s="116"/>
      <c r="Z166" s="116"/>
      <c r="AA166" s="17"/>
      <c r="AB166" s="17"/>
    </row>
    <row r="167" spans="13:28" ht="15">
      <c r="M167" s="17"/>
      <c r="N167" s="17"/>
      <c r="O167" s="17"/>
      <c r="P167" s="17"/>
      <c r="Q167" s="17"/>
      <c r="R167" s="17"/>
      <c r="S167" s="17"/>
      <c r="T167" s="17"/>
      <c r="U167" s="33"/>
      <c r="V167" s="118"/>
      <c r="W167" s="109"/>
      <c r="Y167" s="226"/>
      <c r="Z167" s="226"/>
      <c r="AA167" s="17"/>
      <c r="AB167" s="17"/>
    </row>
    <row r="168" spans="13:28">
      <c r="M168" s="17"/>
      <c r="N168" s="17"/>
      <c r="O168" s="17"/>
      <c r="P168" s="17"/>
      <c r="Q168" s="17"/>
      <c r="R168" s="17"/>
      <c r="S168" s="17"/>
      <c r="T168" s="17"/>
      <c r="U168" s="25"/>
      <c r="V168" s="22"/>
      <c r="X168" s="119"/>
      <c r="Y168" s="113"/>
      <c r="Z168" s="113"/>
      <c r="AA168" s="17"/>
      <c r="AB168" s="17"/>
    </row>
    <row r="169" spans="13:28">
      <c r="M169" s="17"/>
      <c r="N169" s="17"/>
      <c r="O169" s="17"/>
      <c r="P169" s="17"/>
      <c r="Q169" s="17"/>
      <c r="R169" s="17"/>
      <c r="S169" s="17"/>
      <c r="T169" s="17"/>
      <c r="U169" s="25"/>
      <c r="V169" s="22"/>
      <c r="X169" s="119"/>
      <c r="Y169" s="113"/>
      <c r="Z169" s="113"/>
      <c r="AA169" s="17"/>
      <c r="AB169" s="17"/>
    </row>
    <row r="170" spans="13:28">
      <c r="M170" s="17"/>
      <c r="N170" s="17"/>
      <c r="O170" s="17"/>
      <c r="P170" s="17"/>
      <c r="Q170" s="17"/>
      <c r="R170" s="17"/>
      <c r="S170" s="17"/>
      <c r="T170" s="17"/>
      <c r="U170" s="25"/>
      <c r="V170" s="22"/>
      <c r="X170" s="119"/>
      <c r="Y170" s="113"/>
      <c r="Z170" s="113"/>
      <c r="AA170" s="17"/>
      <c r="AB170" s="17"/>
    </row>
    <row r="171" spans="13:28">
      <c r="M171" s="17"/>
      <c r="N171" s="17"/>
      <c r="O171" s="17"/>
      <c r="P171" s="17"/>
      <c r="Q171" s="17"/>
      <c r="R171" s="17"/>
      <c r="S171" s="17"/>
      <c r="T171" s="17"/>
      <c r="U171" s="25"/>
      <c r="V171" s="22"/>
      <c r="X171" s="120"/>
      <c r="Y171" s="113"/>
      <c r="Z171" s="113"/>
      <c r="AA171" s="17"/>
      <c r="AB171" s="17"/>
    </row>
    <row r="172" spans="13:28">
      <c r="M172" s="17"/>
      <c r="N172" s="17"/>
      <c r="O172" s="17"/>
      <c r="P172" s="17"/>
      <c r="Q172" s="17"/>
      <c r="R172" s="17"/>
      <c r="S172" s="17"/>
      <c r="T172" s="17"/>
      <c r="U172" s="25"/>
      <c r="V172" s="22"/>
      <c r="X172" s="121"/>
      <c r="Y172" s="113"/>
      <c r="Z172" s="113"/>
      <c r="AA172" s="17"/>
      <c r="AB172" s="17"/>
    </row>
    <row r="173" spans="13:28">
      <c r="M173" s="17"/>
      <c r="N173" s="17"/>
      <c r="O173" s="17"/>
      <c r="P173" s="17"/>
      <c r="Q173" s="17"/>
      <c r="R173" s="17"/>
      <c r="S173" s="17"/>
      <c r="T173" s="17"/>
      <c r="U173" s="25"/>
      <c r="V173" s="22"/>
      <c r="X173" s="120"/>
      <c r="Y173" s="113"/>
      <c r="Z173" s="113"/>
      <c r="AA173" s="17"/>
      <c r="AB173" s="17"/>
    </row>
    <row r="174" spans="13:28">
      <c r="M174" s="17"/>
      <c r="N174" s="17"/>
      <c r="O174" s="17"/>
      <c r="P174" s="17"/>
      <c r="Q174" s="17"/>
      <c r="R174" s="17"/>
      <c r="S174" s="17"/>
      <c r="T174" s="17"/>
      <c r="U174" s="25"/>
      <c r="V174" s="22"/>
      <c r="X174" s="120"/>
      <c r="Y174" s="113"/>
      <c r="Z174" s="113"/>
      <c r="AA174" s="17"/>
      <c r="AB174" s="17"/>
    </row>
    <row r="175" spans="13:28">
      <c r="M175" s="17"/>
      <c r="N175" s="17"/>
      <c r="O175" s="17"/>
      <c r="P175" s="17"/>
      <c r="Q175" s="17"/>
      <c r="R175" s="17"/>
      <c r="S175" s="17"/>
      <c r="T175" s="17"/>
      <c r="U175" s="25"/>
      <c r="V175" s="22"/>
      <c r="X175" s="120"/>
      <c r="Y175" s="113"/>
      <c r="Z175" s="113"/>
      <c r="AA175" s="17"/>
      <c r="AB175" s="17"/>
    </row>
    <row r="176" spans="13:28">
      <c r="M176" s="17"/>
      <c r="N176" s="17"/>
      <c r="O176" s="17"/>
      <c r="P176" s="17"/>
      <c r="Q176" s="17"/>
      <c r="R176" s="17"/>
      <c r="S176" s="17"/>
      <c r="T176" s="17"/>
      <c r="U176" s="25"/>
      <c r="V176" s="22"/>
      <c r="X176" s="120"/>
      <c r="Y176" s="113"/>
      <c r="Z176" s="113"/>
      <c r="AA176" s="17"/>
      <c r="AB176" s="17"/>
    </row>
    <row r="177" spans="13:28">
      <c r="M177" s="17"/>
      <c r="N177" s="17"/>
      <c r="O177" s="17"/>
      <c r="P177" s="17"/>
      <c r="Q177" s="17"/>
      <c r="R177" s="17"/>
      <c r="S177" s="17"/>
      <c r="T177" s="17"/>
      <c r="U177" s="25"/>
      <c r="V177" s="22"/>
      <c r="X177" s="120"/>
      <c r="Y177" s="113"/>
      <c r="Z177" s="113"/>
      <c r="AA177" s="17"/>
      <c r="AB177" s="17"/>
    </row>
    <row r="178" spans="13:28">
      <c r="M178" s="17"/>
      <c r="N178" s="17"/>
      <c r="O178" s="17"/>
      <c r="P178" s="17"/>
      <c r="Q178" s="17"/>
      <c r="R178" s="17"/>
      <c r="S178" s="17"/>
      <c r="T178" s="17"/>
      <c r="U178" s="25"/>
      <c r="V178" s="22"/>
      <c r="X178" s="120"/>
      <c r="Y178" s="113"/>
      <c r="Z178" s="113"/>
      <c r="AA178" s="17"/>
      <c r="AB178" s="17"/>
    </row>
    <row r="179" spans="13:28">
      <c r="M179" s="17"/>
      <c r="N179" s="17"/>
      <c r="O179" s="17"/>
      <c r="P179" s="17"/>
      <c r="Q179" s="17"/>
      <c r="R179" s="17"/>
      <c r="S179" s="17"/>
      <c r="T179" s="17"/>
      <c r="U179" s="25"/>
      <c r="V179" s="22"/>
      <c r="X179" s="120"/>
      <c r="Y179" s="113"/>
      <c r="Z179" s="113"/>
      <c r="AA179" s="17"/>
      <c r="AB179" s="17"/>
    </row>
    <row r="180" spans="13:28">
      <c r="M180" s="17"/>
      <c r="N180" s="17"/>
      <c r="O180" s="17"/>
      <c r="P180" s="17"/>
      <c r="Q180" s="17"/>
      <c r="R180" s="17"/>
      <c r="S180" s="17"/>
      <c r="T180" s="17"/>
      <c r="U180" s="25"/>
      <c r="V180" s="22"/>
      <c r="X180" s="121"/>
      <c r="Y180" s="113"/>
      <c r="Z180" s="113"/>
      <c r="AA180" s="17"/>
      <c r="AB180" s="17"/>
    </row>
    <row r="181" spans="13:28">
      <c r="M181" s="17"/>
      <c r="N181" s="17"/>
      <c r="O181" s="17"/>
      <c r="P181" s="17"/>
      <c r="Q181" s="17"/>
      <c r="R181" s="17"/>
      <c r="S181" s="17"/>
      <c r="T181" s="122"/>
      <c r="U181" s="25"/>
      <c r="V181" s="22"/>
      <c r="X181" s="121"/>
      <c r="Y181" s="123"/>
      <c r="Z181" s="113"/>
      <c r="AA181" s="17"/>
      <c r="AB181" s="17"/>
    </row>
    <row r="182" spans="13:28">
      <c r="M182" s="17"/>
      <c r="N182" s="17"/>
      <c r="O182" s="17"/>
      <c r="P182" s="17"/>
      <c r="Q182" s="17"/>
      <c r="R182" s="17"/>
      <c r="S182" s="17"/>
      <c r="T182" s="122"/>
      <c r="U182" s="25"/>
      <c r="V182" s="22"/>
      <c r="X182" s="121"/>
      <c r="Y182" s="123"/>
      <c r="Z182" s="113"/>
      <c r="AA182" s="17"/>
      <c r="AB182" s="17"/>
    </row>
    <row r="183" spans="13:28">
      <c r="M183" s="17"/>
      <c r="N183" s="17"/>
      <c r="O183" s="17"/>
      <c r="P183" s="17"/>
      <c r="Q183" s="17"/>
      <c r="R183" s="17"/>
      <c r="S183" s="17"/>
      <c r="T183" s="122"/>
      <c r="U183" s="25"/>
      <c r="V183" s="22"/>
      <c r="X183" s="121"/>
      <c r="Y183" s="113"/>
      <c r="Z183" s="113"/>
      <c r="AA183" s="17"/>
      <c r="AB183" s="17"/>
    </row>
    <row r="184" spans="13:28">
      <c r="M184" s="17"/>
      <c r="N184" s="17"/>
      <c r="O184" s="17"/>
      <c r="P184" s="17"/>
      <c r="Q184" s="17"/>
      <c r="R184" s="17"/>
      <c r="S184" s="17"/>
      <c r="T184" s="17"/>
      <c r="U184" s="25"/>
      <c r="V184" s="23"/>
      <c r="X184" s="121"/>
      <c r="Y184" s="113"/>
      <c r="Z184" s="113"/>
      <c r="AA184" s="17"/>
      <c r="AB184" s="17"/>
    </row>
    <row r="185" spans="13:28">
      <c r="M185" s="17"/>
      <c r="N185" s="17"/>
      <c r="O185" s="17"/>
      <c r="P185" s="17"/>
      <c r="Q185" s="17"/>
      <c r="R185" s="17"/>
      <c r="S185" s="17"/>
      <c r="T185" s="17"/>
      <c r="U185" s="25"/>
      <c r="V185" s="22"/>
      <c r="X185" s="121"/>
      <c r="Y185" s="113"/>
      <c r="Z185" s="113"/>
      <c r="AA185" s="17"/>
      <c r="AB185" s="17"/>
    </row>
    <row r="186" spans="13:28">
      <c r="M186" s="17"/>
      <c r="N186" s="17"/>
      <c r="O186" s="17"/>
      <c r="P186" s="17"/>
      <c r="Q186" s="17"/>
      <c r="R186" s="17"/>
      <c r="S186" s="17"/>
      <c r="T186" s="48"/>
      <c r="U186" s="25"/>
      <c r="V186" s="22"/>
      <c r="X186" s="121"/>
      <c r="Y186" s="113"/>
      <c r="Z186" s="113"/>
      <c r="AA186" s="17"/>
      <c r="AB186" s="17"/>
    </row>
    <row r="187" spans="13:28">
      <c r="M187" s="17"/>
      <c r="N187" s="17"/>
      <c r="O187" s="17"/>
      <c r="P187" s="17"/>
      <c r="Q187" s="17"/>
      <c r="R187" s="17"/>
      <c r="S187" s="17"/>
      <c r="T187" s="48"/>
      <c r="U187" s="25"/>
      <c r="V187" s="22"/>
      <c r="X187" s="121"/>
      <c r="Y187" s="113"/>
      <c r="Z187" s="113"/>
      <c r="AA187" s="17"/>
      <c r="AB187" s="17"/>
    </row>
    <row r="188" spans="13:28">
      <c r="M188" s="17"/>
      <c r="N188" s="17"/>
      <c r="O188" s="17"/>
      <c r="P188" s="17"/>
      <c r="Q188" s="17"/>
      <c r="R188" s="17"/>
      <c r="S188" s="17"/>
      <c r="T188" s="17"/>
      <c r="U188" s="25"/>
      <c r="V188" s="22"/>
      <c r="X188" s="121"/>
      <c r="Y188" s="113"/>
      <c r="Z188" s="113"/>
      <c r="AA188" s="17"/>
      <c r="AB188" s="17"/>
    </row>
    <row r="189" spans="13:28">
      <c r="M189" s="17"/>
      <c r="N189" s="17"/>
      <c r="O189" s="17"/>
      <c r="P189" s="17"/>
      <c r="Q189" s="17"/>
      <c r="R189" s="17"/>
      <c r="S189" s="17"/>
      <c r="T189" s="17"/>
      <c r="U189" s="25"/>
      <c r="V189" s="22"/>
      <c r="X189" s="121"/>
      <c r="Y189" s="113"/>
      <c r="Z189" s="113"/>
      <c r="AA189" s="17"/>
      <c r="AB189" s="17"/>
    </row>
    <row r="190" spans="13:28">
      <c r="M190" s="17"/>
      <c r="N190" s="17"/>
      <c r="O190" s="17"/>
      <c r="P190" s="17"/>
      <c r="Q190" s="17"/>
      <c r="R190" s="17"/>
      <c r="S190" s="17"/>
      <c r="T190" s="28"/>
      <c r="U190" s="25"/>
      <c r="V190" s="22"/>
      <c r="X190" s="121"/>
      <c r="Y190" s="113"/>
      <c r="Z190" s="113"/>
      <c r="AA190" s="17"/>
      <c r="AB190" s="17"/>
    </row>
    <row r="191" spans="13:28">
      <c r="M191" s="17"/>
      <c r="N191" s="17"/>
      <c r="O191" s="17"/>
      <c r="P191" s="17"/>
      <c r="Q191" s="17"/>
      <c r="R191" s="17"/>
      <c r="S191" s="17"/>
      <c r="T191" s="122"/>
      <c r="U191" s="25"/>
      <c r="V191" s="22"/>
      <c r="X191" s="121"/>
      <c r="Y191" s="123"/>
      <c r="Z191" s="113"/>
      <c r="AA191" s="17"/>
      <c r="AB191" s="17"/>
    </row>
    <row r="192" spans="13:28">
      <c r="M192" s="17"/>
      <c r="N192" s="17"/>
      <c r="O192" s="17"/>
      <c r="P192" s="17"/>
      <c r="Q192" s="17"/>
      <c r="R192" s="17"/>
      <c r="S192" s="17"/>
      <c r="T192" s="122"/>
      <c r="U192" s="25"/>
      <c r="V192" s="22"/>
      <c r="X192" s="121"/>
      <c r="Y192" s="123"/>
      <c r="Z192" s="113"/>
      <c r="AA192" s="17"/>
      <c r="AB192" s="17"/>
    </row>
    <row r="193" spans="13:28">
      <c r="M193" s="17"/>
      <c r="N193" s="17"/>
      <c r="O193" s="17"/>
      <c r="P193" s="17"/>
      <c r="Q193" s="17"/>
      <c r="R193" s="17"/>
      <c r="S193" s="17"/>
      <c r="T193" s="122"/>
      <c r="U193" s="25"/>
      <c r="V193" s="22"/>
      <c r="X193" s="121"/>
      <c r="Y193" s="123"/>
      <c r="Z193" s="113"/>
      <c r="AA193" s="17"/>
      <c r="AB193" s="17"/>
    </row>
    <row r="194" spans="13:28">
      <c r="M194" s="17"/>
      <c r="N194" s="17"/>
      <c r="O194" s="17"/>
      <c r="P194" s="17"/>
      <c r="Q194" s="17"/>
      <c r="R194" s="17"/>
      <c r="S194" s="17"/>
      <c r="T194" s="17"/>
      <c r="U194" s="25"/>
      <c r="V194" s="22"/>
      <c r="X194" s="121"/>
      <c r="Y194" s="113"/>
      <c r="Z194" s="113"/>
      <c r="AA194" s="17"/>
      <c r="AB194" s="17"/>
    </row>
    <row r="195" spans="13:28">
      <c r="M195" s="17"/>
      <c r="N195" s="17"/>
      <c r="O195" s="17"/>
      <c r="P195" s="17"/>
      <c r="Q195" s="17"/>
      <c r="R195" s="17"/>
      <c r="S195" s="17"/>
      <c r="T195" s="17"/>
      <c r="U195" s="25"/>
      <c r="V195" s="22"/>
      <c r="X195" s="120"/>
      <c r="Y195" s="113"/>
      <c r="Z195" s="113"/>
      <c r="AA195" s="91"/>
      <c r="AB195" s="17"/>
    </row>
    <row r="196" spans="13:28">
      <c r="M196" s="17"/>
      <c r="N196" s="17"/>
      <c r="O196" s="17"/>
      <c r="P196" s="17"/>
      <c r="Q196" s="17"/>
      <c r="R196" s="17"/>
      <c r="S196" s="17"/>
      <c r="T196" s="17"/>
      <c r="U196" s="25"/>
      <c r="V196" s="22"/>
      <c r="X196" s="120"/>
      <c r="Y196" s="113"/>
      <c r="Z196" s="113"/>
      <c r="AA196" s="17"/>
      <c r="AB196" s="17"/>
    </row>
    <row r="197" spans="13:28">
      <c r="M197" s="17"/>
      <c r="N197" s="17"/>
      <c r="O197" s="17"/>
      <c r="P197" s="17"/>
      <c r="Q197" s="17"/>
      <c r="R197" s="17"/>
      <c r="S197" s="17"/>
      <c r="T197" s="48"/>
      <c r="U197" s="29"/>
      <c r="X197" s="120"/>
      <c r="Y197" s="113"/>
      <c r="Z197" s="113"/>
      <c r="AA197" s="17"/>
      <c r="AB197" s="17"/>
    </row>
    <row r="198" spans="13:28">
      <c r="M198" s="17"/>
      <c r="N198" s="17"/>
      <c r="O198" s="17"/>
      <c r="P198" s="17"/>
      <c r="Q198" s="17"/>
      <c r="R198" s="17"/>
      <c r="S198" s="17"/>
      <c r="T198" s="17"/>
      <c r="U198" s="25"/>
      <c r="V198" s="22"/>
      <c r="X198" s="120"/>
      <c r="Y198" s="113"/>
      <c r="Z198" s="113"/>
      <c r="AA198" s="17"/>
      <c r="AB198" s="17"/>
    </row>
    <row r="199" spans="13:28">
      <c r="M199" s="17"/>
      <c r="N199" s="17"/>
      <c r="O199" s="17"/>
      <c r="P199" s="17"/>
      <c r="Q199" s="17"/>
      <c r="R199" s="17"/>
      <c r="S199" s="17"/>
      <c r="T199" s="17"/>
      <c r="U199" s="112"/>
      <c r="V199" s="23"/>
      <c r="Y199" s="113"/>
      <c r="Z199" s="113"/>
      <c r="AA199" s="17"/>
      <c r="AB199" s="17"/>
    </row>
    <row r="200" spans="13:28">
      <c r="M200" s="17"/>
      <c r="N200" s="17"/>
      <c r="O200" s="17"/>
      <c r="P200" s="17"/>
      <c r="Q200" s="17"/>
      <c r="R200" s="17"/>
      <c r="S200" s="17"/>
      <c r="T200" s="17"/>
      <c r="U200" s="112"/>
      <c r="V200" s="23"/>
      <c r="Y200" s="113"/>
      <c r="Z200" s="113"/>
      <c r="AA200" s="124"/>
      <c r="AB200" s="17"/>
    </row>
    <row r="201" spans="13:28">
      <c r="M201" s="17"/>
      <c r="N201" s="17"/>
      <c r="O201" s="17"/>
      <c r="P201" s="17"/>
      <c r="Q201" s="17"/>
      <c r="R201" s="17"/>
      <c r="S201" s="17"/>
      <c r="T201" s="17"/>
      <c r="U201" s="117"/>
      <c r="V201" s="117"/>
      <c r="Y201" s="116"/>
      <c r="Z201" s="116"/>
      <c r="AA201" s="17"/>
      <c r="AB201" s="17"/>
    </row>
    <row r="202" spans="13:28">
      <c r="M202" s="17"/>
      <c r="N202" s="17"/>
      <c r="O202" s="17"/>
      <c r="P202" s="17"/>
      <c r="Q202" s="17"/>
      <c r="R202" s="17"/>
      <c r="S202" s="17"/>
      <c r="T202" s="17"/>
      <c r="U202" s="66"/>
      <c r="V202" s="36"/>
      <c r="Y202" s="67"/>
      <c r="Z202" s="91"/>
      <c r="AA202" s="17"/>
      <c r="AB202" s="17"/>
    </row>
    <row r="203" spans="13:28">
      <c r="M203" s="17"/>
      <c r="N203" s="17"/>
      <c r="O203" s="17"/>
      <c r="P203" s="17"/>
      <c r="Q203" s="17"/>
      <c r="R203" s="17"/>
      <c r="S203" s="17"/>
      <c r="T203" s="17"/>
      <c r="U203" s="109"/>
      <c r="V203" s="109"/>
      <c r="W203" s="125"/>
      <c r="Y203" s="126"/>
      <c r="Z203" s="127"/>
      <c r="AA203" s="17"/>
      <c r="AB203" s="17"/>
    </row>
    <row r="204" spans="13:28" ht="15">
      <c r="M204" s="17"/>
      <c r="N204" s="17"/>
      <c r="O204" s="17"/>
      <c r="P204" s="17"/>
      <c r="Q204" s="17"/>
      <c r="R204" s="17"/>
      <c r="S204" s="17"/>
      <c r="T204" s="17"/>
      <c r="U204" s="104"/>
      <c r="W204" s="71"/>
      <c r="X204" s="47"/>
      <c r="Y204" s="126"/>
      <c r="Z204" s="128"/>
      <c r="AA204" s="17"/>
      <c r="AB204" s="17"/>
    </row>
    <row r="205" spans="13:28" ht="15">
      <c r="M205" s="17"/>
      <c r="N205" s="17"/>
      <c r="O205" s="17"/>
      <c r="P205" s="17"/>
      <c r="Q205" s="17"/>
      <c r="R205" s="17"/>
      <c r="S205" s="17"/>
      <c r="T205" s="17"/>
      <c r="U205" s="33"/>
      <c r="V205" s="109"/>
      <c r="W205" s="109"/>
      <c r="Y205" s="226"/>
      <c r="Z205" s="226"/>
      <c r="AA205" s="17"/>
      <c r="AB205" s="17"/>
    </row>
    <row r="206" spans="13:28">
      <c r="M206" s="17"/>
      <c r="N206" s="17"/>
      <c r="O206" s="17"/>
      <c r="P206" s="17"/>
      <c r="Q206" s="17"/>
      <c r="R206" s="17"/>
      <c r="S206" s="17"/>
      <c r="T206" s="17"/>
      <c r="U206" s="112"/>
      <c r="V206" s="23"/>
      <c r="Y206" s="113"/>
      <c r="Z206" s="113"/>
      <c r="AA206" s="17"/>
      <c r="AB206" s="17"/>
    </row>
    <row r="207" spans="13:28">
      <c r="M207" s="17"/>
      <c r="N207" s="17"/>
      <c r="O207" s="17"/>
      <c r="P207" s="17"/>
      <c r="Q207" s="17"/>
      <c r="R207" s="17"/>
      <c r="S207" s="17"/>
      <c r="T207" s="17"/>
      <c r="U207" s="40"/>
      <c r="V207" s="34"/>
      <c r="Y207" s="113"/>
      <c r="Z207" s="113"/>
      <c r="AA207" s="17"/>
      <c r="AB207" s="17"/>
    </row>
    <row r="208" spans="13:28">
      <c r="M208" s="17"/>
      <c r="N208" s="17"/>
      <c r="O208" s="17"/>
      <c r="P208" s="17"/>
      <c r="Q208" s="17"/>
      <c r="R208" s="17"/>
      <c r="S208" s="17"/>
      <c r="T208" s="17"/>
      <c r="U208" s="12"/>
      <c r="V208" s="13"/>
      <c r="Y208" s="113"/>
      <c r="Z208" s="113"/>
      <c r="AA208" s="17"/>
      <c r="AB208" s="17"/>
    </row>
    <row r="209" spans="13:28">
      <c r="M209" s="17"/>
      <c r="N209" s="17"/>
      <c r="O209" s="17"/>
      <c r="P209" s="17"/>
      <c r="Q209" s="17"/>
      <c r="R209" s="17"/>
      <c r="S209" s="17"/>
      <c r="T209" s="17"/>
      <c r="U209" s="109"/>
      <c r="V209" s="109"/>
      <c r="Y209" s="116"/>
      <c r="Z209" s="116"/>
      <c r="AA209" s="17"/>
      <c r="AB209" s="17"/>
    </row>
    <row r="210" spans="13:28">
      <c r="M210" s="17"/>
      <c r="N210" s="17"/>
      <c r="O210" s="17"/>
      <c r="P210" s="17"/>
      <c r="Q210" s="17"/>
      <c r="R210" s="17"/>
      <c r="S210" s="17"/>
      <c r="T210" s="17"/>
      <c r="U210" s="66"/>
      <c r="V210" s="66"/>
      <c r="W210" s="66"/>
      <c r="Y210" s="35"/>
      <c r="Z210" s="91"/>
      <c r="AA210" s="17"/>
      <c r="AB210" s="17"/>
    </row>
    <row r="211" spans="13:28">
      <c r="M211" s="17"/>
      <c r="N211" s="17"/>
      <c r="O211" s="17"/>
      <c r="P211" s="17"/>
      <c r="Q211" s="17"/>
      <c r="R211" s="17"/>
      <c r="S211" s="17"/>
      <c r="T211" s="17"/>
      <c r="U211" s="117"/>
      <c r="V211" s="117"/>
      <c r="Y211" s="116"/>
      <c r="Z211" s="116"/>
      <c r="AA211" s="17"/>
      <c r="AB211" s="17"/>
    </row>
    <row r="212" spans="13:28">
      <c r="M212" s="17"/>
      <c r="N212" s="17"/>
      <c r="O212" s="17"/>
      <c r="P212" s="17"/>
      <c r="Q212" s="17"/>
      <c r="R212" s="17"/>
      <c r="S212" s="17"/>
      <c r="T212" s="17"/>
      <c r="U212" s="109"/>
      <c r="V212" s="109"/>
      <c r="W212" s="109"/>
      <c r="Y212" s="116"/>
      <c r="Z212" s="129"/>
      <c r="AA212" s="17"/>
      <c r="AB212" s="17"/>
    </row>
    <row r="213" spans="13:28" ht="15">
      <c r="M213" s="17"/>
      <c r="N213" s="17"/>
      <c r="O213" s="17"/>
      <c r="P213" s="17"/>
      <c r="Q213" s="17"/>
      <c r="R213" s="17"/>
      <c r="S213" s="17"/>
      <c r="T213" s="17"/>
      <c r="U213" s="37"/>
      <c r="V213" s="118"/>
      <c r="W213" s="109"/>
      <c r="Y213" s="226"/>
      <c r="Z213" s="226"/>
      <c r="AA213" s="17"/>
      <c r="AB213" s="17"/>
    </row>
    <row r="214" spans="13:28">
      <c r="M214" s="17"/>
      <c r="N214" s="17"/>
      <c r="O214" s="17"/>
      <c r="P214" s="17"/>
      <c r="Q214" s="17"/>
      <c r="R214" s="17"/>
      <c r="S214" s="17"/>
      <c r="T214" s="17"/>
      <c r="U214" s="25"/>
      <c r="V214" s="22"/>
      <c r="Y214" s="113"/>
      <c r="Z214" s="113"/>
      <c r="AA214" s="17"/>
      <c r="AB214" s="17"/>
    </row>
    <row r="215" spans="13:28">
      <c r="M215" s="17"/>
      <c r="N215" s="17"/>
      <c r="O215" s="17"/>
      <c r="P215" s="17"/>
      <c r="Q215" s="17"/>
      <c r="R215" s="17"/>
      <c r="S215" s="17"/>
      <c r="T215" s="17"/>
      <c r="U215" s="25"/>
      <c r="V215" s="22"/>
      <c r="Y215" s="113"/>
      <c r="Z215" s="113"/>
      <c r="AA215" s="17"/>
      <c r="AB215" s="17"/>
    </row>
    <row r="216" spans="13:28">
      <c r="M216" s="17"/>
      <c r="N216" s="17"/>
      <c r="O216" s="17"/>
      <c r="P216" s="17"/>
      <c r="Q216" s="17"/>
      <c r="R216" s="17"/>
      <c r="S216" s="17"/>
      <c r="T216" s="17"/>
      <c r="U216" s="42"/>
      <c r="V216" s="22"/>
      <c r="Y216" s="113"/>
      <c r="Z216" s="113"/>
      <c r="AA216" s="17"/>
      <c r="AB216" s="17"/>
    </row>
    <row r="217" spans="13:28">
      <c r="M217" s="17"/>
      <c r="N217" s="17"/>
      <c r="O217" s="17"/>
      <c r="P217" s="17"/>
      <c r="Q217" s="17"/>
      <c r="R217" s="17"/>
      <c r="S217" s="17"/>
      <c r="T217" s="17"/>
      <c r="U217" s="109"/>
      <c r="V217" s="109"/>
      <c r="Y217" s="116"/>
      <c r="Z217" s="116"/>
      <c r="AA217" s="17"/>
      <c r="AB217" s="17"/>
    </row>
    <row r="218" spans="13:28">
      <c r="M218" s="17"/>
      <c r="N218" s="17"/>
      <c r="O218" s="17"/>
      <c r="P218" s="17"/>
      <c r="Q218" s="17"/>
      <c r="R218" s="17"/>
      <c r="S218" s="17"/>
      <c r="T218" s="17"/>
      <c r="U218" s="66"/>
      <c r="V218" s="66"/>
      <c r="W218" s="66"/>
      <c r="Y218" s="35"/>
      <c r="Z218" s="91"/>
      <c r="AA218" s="17"/>
      <c r="AB218" s="17"/>
    </row>
    <row r="219" spans="13:28">
      <c r="M219" s="17"/>
      <c r="N219" s="17"/>
      <c r="O219" s="17"/>
      <c r="P219" s="17"/>
      <c r="Q219" s="17"/>
      <c r="R219" s="17"/>
      <c r="S219" s="17"/>
      <c r="T219" s="17"/>
      <c r="U219" s="109"/>
      <c r="V219" s="109"/>
      <c r="W219" s="109"/>
      <c r="Y219" s="129"/>
      <c r="Z219" s="130"/>
      <c r="AA219" s="17"/>
      <c r="AB219" s="17"/>
    </row>
    <row r="220" spans="13:28">
      <c r="M220" s="17"/>
      <c r="N220" s="17"/>
      <c r="O220" s="17"/>
      <c r="P220" s="17"/>
      <c r="Q220" s="17"/>
      <c r="R220" s="17"/>
      <c r="S220" s="17"/>
      <c r="T220" s="17"/>
      <c r="AA220" s="17"/>
      <c r="AB220" s="17"/>
    </row>
    <row r="221" spans="13:28" ht="15">
      <c r="M221" s="17"/>
      <c r="N221" s="17"/>
      <c r="O221" s="17"/>
      <c r="P221" s="17"/>
      <c r="Q221" s="17"/>
      <c r="R221" s="17"/>
      <c r="S221" s="17"/>
      <c r="T221" s="17"/>
      <c r="U221" s="37"/>
      <c r="AA221" s="17"/>
      <c r="AB221" s="17"/>
    </row>
    <row r="222" spans="13:28">
      <c r="M222" s="17"/>
      <c r="N222" s="17"/>
      <c r="O222" s="17"/>
      <c r="P222" s="17"/>
      <c r="Q222" s="17"/>
      <c r="R222" s="17"/>
      <c r="S222" s="17"/>
      <c r="T222" s="17"/>
      <c r="U222" s="8"/>
      <c r="V222" s="132"/>
      <c r="Y222" s="113"/>
      <c r="AA222" s="17"/>
      <c r="AB222" s="17"/>
    </row>
    <row r="223" spans="13:28">
      <c r="M223" s="17"/>
      <c r="N223" s="17"/>
      <c r="O223" s="17"/>
      <c r="P223" s="17"/>
      <c r="Q223" s="17"/>
      <c r="R223" s="17"/>
      <c r="S223" s="17"/>
      <c r="T223" s="17"/>
      <c r="U223" s="8"/>
      <c r="V223" s="132"/>
      <c r="Y223" s="113"/>
      <c r="AA223" s="17"/>
      <c r="AB223" s="17"/>
    </row>
    <row r="224" spans="13:28">
      <c r="M224" s="17"/>
      <c r="N224" s="17"/>
      <c r="O224" s="17"/>
      <c r="P224" s="17"/>
      <c r="Q224" s="17"/>
      <c r="R224" s="17"/>
      <c r="S224" s="17"/>
      <c r="T224" s="17"/>
      <c r="U224" s="8"/>
      <c r="V224" s="132"/>
      <c r="Y224" s="31"/>
      <c r="AA224" s="17"/>
      <c r="AB224" s="17"/>
    </row>
    <row r="225" spans="5:28" ht="15">
      <c r="M225" s="17"/>
      <c r="N225" s="17"/>
      <c r="O225" s="17"/>
      <c r="P225" s="17"/>
      <c r="Q225" s="17"/>
      <c r="R225" s="17"/>
      <c r="S225" s="17"/>
      <c r="T225" s="17"/>
      <c r="V225" s="133"/>
      <c r="AA225" s="17"/>
      <c r="AB225" s="17"/>
    </row>
    <row r="226" spans="5:28">
      <c r="M226" s="17"/>
      <c r="N226" s="17"/>
      <c r="O226" s="17"/>
      <c r="P226" s="17"/>
      <c r="Q226" s="17"/>
      <c r="R226" s="17"/>
      <c r="S226" s="17"/>
      <c r="T226" s="17"/>
      <c r="V226" s="132"/>
      <c r="Y226" s="113"/>
      <c r="AA226" s="17"/>
      <c r="AB226" s="17"/>
    </row>
    <row r="227" spans="5:28">
      <c r="M227" s="17"/>
      <c r="N227" s="17"/>
      <c r="O227" s="17"/>
      <c r="P227" s="17"/>
      <c r="Q227" s="17"/>
      <c r="R227" s="17"/>
      <c r="S227" s="17"/>
      <c r="T227" s="17"/>
      <c r="AA227" s="17"/>
      <c r="AB227" s="17"/>
    </row>
    <row r="228" spans="5:28"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7"/>
      <c r="AA228" s="17"/>
      <c r="AB228" s="17"/>
    </row>
    <row r="229" spans="5:28"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7"/>
      <c r="AA229" s="17"/>
      <c r="AB229" s="17"/>
    </row>
    <row r="235" spans="5:28">
      <c r="E235" s="79"/>
    </row>
  </sheetData>
  <mergeCells count="3">
    <mergeCell ref="Y205:Z205"/>
    <mergeCell ref="Y213:Z213"/>
    <mergeCell ref="Y167:Z167"/>
  </mergeCells>
  <conditionalFormatting sqref="F133 Z165">
    <cfRule type="cellIs" dxfId="196" priority="1" operator="equal">
      <formula>0</formula>
    </cfRule>
    <cfRule type="cellIs" dxfId="195" priority="2" operator="notEqual">
      <formula>0</formula>
    </cfRule>
  </conditionalFormatting>
  <conditionalFormatting sqref="G117">
    <cfRule type="cellIs" dxfId="194" priority="19" operator="equal">
      <formula>0</formula>
    </cfRule>
    <cfRule type="cellIs" dxfId="193" priority="20" operator="notEqual">
      <formula>0</formula>
    </cfRule>
  </conditionalFormatting>
  <conditionalFormatting sqref="M118 T140:T141 Z141 T154 Z154">
    <cfRule type="cellIs" dxfId="192" priority="17" operator="equal">
      <formula>0</formula>
    </cfRule>
    <cfRule type="cellIs" dxfId="191" priority="18" operator="notEqual">
      <formula>0</formula>
    </cfRule>
  </conditionalFormatting>
  <conditionalFormatting sqref="T152">
    <cfRule type="cellIs" dxfId="190" priority="14" operator="equal">
      <formula>0</formula>
    </cfRule>
    <cfRule type="cellIs" dxfId="189" priority="15" operator="notEqual">
      <formula>0</formula>
    </cfRule>
  </conditionalFormatting>
  <conditionalFormatting sqref="U159 U163:U166 U156:U157 U227 V222:V226 U204:U221">
    <cfRule type="duplicateValues" dxfId="188" priority="44" stopIfTrue="1"/>
  </conditionalFormatting>
  <conditionalFormatting sqref="U167:U203">
    <cfRule type="duplicateValues" dxfId="187" priority="7" stopIfTrue="1"/>
  </conditionalFormatting>
  <conditionalFormatting sqref="Z202:Z203">
    <cfRule type="cellIs" dxfId="186" priority="3" operator="equal">
      <formula>0</formula>
    </cfRule>
    <cfRule type="cellIs" dxfId="185" priority="4" operator="notEqual">
      <formula>0</formula>
    </cfRule>
  </conditionalFormatting>
  <conditionalFormatting sqref="Z210">
    <cfRule type="cellIs" dxfId="184" priority="10" operator="equal">
      <formula>0</formula>
    </cfRule>
    <cfRule type="cellIs" dxfId="183" priority="11" operator="notEqual">
      <formula>0</formula>
    </cfRule>
  </conditionalFormatting>
  <conditionalFormatting sqref="Z218">
    <cfRule type="cellIs" dxfId="182" priority="8" operator="equal">
      <formula>0</formula>
    </cfRule>
    <cfRule type="cellIs" dxfId="181" priority="9" operator="notEqual">
      <formula>0</formula>
    </cfRule>
  </conditionalFormatting>
  <conditionalFormatting sqref="AA195">
    <cfRule type="cellIs" dxfId="180" priority="5" operator="equal">
      <formula>0</formula>
    </cfRule>
    <cfRule type="cellIs" dxfId="179" priority="6" operator="notEqual">
      <formula>0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4AFF7-614C-4F86-AC30-4A335730F022}">
  <sheetPr codeName="Hoja9"/>
  <dimension ref="B1:AF225"/>
  <sheetViews>
    <sheetView zoomScale="70" zoomScaleNormal="70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ColWidth="11.5703125" defaultRowHeight="12.75"/>
  <cols>
    <col min="1" max="1" width="5.140625" customWidth="1"/>
    <col min="2" max="2" width="13.28515625" customWidth="1"/>
    <col min="3" max="3" width="69.7109375" customWidth="1"/>
    <col min="4" max="4" width="8.7109375" customWidth="1"/>
    <col min="5" max="6" width="15.7109375" customWidth="1"/>
    <col min="7" max="7" width="18.140625" customWidth="1"/>
    <col min="9" max="9" width="14" customWidth="1"/>
    <col min="10" max="10" width="26.42578125" customWidth="1"/>
    <col min="11" max="11" width="14.5703125" customWidth="1"/>
    <col min="12" max="12" width="15.85546875" bestFit="1" customWidth="1"/>
    <col min="13" max="13" width="19" bestFit="1" customWidth="1"/>
    <col min="14" max="14" width="15.5703125" bestFit="1" customWidth="1"/>
    <col min="15" max="15" width="15.7109375" bestFit="1" customWidth="1"/>
    <col min="16" max="16" width="16.28515625" bestFit="1" customWidth="1"/>
    <col min="17" max="17" width="15.85546875" bestFit="1" customWidth="1"/>
    <col min="18" max="18" width="18.28515625" customWidth="1"/>
    <col min="19" max="19" width="15.5703125" bestFit="1" customWidth="1"/>
    <col min="20" max="20" width="16.28515625" bestFit="1" customWidth="1"/>
    <col min="21" max="21" width="16.42578125" customWidth="1"/>
    <col min="22" max="22" width="15.85546875" bestFit="1" customWidth="1"/>
    <col min="23" max="23" width="14.7109375" bestFit="1" customWidth="1"/>
    <col min="24" max="24" width="13.7109375" bestFit="1" customWidth="1"/>
    <col min="25" max="25" width="15.42578125" bestFit="1" customWidth="1"/>
    <col min="26" max="26" width="15.7109375" bestFit="1" customWidth="1"/>
    <col min="27" max="27" width="15.42578125" bestFit="1" customWidth="1"/>
    <col min="28" max="28" width="12.7109375" bestFit="1" customWidth="1"/>
    <col min="29" max="29" width="15.42578125" bestFit="1" customWidth="1"/>
    <col min="30" max="30" width="15.5703125" bestFit="1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B2" s="74"/>
      <c r="C2" s="75"/>
      <c r="D2" s="74"/>
      <c r="E2" s="56"/>
      <c r="F2" s="56"/>
      <c r="G2" s="56"/>
      <c r="H2" s="76"/>
      <c r="I2" s="70"/>
      <c r="J2" s="17"/>
      <c r="K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</row>
    <row r="3" spans="2:32">
      <c r="B3" s="74"/>
      <c r="C3" s="75"/>
      <c r="D3" s="74"/>
      <c r="E3" s="56"/>
      <c r="F3" s="56"/>
      <c r="G3" s="56"/>
      <c r="H3" s="76"/>
      <c r="I3" s="70"/>
      <c r="J3" s="17"/>
      <c r="K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</row>
    <row r="4" spans="2:32">
      <c r="B4" s="74"/>
      <c r="C4" s="75"/>
      <c r="D4" s="74"/>
      <c r="E4" s="56"/>
      <c r="F4" s="56"/>
      <c r="G4" s="56"/>
      <c r="H4" s="76"/>
      <c r="I4" s="70"/>
      <c r="J4" s="17"/>
      <c r="K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</row>
    <row r="5" spans="2:32">
      <c r="B5" s="74"/>
      <c r="C5" s="75"/>
      <c r="D5" s="74"/>
      <c r="E5" s="56"/>
      <c r="F5" s="56"/>
      <c r="G5" s="56"/>
      <c r="H5" s="76"/>
      <c r="I5" s="70"/>
      <c r="J5" s="17"/>
      <c r="K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6" spans="2:32">
      <c r="B6" s="74"/>
      <c r="C6" s="75"/>
      <c r="D6" s="74"/>
      <c r="E6" s="56"/>
      <c r="F6" s="56"/>
      <c r="G6" s="56"/>
      <c r="H6" s="76"/>
      <c r="I6" s="70"/>
      <c r="J6" s="17"/>
      <c r="K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</row>
    <row r="7" spans="2:32">
      <c r="B7" s="74"/>
      <c r="C7" s="75"/>
      <c r="D7" s="74"/>
      <c r="E7" s="56"/>
      <c r="F7" s="56"/>
      <c r="G7" s="56"/>
      <c r="H7" s="76"/>
      <c r="I7" s="70"/>
      <c r="J7" s="17"/>
      <c r="K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</row>
    <row r="8" spans="2:32">
      <c r="B8" s="74"/>
      <c r="C8" s="75"/>
      <c r="D8" s="74"/>
      <c r="E8" s="56"/>
      <c r="F8" s="56"/>
      <c r="G8" s="56"/>
      <c r="H8" s="76"/>
      <c r="I8" s="70"/>
      <c r="J8" s="17"/>
      <c r="K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</row>
    <row r="9" spans="2:32">
      <c r="B9" s="74"/>
      <c r="C9" s="75"/>
      <c r="D9" s="74"/>
      <c r="E9" s="56"/>
      <c r="F9" s="56"/>
      <c r="G9" s="56"/>
      <c r="H9" s="76"/>
      <c r="I9" s="70"/>
      <c r="J9" s="17"/>
      <c r="K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</row>
    <row r="10" spans="2:32">
      <c r="B10" s="74"/>
      <c r="C10" s="75"/>
      <c r="D10" s="74"/>
      <c r="E10" s="56"/>
      <c r="F10" s="56"/>
      <c r="G10" s="56"/>
      <c r="H10" s="76"/>
      <c r="I10" s="70"/>
      <c r="J10" s="17"/>
      <c r="K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</row>
    <row r="11" spans="2:32">
      <c r="B11" s="74"/>
      <c r="C11" s="73"/>
      <c r="D11" s="74"/>
      <c r="E11" s="56"/>
      <c r="F11" s="56"/>
      <c r="G11" s="56"/>
      <c r="H11" s="76"/>
      <c r="I11" s="70"/>
      <c r="J11" s="17"/>
      <c r="K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</row>
    <row r="12" spans="2:32">
      <c r="B12" s="74"/>
      <c r="C12" s="75"/>
      <c r="D12" s="74"/>
      <c r="E12" s="56"/>
      <c r="F12" s="56"/>
      <c r="G12" s="56"/>
      <c r="H12" s="76"/>
      <c r="I12" s="70"/>
      <c r="J12" s="17"/>
      <c r="K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</row>
    <row r="13" spans="2:32">
      <c r="B13" s="74"/>
      <c r="C13" s="75"/>
      <c r="D13" s="74"/>
      <c r="E13" s="56"/>
      <c r="F13" s="56"/>
      <c r="G13" s="56"/>
      <c r="H13" s="76"/>
      <c r="I13" s="70"/>
      <c r="J13" s="17"/>
      <c r="K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</row>
    <row r="14" spans="2:32">
      <c r="B14" s="74"/>
      <c r="C14" s="75"/>
      <c r="D14" s="74"/>
      <c r="E14" s="56"/>
      <c r="F14" s="56"/>
      <c r="G14" s="56"/>
      <c r="H14" s="76"/>
      <c r="I14" s="70"/>
      <c r="J14" s="17"/>
      <c r="K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</row>
    <row r="15" spans="2:32">
      <c r="B15" s="74"/>
      <c r="C15" s="75"/>
      <c r="D15" s="74"/>
      <c r="E15" s="56"/>
      <c r="F15" s="56"/>
      <c r="G15" s="56"/>
      <c r="H15" s="76"/>
      <c r="I15" s="70"/>
      <c r="J15" s="17"/>
      <c r="K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</row>
    <row r="16" spans="2:32">
      <c r="B16" s="74"/>
      <c r="C16" s="75"/>
      <c r="D16" s="74"/>
      <c r="E16" s="56"/>
      <c r="F16" s="56"/>
      <c r="G16" s="56"/>
      <c r="H16" s="76"/>
      <c r="I16" s="70"/>
      <c r="J16" s="17"/>
      <c r="K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</row>
    <row r="17" spans="2:30">
      <c r="B17" s="74"/>
      <c r="C17" s="75"/>
      <c r="D17" s="74"/>
      <c r="E17" s="56"/>
      <c r="F17" s="56"/>
      <c r="G17" s="56"/>
      <c r="H17" s="76"/>
      <c r="I17" s="70"/>
      <c r="J17" s="17"/>
      <c r="K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</row>
    <row r="18" spans="2:30">
      <c r="B18" s="74"/>
      <c r="C18" s="75"/>
      <c r="D18" s="74"/>
      <c r="E18" s="56"/>
      <c r="F18" s="56"/>
      <c r="G18" s="56"/>
      <c r="H18" s="76"/>
      <c r="I18" s="70"/>
      <c r="J18" s="17"/>
      <c r="K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</row>
    <row r="19" spans="2:30">
      <c r="B19" s="74"/>
      <c r="C19" s="75"/>
      <c r="D19" s="74"/>
      <c r="E19" s="56"/>
      <c r="F19" s="56"/>
      <c r="G19" s="56"/>
      <c r="H19" s="76"/>
      <c r="I19" s="70"/>
      <c r="J19" s="17"/>
      <c r="K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</row>
    <row r="20" spans="2:30">
      <c r="B20" s="74"/>
      <c r="C20" s="75"/>
      <c r="D20" s="74"/>
      <c r="E20" s="56"/>
      <c r="F20" s="56"/>
      <c r="G20" s="56"/>
      <c r="H20" s="76"/>
      <c r="I20" s="70"/>
      <c r="J20" s="17"/>
      <c r="K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</row>
    <row r="21" spans="2:30">
      <c r="B21" s="74"/>
      <c r="C21" s="75"/>
      <c r="D21" s="74"/>
      <c r="E21" s="56"/>
      <c r="F21" s="56"/>
      <c r="G21" s="56"/>
      <c r="H21" s="76"/>
      <c r="I21" s="70"/>
      <c r="J21" s="17"/>
      <c r="K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</row>
    <row r="22" spans="2:30">
      <c r="B22" s="74"/>
      <c r="C22" s="75"/>
      <c r="D22" s="74"/>
      <c r="E22" s="56"/>
      <c r="F22" s="56"/>
      <c r="G22" s="56"/>
      <c r="H22" s="76"/>
      <c r="I22" s="70"/>
      <c r="J22" s="17"/>
      <c r="K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</row>
    <row r="23" spans="2:30">
      <c r="B23" s="74"/>
      <c r="C23" s="75"/>
      <c r="D23" s="74"/>
      <c r="E23" s="56"/>
      <c r="F23" s="56"/>
      <c r="G23" s="56"/>
      <c r="H23" s="76"/>
      <c r="I23" s="70"/>
      <c r="J23" s="17"/>
      <c r="K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2:30">
      <c r="B24" s="74"/>
      <c r="C24" s="75"/>
      <c r="D24" s="74"/>
      <c r="E24" s="56"/>
      <c r="F24" s="56"/>
      <c r="G24" s="56"/>
      <c r="H24" s="76"/>
      <c r="I24" s="70"/>
      <c r="J24" s="17"/>
      <c r="K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</row>
    <row r="25" spans="2:30">
      <c r="B25" s="74"/>
      <c r="C25" s="75"/>
      <c r="D25" s="74"/>
      <c r="E25" s="56"/>
      <c r="F25" s="56"/>
      <c r="G25" s="56"/>
      <c r="H25" s="76"/>
      <c r="I25" s="70"/>
      <c r="J25" s="17"/>
      <c r="K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</row>
    <row r="26" spans="2:30">
      <c r="B26" s="74"/>
      <c r="C26" s="75"/>
      <c r="D26" s="74"/>
      <c r="E26" s="56"/>
      <c r="F26" s="56"/>
      <c r="G26" s="56"/>
      <c r="H26" s="76"/>
      <c r="I26" s="70"/>
      <c r="J26" s="17"/>
      <c r="K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</row>
    <row r="27" spans="2:30">
      <c r="B27" s="74"/>
      <c r="C27" s="75"/>
      <c r="D27" s="74"/>
      <c r="E27" s="56"/>
      <c r="F27" s="56"/>
      <c r="G27" s="56"/>
      <c r="H27" s="76"/>
      <c r="I27" s="70"/>
      <c r="J27" s="17"/>
      <c r="K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2:30">
      <c r="B28" s="74"/>
      <c r="C28" s="75"/>
      <c r="D28" s="74"/>
      <c r="E28" s="56"/>
      <c r="F28" s="56"/>
      <c r="G28" s="56"/>
      <c r="H28" s="76"/>
      <c r="I28" s="70"/>
      <c r="J28" s="17"/>
      <c r="K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2:30">
      <c r="B29" s="74"/>
      <c r="C29" s="75"/>
      <c r="D29" s="74"/>
      <c r="E29" s="56"/>
      <c r="F29" s="56"/>
      <c r="G29" s="56"/>
      <c r="H29" s="76"/>
      <c r="I29" s="70"/>
      <c r="J29" s="17"/>
      <c r="K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2:30">
      <c r="B30" s="74"/>
      <c r="C30" s="75"/>
      <c r="D30" s="74"/>
      <c r="E30" s="56"/>
      <c r="F30" s="56"/>
      <c r="G30" s="56"/>
      <c r="H30" s="76"/>
      <c r="I30" s="70"/>
      <c r="J30" s="17"/>
      <c r="K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</row>
    <row r="31" spans="2:30">
      <c r="B31" s="74"/>
      <c r="C31" s="75"/>
      <c r="D31" s="74"/>
      <c r="E31" s="56"/>
      <c r="F31" s="56"/>
      <c r="G31" s="56"/>
      <c r="H31" s="76"/>
      <c r="I31" s="70"/>
      <c r="J31" s="17"/>
      <c r="K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</row>
    <row r="32" spans="2:30">
      <c r="B32" s="74"/>
      <c r="C32" s="75"/>
      <c r="D32" s="74"/>
      <c r="E32" s="56"/>
      <c r="F32" s="56"/>
      <c r="G32" s="56"/>
      <c r="H32" s="76"/>
      <c r="I32" s="70"/>
      <c r="J32" s="17"/>
      <c r="K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2:30">
      <c r="B33" s="74"/>
      <c r="C33" s="75"/>
      <c r="D33" s="74"/>
      <c r="E33" s="56"/>
      <c r="F33" s="56"/>
      <c r="G33" s="56"/>
      <c r="H33" s="76"/>
      <c r="I33" s="70"/>
      <c r="J33" s="17"/>
      <c r="K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2:30">
      <c r="B34" s="74"/>
      <c r="C34" s="75"/>
      <c r="D34" s="74"/>
      <c r="E34" s="56"/>
      <c r="F34" s="56"/>
      <c r="G34" s="56"/>
      <c r="H34" s="76"/>
      <c r="I34" s="70"/>
      <c r="J34" s="17"/>
      <c r="K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</row>
    <row r="35" spans="2:30">
      <c r="B35" s="74"/>
      <c r="C35" s="75"/>
      <c r="D35" s="74"/>
      <c r="E35" s="56"/>
      <c r="F35" s="56"/>
      <c r="G35" s="56"/>
      <c r="H35" s="76"/>
      <c r="I35" s="70"/>
      <c r="J35" s="17"/>
      <c r="K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2:30">
      <c r="B36" s="74"/>
      <c r="C36" s="75"/>
      <c r="D36" s="74"/>
      <c r="E36" s="56"/>
      <c r="F36" s="56"/>
      <c r="G36" s="56"/>
      <c r="H36" s="76"/>
      <c r="I36" s="70"/>
      <c r="J36" s="17"/>
      <c r="K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2:30">
      <c r="B37" s="74"/>
      <c r="C37" s="75"/>
      <c r="D37" s="74"/>
      <c r="E37" s="56"/>
      <c r="F37" s="56"/>
      <c r="G37" s="56"/>
      <c r="H37" s="76"/>
      <c r="I37" s="70"/>
      <c r="J37" s="17"/>
      <c r="K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2:30">
      <c r="B38" s="74"/>
      <c r="C38" s="75"/>
      <c r="D38" s="74"/>
      <c r="E38" s="56"/>
      <c r="F38" s="56"/>
      <c r="G38" s="56"/>
      <c r="H38" s="76"/>
      <c r="I38" s="70"/>
      <c r="J38" s="17"/>
      <c r="K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2:30">
      <c r="B39" s="74"/>
      <c r="C39" s="75"/>
      <c r="D39" s="74"/>
      <c r="E39" s="56"/>
      <c r="F39" s="56"/>
      <c r="G39" s="56"/>
      <c r="H39" s="76"/>
      <c r="I39" s="70"/>
      <c r="J39" s="17"/>
      <c r="K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2:30">
      <c r="B40" s="74"/>
      <c r="C40" s="75"/>
      <c r="D40" s="74"/>
      <c r="E40" s="56"/>
      <c r="F40" s="56"/>
      <c r="G40" s="56"/>
      <c r="H40" s="76"/>
      <c r="I40" s="70"/>
      <c r="J40" s="17"/>
      <c r="K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2:30">
      <c r="B41" s="74"/>
      <c r="C41" s="75"/>
      <c r="D41" s="74"/>
      <c r="E41" s="56"/>
      <c r="F41" s="56"/>
      <c r="G41" s="56"/>
      <c r="H41" s="76"/>
      <c r="I41" s="70"/>
      <c r="J41" s="17"/>
      <c r="K41" s="17"/>
      <c r="M41" s="7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2:30">
      <c r="B42" s="74"/>
      <c r="C42" s="75"/>
      <c r="D42" s="74"/>
      <c r="E42" s="56"/>
      <c r="F42" s="56"/>
      <c r="G42" s="56"/>
      <c r="H42" s="76"/>
      <c r="I42" s="70"/>
      <c r="J42" s="17"/>
      <c r="K42" s="17"/>
      <c r="M42" s="7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2:30">
      <c r="B43" s="74"/>
      <c r="C43" s="75"/>
      <c r="D43" s="74"/>
      <c r="E43" s="56"/>
      <c r="F43" s="56"/>
      <c r="G43" s="56"/>
      <c r="H43" s="76"/>
      <c r="I43" s="70"/>
      <c r="J43" s="17"/>
      <c r="K43" s="17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2:30">
      <c r="B44" s="74"/>
      <c r="C44" s="75"/>
      <c r="D44" s="74"/>
      <c r="E44" s="56"/>
      <c r="F44" s="56"/>
      <c r="G44" s="56"/>
      <c r="H44" s="76"/>
      <c r="I44" s="70"/>
      <c r="J44" s="17"/>
      <c r="K44" s="17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2:30" ht="13.15" customHeight="1">
      <c r="B45" s="74"/>
      <c r="C45" s="75"/>
      <c r="D45" s="74"/>
      <c r="E45" s="56"/>
      <c r="F45" s="56"/>
      <c r="G45" s="56"/>
      <c r="H45" s="76"/>
      <c r="I45" s="70"/>
      <c r="J45" s="17"/>
      <c r="K45" s="17"/>
      <c r="L45" s="29"/>
      <c r="M45" s="77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2:30">
      <c r="B46" s="74"/>
      <c r="C46" s="75"/>
      <c r="D46" s="74"/>
      <c r="E46" s="56"/>
      <c r="F46" s="56"/>
      <c r="G46" s="56"/>
      <c r="H46" s="76"/>
      <c r="I46" s="70"/>
      <c r="J46" s="17"/>
      <c r="K46" s="140"/>
      <c r="M46" s="71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2:30">
      <c r="B47" s="74"/>
      <c r="C47" s="75"/>
      <c r="D47" s="74"/>
      <c r="E47" s="56"/>
      <c r="F47" s="56"/>
      <c r="G47" s="56"/>
      <c r="H47" s="76"/>
      <c r="I47" s="70"/>
      <c r="J47" s="17"/>
      <c r="K47" s="17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2:30">
      <c r="B48" s="74"/>
      <c r="C48" s="75"/>
      <c r="D48" s="74"/>
      <c r="E48" s="56"/>
      <c r="F48" s="56"/>
      <c r="G48" s="56"/>
      <c r="H48" s="76"/>
      <c r="I48" s="70"/>
      <c r="J48" s="17"/>
      <c r="K48" s="17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2:30">
      <c r="B49" s="74"/>
      <c r="C49" s="75"/>
      <c r="D49" s="74"/>
      <c r="E49" s="56"/>
      <c r="F49" s="56"/>
      <c r="G49" s="56"/>
      <c r="H49" s="76"/>
      <c r="I49" s="70"/>
      <c r="J49" s="17"/>
      <c r="K49" s="17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2:30">
      <c r="B50" s="74"/>
      <c r="C50" s="75"/>
      <c r="D50" s="74"/>
      <c r="E50" s="56"/>
      <c r="F50" s="56"/>
      <c r="G50" s="56"/>
      <c r="H50" s="76"/>
      <c r="I50" s="70"/>
      <c r="J50" s="17"/>
      <c r="K50" s="17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2:30">
      <c r="B51" s="74"/>
      <c r="C51" s="75"/>
      <c r="D51" s="74"/>
      <c r="E51" s="56"/>
      <c r="F51" s="56"/>
      <c r="G51" s="56"/>
      <c r="H51" s="76"/>
      <c r="I51" s="70"/>
      <c r="J51" s="17"/>
      <c r="K51" s="17"/>
      <c r="L51" s="14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2:30">
      <c r="B52" s="74"/>
      <c r="C52" s="75"/>
      <c r="D52" s="74"/>
      <c r="E52" s="56"/>
      <c r="F52" s="56"/>
      <c r="G52" s="56"/>
      <c r="H52" s="76"/>
      <c r="I52" s="70"/>
      <c r="J52" s="17"/>
      <c r="K52" s="17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2:30">
      <c r="B53" s="74"/>
      <c r="C53" s="75"/>
      <c r="D53" s="74"/>
      <c r="E53" s="56"/>
      <c r="F53" s="56"/>
      <c r="G53" s="56"/>
      <c r="H53" s="76"/>
      <c r="I53" s="70"/>
      <c r="J53" s="17"/>
      <c r="K53" s="17"/>
      <c r="M53" s="7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2:30">
      <c r="B54" s="74"/>
      <c r="C54" s="75"/>
      <c r="D54" s="74"/>
      <c r="E54" s="56"/>
      <c r="F54" s="56"/>
      <c r="G54" s="56"/>
      <c r="H54" s="76"/>
      <c r="I54" s="70"/>
      <c r="J54" s="17"/>
      <c r="K54" s="17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2:30">
      <c r="B55" s="74"/>
      <c r="C55" s="75"/>
      <c r="D55" s="74"/>
      <c r="E55" s="56"/>
      <c r="F55" s="56"/>
      <c r="G55" s="56"/>
      <c r="H55" s="76"/>
      <c r="I55" s="70"/>
      <c r="J55" s="17"/>
      <c r="K55" s="17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2:30">
      <c r="B56" s="74"/>
      <c r="C56" s="75"/>
      <c r="D56" s="74"/>
      <c r="E56" s="56"/>
      <c r="F56" s="56"/>
      <c r="G56" s="56"/>
      <c r="H56" s="76"/>
      <c r="I56" s="70"/>
      <c r="J56" s="17"/>
      <c r="K56" s="17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2:30">
      <c r="B57" s="74"/>
      <c r="C57" s="75"/>
      <c r="D57" s="74"/>
      <c r="E57" s="56"/>
      <c r="F57" s="56"/>
      <c r="G57" s="56"/>
      <c r="H57" s="76"/>
      <c r="I57" s="70"/>
      <c r="J57" s="17"/>
      <c r="K57" s="17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2:30">
      <c r="B58" s="74"/>
      <c r="C58" s="75"/>
      <c r="D58" s="74"/>
      <c r="E58" s="56"/>
      <c r="F58" s="56"/>
      <c r="G58" s="56"/>
      <c r="H58" s="76"/>
      <c r="I58" s="70"/>
      <c r="J58" s="17"/>
      <c r="K58" s="17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2:30">
      <c r="B59" s="74"/>
      <c r="C59" s="75"/>
      <c r="D59" s="74"/>
      <c r="E59" s="56"/>
      <c r="F59" s="56"/>
      <c r="G59" s="56"/>
      <c r="H59" s="76"/>
      <c r="I59" s="70"/>
      <c r="J59" s="17"/>
      <c r="K59" s="17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2:30">
      <c r="B60" s="74"/>
      <c r="C60" s="75"/>
      <c r="D60" s="74"/>
      <c r="E60" s="56"/>
      <c r="F60" s="56"/>
      <c r="G60" s="56"/>
      <c r="H60" s="76"/>
      <c r="I60" s="70"/>
      <c r="J60" s="17"/>
      <c r="K60" s="17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2:30">
      <c r="B61" s="74"/>
      <c r="C61" s="75"/>
      <c r="D61" s="74"/>
      <c r="E61" s="56"/>
      <c r="F61" s="56"/>
      <c r="G61" s="56"/>
      <c r="H61" s="76"/>
      <c r="I61" s="70"/>
      <c r="J61" s="17"/>
      <c r="K61" s="17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2:30">
      <c r="B62" s="74"/>
      <c r="C62" s="75"/>
      <c r="D62" s="74"/>
      <c r="E62" s="56"/>
      <c r="F62" s="56"/>
      <c r="G62" s="56"/>
      <c r="H62" s="76"/>
      <c r="I62" s="70"/>
      <c r="J62" s="17"/>
      <c r="K62" s="17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2:30">
      <c r="B63" s="74"/>
      <c r="C63" s="75"/>
      <c r="D63" s="74"/>
      <c r="E63" s="56"/>
      <c r="F63" s="56"/>
      <c r="G63" s="56"/>
      <c r="H63" s="76"/>
      <c r="I63" s="70"/>
      <c r="J63" s="17"/>
      <c r="K63" s="17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2:30">
      <c r="B64" s="74"/>
      <c r="C64" s="75"/>
      <c r="D64" s="74"/>
      <c r="E64" s="56"/>
      <c r="F64" s="56"/>
      <c r="G64" s="56"/>
      <c r="H64" s="76"/>
      <c r="I64" s="70"/>
      <c r="J64" s="17"/>
      <c r="K64" s="17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2:30">
      <c r="B65" s="74"/>
      <c r="C65" s="75"/>
      <c r="D65" s="74"/>
      <c r="E65" s="56"/>
      <c r="F65" s="56"/>
      <c r="G65" s="56"/>
      <c r="H65" s="76"/>
      <c r="I65" s="70"/>
      <c r="J65" s="17"/>
      <c r="K65" s="17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2:30">
      <c r="B66" s="74"/>
      <c r="C66" s="75"/>
      <c r="D66" s="74"/>
      <c r="E66" s="56"/>
      <c r="F66" s="56"/>
      <c r="G66" s="56"/>
      <c r="H66" s="76"/>
      <c r="I66" s="70"/>
      <c r="J66" s="17"/>
      <c r="K66" s="17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2:30">
      <c r="B67" s="74"/>
      <c r="C67" s="75"/>
      <c r="D67" s="74"/>
      <c r="E67" s="56"/>
      <c r="F67" s="56"/>
      <c r="G67" s="56"/>
      <c r="H67" s="76"/>
      <c r="I67" s="70"/>
      <c r="J67" s="17"/>
      <c r="K67" s="17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2:30">
      <c r="B68" s="74"/>
      <c r="C68" s="75"/>
      <c r="D68" s="74"/>
      <c r="E68" s="56"/>
      <c r="F68" s="56"/>
      <c r="G68" s="56"/>
      <c r="H68" s="76"/>
      <c r="I68" s="70"/>
      <c r="J68" s="17"/>
      <c r="K68" s="17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  <row r="69" spans="2:30">
      <c r="B69" s="74"/>
      <c r="C69" s="75"/>
      <c r="D69" s="74"/>
      <c r="E69" s="56"/>
      <c r="F69" s="56"/>
      <c r="G69" s="56"/>
      <c r="H69" s="76"/>
      <c r="I69" s="70"/>
      <c r="J69" s="17"/>
      <c r="K69" s="17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</row>
    <row r="70" spans="2:30">
      <c r="B70" s="74"/>
      <c r="C70" s="75"/>
      <c r="D70" s="74"/>
      <c r="E70" s="56"/>
      <c r="F70" s="56"/>
      <c r="G70" s="56"/>
      <c r="H70" s="76"/>
      <c r="I70" s="70"/>
      <c r="J70" s="17"/>
      <c r="K70" s="17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</row>
    <row r="71" spans="2:30">
      <c r="B71" s="74"/>
      <c r="C71" s="75"/>
      <c r="D71" s="74"/>
      <c r="E71" s="56"/>
      <c r="F71" s="56"/>
      <c r="G71" s="56"/>
      <c r="H71" s="76"/>
      <c r="I71" s="70"/>
      <c r="J71" s="17"/>
      <c r="K71" s="17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</row>
    <row r="72" spans="2:30">
      <c r="B72" s="74"/>
      <c r="C72" s="75"/>
      <c r="D72" s="74"/>
      <c r="E72" s="56"/>
      <c r="F72" s="56"/>
      <c r="G72" s="56"/>
      <c r="H72" s="76"/>
      <c r="I72" s="70"/>
      <c r="J72" s="17"/>
      <c r="K72" s="17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</row>
    <row r="73" spans="2:30">
      <c r="B73" s="74"/>
      <c r="C73" s="75"/>
      <c r="D73" s="74"/>
      <c r="E73" s="56"/>
      <c r="F73" s="56"/>
      <c r="G73" s="56"/>
      <c r="H73" s="76"/>
      <c r="I73" s="70"/>
      <c r="J73" s="17"/>
      <c r="K73" s="17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</row>
    <row r="74" spans="2:30">
      <c r="B74" s="74"/>
      <c r="C74" s="75"/>
      <c r="D74" s="74"/>
      <c r="E74" s="56"/>
      <c r="F74" s="56"/>
      <c r="G74" s="56"/>
      <c r="H74" s="76"/>
      <c r="I74" s="70"/>
      <c r="J74" s="17"/>
      <c r="K74" s="17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</row>
    <row r="75" spans="2:30">
      <c r="B75" s="74"/>
      <c r="C75" s="75"/>
      <c r="D75" s="74"/>
      <c r="E75" s="56"/>
      <c r="F75" s="56"/>
      <c r="G75" s="56"/>
      <c r="H75" s="76"/>
      <c r="I75" s="70"/>
      <c r="J75" s="17"/>
      <c r="K75" s="17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</row>
    <row r="76" spans="2:30">
      <c r="B76" s="74"/>
      <c r="C76" s="75"/>
      <c r="D76" s="74"/>
      <c r="E76" s="56"/>
      <c r="F76" s="56"/>
      <c r="G76" s="56"/>
      <c r="H76" s="76"/>
      <c r="I76" s="70"/>
      <c r="J76" s="17"/>
      <c r="K76" s="17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</row>
    <row r="77" spans="2:30">
      <c r="B77" s="74"/>
      <c r="C77" s="75"/>
      <c r="D77" s="74"/>
      <c r="E77" s="56"/>
      <c r="F77" s="56"/>
      <c r="G77" s="56"/>
      <c r="H77" s="76"/>
      <c r="I77" s="70"/>
      <c r="J77" s="17"/>
      <c r="K77" s="17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2:30">
      <c r="B78" s="74"/>
      <c r="C78" s="75"/>
      <c r="D78" s="74"/>
      <c r="E78" s="56"/>
      <c r="F78" s="56"/>
      <c r="G78" s="56"/>
      <c r="H78" s="76"/>
      <c r="I78" s="70"/>
      <c r="J78" s="17"/>
      <c r="K78" s="17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</row>
    <row r="79" spans="2:30">
      <c r="B79" s="74"/>
      <c r="C79" s="75"/>
      <c r="D79" s="74"/>
      <c r="E79" s="56"/>
      <c r="F79" s="56"/>
      <c r="G79" s="56"/>
      <c r="H79" s="76"/>
      <c r="I79" s="70"/>
      <c r="J79" s="17"/>
      <c r="K79" s="17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</row>
    <row r="80" spans="2:30">
      <c r="B80" s="74"/>
      <c r="C80" s="75"/>
      <c r="D80" s="74"/>
      <c r="E80" s="56"/>
      <c r="F80" s="56"/>
      <c r="G80" s="56"/>
      <c r="H80" s="76"/>
      <c r="I80" s="70"/>
      <c r="J80" s="17"/>
      <c r="K80" s="17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</row>
    <row r="81" spans="2:30">
      <c r="B81" s="74"/>
      <c r="C81" s="75"/>
      <c r="D81" s="74"/>
      <c r="E81" s="56"/>
      <c r="F81" s="56"/>
      <c r="G81" s="56"/>
      <c r="H81" s="76"/>
      <c r="I81" s="70"/>
      <c r="J81" s="17"/>
      <c r="K81" s="17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</row>
    <row r="82" spans="2:30">
      <c r="B82" s="74"/>
      <c r="C82" s="75"/>
      <c r="D82" s="74"/>
      <c r="E82" s="56"/>
      <c r="F82" s="56"/>
      <c r="G82" s="56"/>
      <c r="H82" s="76"/>
      <c r="I82" s="70"/>
      <c r="J82" s="17"/>
      <c r="K82" s="17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</row>
    <row r="83" spans="2:30">
      <c r="B83" s="74"/>
      <c r="C83" s="75"/>
      <c r="D83" s="74"/>
      <c r="E83" s="56"/>
      <c r="F83" s="56"/>
      <c r="G83" s="56"/>
      <c r="H83" s="76"/>
      <c r="I83" s="70"/>
      <c r="J83" s="17"/>
      <c r="K83" s="17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</row>
    <row r="84" spans="2:30">
      <c r="B84" s="74"/>
      <c r="C84" s="75"/>
      <c r="D84" s="74"/>
      <c r="E84" s="56"/>
      <c r="F84" s="56"/>
      <c r="G84" s="56"/>
      <c r="H84" s="76"/>
      <c r="I84" s="70"/>
      <c r="J84" s="17"/>
      <c r="K84" s="17"/>
      <c r="M84" s="7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2:30">
      <c r="B85" s="74"/>
      <c r="C85" s="75"/>
      <c r="D85" s="74"/>
      <c r="E85" s="56"/>
      <c r="F85" s="56"/>
      <c r="G85" s="56"/>
      <c r="H85" s="76"/>
      <c r="I85" s="70"/>
      <c r="J85" s="17"/>
      <c r="K85" s="17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</row>
    <row r="86" spans="2:30">
      <c r="B86" s="74"/>
      <c r="C86" s="75"/>
      <c r="D86" s="74"/>
      <c r="E86" s="56"/>
      <c r="F86" s="56"/>
      <c r="G86" s="56"/>
      <c r="H86" s="76"/>
      <c r="I86" s="70"/>
      <c r="J86" s="17"/>
      <c r="K86" s="17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</row>
    <row r="87" spans="2:30">
      <c r="B87" s="74"/>
      <c r="C87" s="75"/>
      <c r="D87" s="74"/>
      <c r="E87" s="56"/>
      <c r="F87" s="56"/>
      <c r="G87" s="56"/>
      <c r="H87" s="76"/>
      <c r="I87" s="70"/>
      <c r="J87" s="17"/>
      <c r="K87" s="17"/>
      <c r="L87" s="145"/>
      <c r="M87" s="103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</row>
    <row r="88" spans="2:30">
      <c r="B88" s="74"/>
      <c r="C88" s="75"/>
      <c r="D88" s="74"/>
      <c r="E88" s="56"/>
      <c r="F88" s="56"/>
      <c r="G88" s="56"/>
      <c r="H88" s="76"/>
      <c r="I88" s="70"/>
      <c r="J88" s="17"/>
      <c r="K88" s="17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</row>
    <row r="89" spans="2:30">
      <c r="B89" s="74"/>
      <c r="C89" s="75"/>
      <c r="D89" s="74"/>
      <c r="E89" s="56"/>
      <c r="F89" s="56"/>
      <c r="G89" s="56"/>
      <c r="H89" s="76"/>
      <c r="I89" s="70"/>
      <c r="J89" s="17"/>
      <c r="K89" s="17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</row>
    <row r="90" spans="2:30">
      <c r="B90" s="74"/>
      <c r="C90" s="75"/>
      <c r="D90" s="74"/>
      <c r="E90" s="56"/>
      <c r="F90" s="56"/>
      <c r="G90" s="56"/>
      <c r="H90" s="76"/>
      <c r="I90" s="70"/>
      <c r="J90" s="17"/>
      <c r="K90" s="17"/>
      <c r="M90" s="71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2:30">
      <c r="B91" s="74"/>
      <c r="C91" s="75"/>
      <c r="D91" s="74"/>
      <c r="E91" s="56"/>
      <c r="F91" s="56"/>
      <c r="G91" s="56"/>
      <c r="H91" s="76"/>
      <c r="I91" s="70"/>
      <c r="J91" s="17"/>
      <c r="K91" s="17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</row>
    <row r="92" spans="2:30">
      <c r="B92" s="74"/>
      <c r="C92" s="75"/>
      <c r="D92" s="74"/>
      <c r="E92" s="56"/>
      <c r="F92" s="56"/>
      <c r="G92" s="56"/>
      <c r="H92" s="76"/>
      <c r="I92" s="70"/>
      <c r="J92" s="17"/>
      <c r="K92" s="17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</row>
    <row r="93" spans="2:30">
      <c r="B93" s="74"/>
      <c r="C93" s="75"/>
      <c r="D93" s="74"/>
      <c r="E93" s="56"/>
      <c r="F93" s="56"/>
      <c r="G93" s="56"/>
      <c r="H93" s="76"/>
      <c r="I93" s="70"/>
      <c r="J93" s="17"/>
      <c r="K93" s="17"/>
      <c r="M93" s="71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</row>
    <row r="94" spans="2:30">
      <c r="B94" s="74"/>
      <c r="C94" s="75"/>
      <c r="D94" s="74"/>
      <c r="E94" s="56"/>
      <c r="F94" s="56"/>
      <c r="G94" s="56"/>
      <c r="H94" s="76"/>
      <c r="I94" s="70"/>
      <c r="J94" s="17"/>
      <c r="K94" s="17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</row>
    <row r="95" spans="2:30">
      <c r="B95" s="74"/>
      <c r="C95" s="75"/>
      <c r="D95" s="74"/>
      <c r="E95" s="56"/>
      <c r="F95" s="56"/>
      <c r="G95" s="56"/>
      <c r="H95" s="76"/>
      <c r="I95" s="70"/>
      <c r="J95" s="17"/>
      <c r="K95" s="17"/>
      <c r="L95" s="17"/>
      <c r="M95" s="7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</row>
    <row r="96" spans="2:30">
      <c r="B96" s="74"/>
      <c r="C96" s="75"/>
      <c r="D96" s="74"/>
      <c r="E96" s="56"/>
      <c r="F96" s="56"/>
      <c r="G96" s="56"/>
      <c r="H96" s="76"/>
      <c r="I96" s="70"/>
      <c r="J96" s="17"/>
      <c r="K96" s="17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</row>
    <row r="97" spans="2:30">
      <c r="B97" s="74"/>
      <c r="C97" s="75"/>
      <c r="D97" s="74"/>
      <c r="E97" s="56"/>
      <c r="F97" s="56"/>
      <c r="G97" s="56"/>
      <c r="H97" s="76"/>
      <c r="I97" s="70"/>
      <c r="J97" s="17"/>
      <c r="K97" s="17"/>
      <c r="L97" s="17"/>
      <c r="M97" s="7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2:30">
      <c r="B98" s="74"/>
      <c r="C98" s="75"/>
      <c r="D98" s="74"/>
      <c r="E98" s="56"/>
      <c r="F98" s="56"/>
      <c r="G98" s="56"/>
      <c r="H98" s="76"/>
      <c r="I98" s="70"/>
      <c r="J98" s="17"/>
      <c r="K98" s="17"/>
      <c r="L98" s="17"/>
      <c r="M98" s="71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2:30">
      <c r="B99" s="74"/>
      <c r="C99" s="75"/>
      <c r="D99" s="74"/>
      <c r="E99" s="56"/>
      <c r="F99" s="56"/>
      <c r="G99" s="56"/>
      <c r="H99" s="76"/>
      <c r="I99" s="70"/>
      <c r="J99" s="17"/>
      <c r="K99" s="17"/>
      <c r="L99" s="29"/>
      <c r="M99" s="77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</row>
    <row r="100" spans="2:30">
      <c r="B100" s="74"/>
      <c r="C100" s="75"/>
      <c r="D100" s="74"/>
      <c r="E100" s="56"/>
      <c r="F100" s="56"/>
      <c r="G100" s="56"/>
      <c r="H100" s="76"/>
      <c r="I100" s="70"/>
      <c r="J100" s="17"/>
      <c r="K100" s="17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</row>
    <row r="101" spans="2:30">
      <c r="B101" s="74"/>
      <c r="C101" s="75"/>
      <c r="D101" s="74"/>
      <c r="E101" s="56"/>
      <c r="F101" s="56"/>
      <c r="G101" s="56"/>
      <c r="H101" s="76"/>
      <c r="I101" s="70"/>
      <c r="J101" s="17"/>
      <c r="K101" s="17"/>
      <c r="M101" s="7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2:30">
      <c r="B102" s="74"/>
      <c r="C102" s="75"/>
      <c r="D102" s="74"/>
      <c r="E102" s="56"/>
      <c r="F102" s="56"/>
      <c r="G102" s="56"/>
      <c r="H102" s="76"/>
      <c r="I102" s="70"/>
      <c r="J102" s="17"/>
      <c r="K102" s="17"/>
      <c r="M102" s="7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</row>
    <row r="103" spans="2:30">
      <c r="B103" s="74"/>
      <c r="C103" s="75"/>
      <c r="D103" s="74"/>
      <c r="E103" s="56"/>
      <c r="F103" s="56"/>
      <c r="G103" s="56"/>
      <c r="H103" s="76"/>
      <c r="I103" s="70"/>
      <c r="J103" s="17"/>
      <c r="K103" s="17"/>
      <c r="M103" s="7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</row>
    <row r="104" spans="2:30">
      <c r="B104" s="74"/>
      <c r="C104" s="75"/>
      <c r="D104" s="74"/>
      <c r="E104" s="56"/>
      <c r="F104" s="56"/>
      <c r="G104" s="56"/>
      <c r="H104" s="76"/>
      <c r="I104" s="70"/>
      <c r="J104" s="17"/>
      <c r="K104" s="17"/>
      <c r="L104" s="17"/>
      <c r="M104" s="124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</row>
    <row r="105" spans="2:30">
      <c r="B105" s="68"/>
      <c r="C105" s="69"/>
      <c r="D105" s="68"/>
      <c r="E105" s="52"/>
      <c r="F105" s="52"/>
      <c r="G105" s="52"/>
      <c r="H105" s="53"/>
      <c r="I105" s="70"/>
      <c r="J105" s="17"/>
      <c r="K105" s="17"/>
      <c r="L105" s="29"/>
      <c r="M105" s="77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</row>
    <row r="106" spans="2:30">
      <c r="B106" s="74"/>
      <c r="C106" s="75"/>
      <c r="D106" s="74"/>
      <c r="E106" s="56"/>
      <c r="F106" s="56"/>
      <c r="G106" s="56"/>
      <c r="H106" s="76"/>
      <c r="I106" s="70"/>
      <c r="J106" s="17"/>
      <c r="K106" s="17"/>
      <c r="M106" s="71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</row>
    <row r="107" spans="2:30">
      <c r="B107" s="74"/>
      <c r="C107" s="75"/>
      <c r="D107" s="74"/>
      <c r="E107" s="56"/>
      <c r="F107" s="56"/>
      <c r="G107" s="56"/>
      <c r="H107" s="76"/>
      <c r="I107" s="70"/>
      <c r="J107" s="17"/>
      <c r="K107" s="17"/>
      <c r="M107" s="71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</row>
    <row r="108" spans="2:30">
      <c r="B108" s="74"/>
      <c r="C108" s="75"/>
      <c r="D108" s="74"/>
      <c r="E108" s="56"/>
      <c r="F108" s="56"/>
      <c r="G108" s="56"/>
      <c r="H108" s="76"/>
      <c r="I108" s="70"/>
      <c r="J108" s="17"/>
      <c r="K108" s="17"/>
      <c r="M108" s="71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</row>
    <row r="109" spans="2:30">
      <c r="B109" s="74"/>
      <c r="C109" s="75"/>
      <c r="D109" s="74"/>
      <c r="E109" s="56"/>
      <c r="F109" s="56"/>
      <c r="G109" s="56"/>
      <c r="H109" s="76"/>
      <c r="I109" s="70"/>
      <c r="J109" s="17"/>
      <c r="K109" s="17"/>
      <c r="M109" s="71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</row>
    <row r="110" spans="2:30">
      <c r="B110" s="74"/>
      <c r="C110" s="75"/>
      <c r="D110" s="74"/>
      <c r="E110" s="56"/>
      <c r="F110" s="56"/>
      <c r="G110" s="56"/>
      <c r="H110" s="76"/>
      <c r="I110" s="70"/>
      <c r="J110" s="17"/>
      <c r="K110" s="17"/>
      <c r="M110" s="71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</row>
    <row r="111" spans="2:30">
      <c r="B111" s="68"/>
      <c r="C111" s="69"/>
      <c r="D111" s="68"/>
      <c r="E111" s="52"/>
      <c r="F111" s="52"/>
      <c r="G111" s="52"/>
      <c r="H111" s="53"/>
      <c r="I111" s="70"/>
      <c r="J111" s="17"/>
      <c r="K111" s="17"/>
      <c r="L111" s="29"/>
      <c r="M111" s="77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</row>
    <row r="112" spans="2:30" ht="15.75">
      <c r="B112" s="78"/>
      <c r="C112" s="17"/>
      <c r="D112" s="17"/>
      <c r="E112" s="79"/>
      <c r="F112" s="79"/>
      <c r="G112" s="79"/>
      <c r="M112" s="80"/>
      <c r="N112" s="86"/>
      <c r="O112" s="86"/>
      <c r="P112" s="86"/>
      <c r="Q112" s="86"/>
      <c r="R112" s="86"/>
      <c r="S112" s="86"/>
      <c r="T112" s="86"/>
      <c r="U112" s="86"/>
      <c r="V112" s="86"/>
      <c r="W112" s="86"/>
      <c r="X112" s="86"/>
      <c r="Y112" s="86"/>
      <c r="Z112" s="86"/>
      <c r="AA112" s="86"/>
      <c r="AB112" s="86"/>
      <c r="AC112" s="86"/>
      <c r="AD112" s="86"/>
    </row>
    <row r="113" spans="2:28">
      <c r="M113" s="36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24"/>
      <c r="Y113" s="36"/>
      <c r="Z113" s="17"/>
      <c r="AA113" s="17"/>
      <c r="AB113" s="17"/>
    </row>
    <row r="114" spans="2:28" ht="15">
      <c r="B114" s="2"/>
      <c r="D114" s="2"/>
      <c r="E114" s="81"/>
      <c r="F114" s="81"/>
      <c r="M114" s="82"/>
      <c r="N114" s="14"/>
      <c r="O114" s="14"/>
      <c r="P114" s="14"/>
      <c r="Q114" s="14"/>
      <c r="R114" s="14"/>
      <c r="S114" s="83"/>
      <c r="T114" s="83"/>
      <c r="U114" s="83"/>
      <c r="V114" s="83"/>
      <c r="W114" s="83"/>
      <c r="X114" s="83"/>
      <c r="Y114" s="83"/>
      <c r="Z114" s="83"/>
      <c r="AA114" s="83"/>
    </row>
    <row r="115" spans="2:28">
      <c r="B115" s="15"/>
      <c r="C115" s="17"/>
      <c r="D115" s="17"/>
      <c r="E115" s="84"/>
      <c r="F115" s="84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</row>
    <row r="116" spans="2:28">
      <c r="B116" s="15"/>
      <c r="C116" s="17"/>
      <c r="D116" s="17"/>
      <c r="E116" s="84"/>
      <c r="F116" s="84"/>
      <c r="M116" s="36"/>
      <c r="N116" s="85"/>
      <c r="O116" s="36"/>
      <c r="P116" s="36"/>
      <c r="Q116" s="85"/>
      <c r="R116" s="36"/>
      <c r="S116" s="36"/>
      <c r="T116" s="85"/>
      <c r="U116" s="36"/>
      <c r="V116" s="36"/>
      <c r="W116" s="36"/>
      <c r="X116" s="36"/>
      <c r="Y116" s="36"/>
      <c r="Z116" s="36"/>
      <c r="AA116" s="36"/>
      <c r="AB116" s="86"/>
    </row>
    <row r="117" spans="2:28">
      <c r="B117" s="15"/>
      <c r="C117" s="17"/>
      <c r="D117" s="17"/>
      <c r="E117" s="84"/>
      <c r="F117" s="84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  <c r="AA117" s="87"/>
    </row>
    <row r="118" spans="2:28">
      <c r="B118" s="15"/>
      <c r="C118" s="17"/>
      <c r="D118" s="17"/>
      <c r="E118" s="84"/>
      <c r="F118" s="84"/>
      <c r="M118" s="88"/>
      <c r="N118" s="88"/>
      <c r="O118" s="87"/>
      <c r="P118" s="87"/>
      <c r="Q118" s="87"/>
      <c r="R118" s="87"/>
      <c r="S118" s="87"/>
      <c r="T118" s="87"/>
      <c r="U118" s="87"/>
      <c r="V118" s="87"/>
      <c r="W118" s="89"/>
      <c r="X118" s="87"/>
      <c r="Y118" s="87"/>
      <c r="Z118" s="87"/>
      <c r="AA118" s="87"/>
      <c r="AB118" s="87"/>
    </row>
    <row r="119" spans="2:28">
      <c r="B119" s="15"/>
      <c r="C119" s="17"/>
      <c r="D119" s="17"/>
      <c r="E119" s="84"/>
      <c r="F119" s="84"/>
      <c r="M119" s="88"/>
      <c r="N119" s="88"/>
      <c r="O119" s="87"/>
      <c r="P119" s="87"/>
      <c r="Q119" s="87"/>
      <c r="R119" s="87"/>
      <c r="S119" s="87"/>
      <c r="T119" s="87"/>
      <c r="U119" s="87"/>
      <c r="V119" s="87"/>
      <c r="W119" s="89"/>
      <c r="X119" s="87"/>
      <c r="Y119" s="87"/>
      <c r="Z119" s="87"/>
      <c r="AA119" s="87"/>
      <c r="AB119" s="87"/>
    </row>
    <row r="120" spans="2:28">
      <c r="B120" s="15"/>
      <c r="C120" s="17"/>
      <c r="D120" s="17"/>
      <c r="E120" s="84"/>
      <c r="F120" s="84"/>
      <c r="M120" s="88"/>
      <c r="N120" s="88"/>
      <c r="O120" s="88"/>
      <c r="P120" s="88"/>
      <c r="Q120" s="88"/>
      <c r="R120" s="88"/>
      <c r="S120" s="88"/>
      <c r="T120" s="88"/>
      <c r="U120" s="88"/>
      <c r="Y120" s="87"/>
      <c r="Z120" s="88"/>
      <c r="AA120" s="88"/>
      <c r="AB120" s="88"/>
    </row>
    <row r="121" spans="2:28" ht="15">
      <c r="B121" s="15"/>
      <c r="C121" s="17"/>
      <c r="D121" s="17"/>
      <c r="E121" s="84"/>
      <c r="F121" s="84"/>
      <c r="M121" s="82"/>
      <c r="N121" s="14"/>
      <c r="O121" s="14"/>
      <c r="P121" s="14"/>
      <c r="Q121" s="14"/>
      <c r="R121" s="14"/>
      <c r="S121" s="14"/>
      <c r="T121" s="88"/>
      <c r="U121" s="88"/>
      <c r="Y121" s="87"/>
      <c r="Z121" s="88"/>
      <c r="AA121" s="88"/>
      <c r="AB121" s="88"/>
    </row>
    <row r="122" spans="2:28">
      <c r="B122" s="15"/>
      <c r="C122" s="17"/>
      <c r="D122" s="17"/>
      <c r="E122" s="84"/>
      <c r="F122" s="84"/>
      <c r="M122" s="88"/>
      <c r="N122" s="88"/>
      <c r="O122" s="88"/>
      <c r="P122" s="88"/>
      <c r="Q122" s="88"/>
      <c r="R122" s="88"/>
      <c r="S122" s="88"/>
      <c r="T122" s="88"/>
      <c r="U122" s="88"/>
      <c r="Y122" s="87"/>
    </row>
    <row r="123" spans="2:28" ht="15">
      <c r="B123" s="15"/>
      <c r="C123" s="17"/>
      <c r="D123" s="17"/>
      <c r="E123" s="84"/>
      <c r="F123" s="84"/>
      <c r="M123" s="14"/>
      <c r="N123" s="90"/>
      <c r="O123" s="14"/>
      <c r="P123" s="14"/>
      <c r="Q123" s="91"/>
      <c r="R123" s="91"/>
      <c r="S123" s="14"/>
      <c r="T123" s="14"/>
      <c r="U123" s="82"/>
      <c r="Y123" s="87"/>
      <c r="Z123" s="92"/>
      <c r="AA123" s="92"/>
      <c r="AB123" s="14"/>
    </row>
    <row r="124" spans="2:28" ht="15">
      <c r="B124" s="15"/>
      <c r="C124" s="17"/>
      <c r="D124" s="17"/>
      <c r="E124" s="84"/>
      <c r="F124" s="84"/>
      <c r="M124" s="14"/>
      <c r="N124" s="93"/>
      <c r="O124" s="94"/>
      <c r="P124" s="95"/>
      <c r="Q124" s="91"/>
      <c r="R124" s="91"/>
      <c r="S124" s="14"/>
      <c r="T124" s="14"/>
      <c r="U124" s="82"/>
      <c r="V124" s="14"/>
      <c r="W124" s="14"/>
      <c r="X124" s="14"/>
      <c r="Y124" s="14"/>
      <c r="Z124" s="92"/>
      <c r="AA124" s="92"/>
      <c r="AB124" s="14"/>
    </row>
    <row r="125" spans="2:28" ht="15">
      <c r="B125" s="15"/>
      <c r="C125" s="17"/>
      <c r="D125" s="17"/>
      <c r="E125" s="84"/>
      <c r="F125" s="84"/>
      <c r="M125" s="14"/>
      <c r="N125" s="94"/>
      <c r="O125" s="96"/>
      <c r="P125" s="14"/>
      <c r="Q125" s="91"/>
      <c r="R125" s="91"/>
      <c r="S125" s="14"/>
      <c r="T125" s="14"/>
      <c r="U125" s="82"/>
      <c r="V125" s="14"/>
      <c r="W125" s="14"/>
      <c r="X125" s="14"/>
      <c r="Y125" s="14"/>
      <c r="Z125" s="92"/>
      <c r="AA125" s="92"/>
      <c r="AB125" s="14"/>
    </row>
    <row r="126" spans="2:28">
      <c r="B126" s="15"/>
      <c r="C126" s="17"/>
      <c r="D126" s="17"/>
      <c r="E126" s="84"/>
      <c r="F126" s="84"/>
      <c r="M126" s="43"/>
      <c r="N126" s="43"/>
      <c r="O126" s="43"/>
      <c r="P126" s="43"/>
      <c r="Q126" s="43"/>
      <c r="R126" s="43"/>
      <c r="S126" s="43"/>
      <c r="T126" s="14"/>
      <c r="U126" s="14"/>
      <c r="V126" s="14"/>
      <c r="W126" s="14"/>
      <c r="X126" s="14"/>
      <c r="Y126" s="97"/>
      <c r="Z126" s="97"/>
      <c r="AA126" s="97"/>
      <c r="AB126" s="14"/>
    </row>
    <row r="127" spans="2:28">
      <c r="B127" s="15"/>
      <c r="C127" s="17"/>
      <c r="D127" s="17"/>
      <c r="E127" s="84"/>
      <c r="F127" s="84"/>
      <c r="M127" s="98"/>
      <c r="N127" s="14"/>
      <c r="O127" s="99"/>
      <c r="P127" s="90"/>
      <c r="Q127" s="100"/>
      <c r="R127" s="100"/>
      <c r="S127" s="90"/>
      <c r="T127" s="14"/>
      <c r="U127" s="98"/>
      <c r="V127" s="14"/>
      <c r="W127" s="14"/>
      <c r="X127" s="99"/>
      <c r="Y127" s="90"/>
      <c r="Z127" s="90"/>
      <c r="AA127" s="90"/>
      <c r="AB127" s="14"/>
    </row>
    <row r="128" spans="2:28">
      <c r="B128" s="17"/>
      <c r="C128" s="17"/>
      <c r="D128" s="17"/>
      <c r="E128" s="84"/>
      <c r="F128" s="102"/>
      <c r="M128" s="14"/>
      <c r="N128" s="14"/>
      <c r="O128" s="14"/>
      <c r="P128" s="90"/>
      <c r="Q128" s="101"/>
      <c r="R128" s="101"/>
      <c r="S128" s="90"/>
      <c r="T128" s="14"/>
      <c r="U128" s="98"/>
      <c r="V128" s="14"/>
      <c r="W128" s="14"/>
      <c r="X128" s="14"/>
      <c r="Y128" s="90"/>
      <c r="Z128" s="90"/>
      <c r="AA128" s="90"/>
      <c r="AB128" s="14"/>
    </row>
    <row r="129" spans="13:28">
      <c r="M129" s="88"/>
      <c r="N129" s="88"/>
      <c r="O129" s="14"/>
      <c r="P129" s="90"/>
      <c r="Q129" s="101"/>
      <c r="R129" s="101"/>
      <c r="S129" s="90"/>
      <c r="T129" s="14"/>
      <c r="U129" s="98"/>
      <c r="V129" s="14"/>
      <c r="W129" s="14"/>
      <c r="X129" s="14"/>
      <c r="Y129" s="90"/>
      <c r="Z129" s="90"/>
      <c r="AA129" s="90"/>
      <c r="AB129" s="14"/>
    </row>
    <row r="130" spans="13:28">
      <c r="M130" s="29"/>
      <c r="N130" s="14"/>
      <c r="O130" s="14"/>
      <c r="P130" s="14"/>
      <c r="Q130" s="14"/>
      <c r="R130" s="14"/>
      <c r="S130" s="90"/>
      <c r="T130" s="14"/>
      <c r="U130" s="98"/>
      <c r="V130" s="14"/>
      <c r="W130" s="14"/>
      <c r="X130" s="14"/>
      <c r="Y130" s="90"/>
      <c r="Z130" s="90"/>
      <c r="AA130" s="90"/>
      <c r="AB130" s="14"/>
    </row>
    <row r="131" spans="13:28">
      <c r="M131" s="14"/>
      <c r="N131" s="14"/>
      <c r="O131" s="14"/>
      <c r="P131" s="14"/>
      <c r="Q131" s="101"/>
      <c r="R131" s="101"/>
      <c r="S131" s="90"/>
      <c r="T131" s="14"/>
      <c r="U131" s="98"/>
      <c r="V131" s="14"/>
      <c r="W131" s="14"/>
      <c r="X131" s="14"/>
      <c r="Y131" s="90"/>
      <c r="Z131" s="90"/>
      <c r="AA131" s="90"/>
      <c r="AB131" s="14"/>
    </row>
    <row r="132" spans="13:28">
      <c r="M132" s="14"/>
      <c r="N132" s="14"/>
      <c r="O132" s="14"/>
      <c r="P132" s="14"/>
      <c r="Q132" s="14"/>
      <c r="R132" s="14"/>
      <c r="S132" s="90"/>
      <c r="T132" s="14"/>
      <c r="U132" s="98"/>
      <c r="V132" s="14"/>
      <c r="W132" s="14"/>
      <c r="X132" s="14"/>
      <c r="Y132" s="90"/>
      <c r="Z132" s="90"/>
      <c r="AA132" s="90"/>
      <c r="AB132" s="14"/>
    </row>
    <row r="133" spans="13:28">
      <c r="M133" s="29"/>
      <c r="N133" s="14"/>
      <c r="O133" s="14"/>
      <c r="P133" s="14"/>
      <c r="Q133" s="14"/>
      <c r="R133" s="14"/>
      <c r="S133" s="90"/>
      <c r="T133" s="14"/>
      <c r="U133" s="98"/>
      <c r="V133" s="14"/>
      <c r="W133" s="14"/>
      <c r="X133" s="14"/>
      <c r="Y133" s="90"/>
      <c r="Z133" s="90"/>
      <c r="AA133" s="90"/>
      <c r="AB133" s="14"/>
    </row>
    <row r="134" spans="13:28">
      <c r="M134" s="14"/>
      <c r="N134" s="14"/>
      <c r="O134" s="14"/>
      <c r="P134" s="14"/>
      <c r="Q134" s="14"/>
      <c r="R134" s="14"/>
      <c r="S134" s="90"/>
      <c r="T134" s="14"/>
      <c r="U134" s="98"/>
      <c r="V134" s="14"/>
      <c r="W134" s="14"/>
      <c r="X134" s="14"/>
      <c r="Y134" s="90"/>
      <c r="Z134" s="90"/>
      <c r="AA134" s="90"/>
      <c r="AB134" s="14"/>
    </row>
    <row r="135" spans="13:28">
      <c r="M135" s="14"/>
      <c r="N135" s="14"/>
      <c r="O135" s="14"/>
      <c r="P135" s="14"/>
      <c r="Q135" s="14"/>
      <c r="R135" s="14"/>
      <c r="S135" s="90"/>
      <c r="T135" s="90"/>
      <c r="U135" s="14"/>
      <c r="V135" s="14"/>
      <c r="W135" s="14"/>
      <c r="X135" s="14"/>
      <c r="Y135" s="103"/>
      <c r="Z135" s="103"/>
      <c r="AA135" s="103"/>
      <c r="AB135" s="14"/>
    </row>
    <row r="136" spans="13:28">
      <c r="M136" s="14"/>
      <c r="N136" s="14"/>
      <c r="O136" s="14"/>
      <c r="P136" s="14"/>
      <c r="Q136" s="14"/>
      <c r="R136" s="14"/>
      <c r="S136" s="14"/>
      <c r="T136" s="90"/>
      <c r="U136" s="90"/>
      <c r="V136" s="90"/>
      <c r="W136" s="90"/>
      <c r="X136" s="14"/>
      <c r="Y136" s="14"/>
      <c r="Z136" s="91"/>
      <c r="AA136" s="91"/>
      <c r="AB136" s="14"/>
    </row>
    <row r="137" spans="13:28" ht="15">
      <c r="M137" s="104"/>
    </row>
    <row r="138" spans="13:28">
      <c r="M138" s="14"/>
    </row>
    <row r="139" spans="13:28">
      <c r="M139" s="14"/>
    </row>
    <row r="140" spans="13:28">
      <c r="M140" s="14"/>
    </row>
    <row r="141" spans="13:28">
      <c r="M141" s="43"/>
      <c r="N141" s="43"/>
      <c r="O141" s="43"/>
      <c r="P141" s="43"/>
      <c r="Q141" s="97"/>
      <c r="R141" s="97"/>
      <c r="S141" s="97"/>
      <c r="Y141" s="97"/>
      <c r="Z141" s="97"/>
      <c r="AA141" s="97"/>
    </row>
    <row r="142" spans="13:28">
      <c r="M142" s="98"/>
      <c r="N142" s="14"/>
      <c r="O142" s="105"/>
      <c r="P142" s="14"/>
      <c r="S142" s="90"/>
      <c r="T142" s="31"/>
      <c r="U142" s="98"/>
      <c r="V142" s="14"/>
      <c r="W142" s="14"/>
      <c r="X142" s="99"/>
      <c r="Y142" s="90"/>
      <c r="Z142" s="90"/>
      <c r="AA142" s="90"/>
    </row>
    <row r="143" spans="13:28">
      <c r="M143" s="98"/>
      <c r="N143" s="14"/>
      <c r="O143" s="105"/>
      <c r="P143" s="14"/>
      <c r="S143" s="90"/>
      <c r="T143" s="31"/>
      <c r="U143" s="98"/>
      <c r="V143" s="14"/>
      <c r="W143" s="14"/>
      <c r="Y143" s="90"/>
      <c r="Z143" s="90"/>
      <c r="AA143" s="90"/>
    </row>
    <row r="144" spans="13:28">
      <c r="M144" s="98"/>
      <c r="N144" s="14"/>
      <c r="O144" s="105"/>
      <c r="P144" s="14"/>
      <c r="S144" s="90"/>
      <c r="T144" s="106"/>
      <c r="U144" s="98"/>
      <c r="V144" s="14"/>
      <c r="W144" s="14"/>
      <c r="Y144" s="90"/>
      <c r="Z144" s="90"/>
      <c r="AA144" s="90"/>
    </row>
    <row r="145" spans="13:28">
      <c r="M145" s="98"/>
      <c r="N145" s="14"/>
      <c r="O145" s="105"/>
      <c r="P145" s="14"/>
      <c r="S145" s="90"/>
      <c r="T145" s="106"/>
      <c r="U145" s="98"/>
      <c r="V145" s="14"/>
      <c r="W145" s="14"/>
      <c r="Y145" s="90"/>
      <c r="Z145" s="90"/>
      <c r="AA145" s="90"/>
    </row>
    <row r="146" spans="13:28">
      <c r="T146" s="71"/>
      <c r="U146" s="98"/>
      <c r="V146" s="14"/>
      <c r="W146" s="14"/>
      <c r="Y146" s="90"/>
      <c r="Z146" s="90"/>
      <c r="AA146" s="90"/>
    </row>
    <row r="147" spans="13:28">
      <c r="M147" s="98"/>
      <c r="N147" s="14"/>
      <c r="Q147" s="90"/>
      <c r="R147" s="90"/>
      <c r="S147" s="90"/>
      <c r="T147" s="90"/>
      <c r="U147" s="98"/>
      <c r="V147" s="14"/>
      <c r="W147" s="14"/>
      <c r="Y147" s="90"/>
      <c r="Z147" s="90"/>
      <c r="AA147" s="90"/>
    </row>
    <row r="148" spans="13:28">
      <c r="Y148" s="103"/>
      <c r="Z148" s="103"/>
      <c r="AA148" s="103"/>
    </row>
    <row r="149" spans="13:28">
      <c r="Q149" s="98"/>
      <c r="R149" s="98"/>
      <c r="S149" s="103"/>
      <c r="T149" s="90"/>
      <c r="Z149" s="91"/>
      <c r="AA149" s="107"/>
    </row>
    <row r="150" spans="13:28"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08"/>
      <c r="AA150" s="17"/>
      <c r="AB150" s="17"/>
    </row>
    <row r="151" spans="13:28" ht="15">
      <c r="M151" s="17"/>
      <c r="N151" s="17"/>
      <c r="O151" s="17"/>
      <c r="P151" s="17"/>
      <c r="Q151" s="17"/>
      <c r="R151" s="17"/>
      <c r="S151" s="17"/>
      <c r="T151" s="17"/>
      <c r="U151" s="33"/>
      <c r="V151" s="109"/>
      <c r="W151" s="110"/>
      <c r="Y151" s="111"/>
      <c r="Z151" s="111"/>
      <c r="AA151" s="17"/>
      <c r="AB151" s="17"/>
    </row>
    <row r="152" spans="13:28">
      <c r="M152" s="17"/>
      <c r="N152" s="17"/>
      <c r="O152" s="17"/>
      <c r="P152" s="17"/>
      <c r="Q152" s="17"/>
      <c r="R152" s="17"/>
      <c r="S152" s="17"/>
      <c r="T152" s="17"/>
      <c r="U152" s="112"/>
      <c r="V152" s="23"/>
      <c r="Y152" s="113"/>
      <c r="Z152" s="113"/>
      <c r="AA152" s="17"/>
      <c r="AB152" s="17"/>
    </row>
    <row r="153" spans="13:28">
      <c r="M153" s="17"/>
      <c r="N153" s="17"/>
      <c r="O153" s="17"/>
      <c r="P153" s="17"/>
      <c r="Q153" s="17"/>
      <c r="R153" s="17"/>
      <c r="S153" s="17"/>
      <c r="T153" s="17"/>
      <c r="AA153" s="17"/>
      <c r="AB153" s="17"/>
    </row>
    <row r="154" spans="13:28">
      <c r="M154" s="17"/>
      <c r="N154" s="17"/>
      <c r="O154" s="17"/>
      <c r="P154" s="17"/>
      <c r="Q154" s="17"/>
      <c r="R154" s="17"/>
      <c r="S154" s="17"/>
      <c r="T154" s="17"/>
      <c r="U154" s="40"/>
      <c r="V154" s="34"/>
      <c r="Y154" s="113"/>
      <c r="Z154" s="113"/>
      <c r="AA154" s="17"/>
      <c r="AB154" s="17"/>
    </row>
    <row r="155" spans="13:28">
      <c r="M155" s="17"/>
      <c r="N155" s="17"/>
      <c r="O155" s="17"/>
      <c r="P155" s="17"/>
      <c r="Q155" s="17"/>
      <c r="R155" s="17"/>
      <c r="S155" s="17"/>
      <c r="T155" s="17"/>
      <c r="AA155" s="17"/>
      <c r="AB155" s="17"/>
    </row>
    <row r="156" spans="13:28">
      <c r="M156" s="17"/>
      <c r="N156" s="17"/>
      <c r="O156" s="17"/>
      <c r="P156" s="17"/>
      <c r="Q156" s="17"/>
      <c r="R156" s="17"/>
      <c r="S156" s="17"/>
      <c r="T156" s="17"/>
      <c r="U156" s="114"/>
      <c r="V156" s="115"/>
      <c r="AA156" s="17"/>
      <c r="AB156" s="17"/>
    </row>
    <row r="157" spans="13:28">
      <c r="M157" s="17"/>
      <c r="N157" s="17"/>
      <c r="O157" s="17"/>
      <c r="P157" s="17"/>
      <c r="Q157" s="17"/>
      <c r="R157" s="17"/>
      <c r="S157" s="17"/>
      <c r="T157" s="17"/>
      <c r="AA157" s="17"/>
      <c r="AB157" s="17"/>
    </row>
    <row r="158" spans="13:28">
      <c r="M158" s="17"/>
      <c r="N158" s="17"/>
      <c r="O158" s="17"/>
      <c r="P158" s="17"/>
      <c r="Q158" s="17"/>
      <c r="R158" s="17"/>
      <c r="S158" s="17"/>
      <c r="T158" s="17"/>
      <c r="U158" s="12"/>
      <c r="V158" s="13"/>
      <c r="Y158" s="113"/>
      <c r="Z158" s="113"/>
      <c r="AA158" s="17"/>
      <c r="AB158" s="17"/>
    </row>
    <row r="159" spans="13:28">
      <c r="M159" s="17"/>
      <c r="N159" s="17"/>
      <c r="O159" s="17"/>
      <c r="P159" s="17"/>
      <c r="Q159" s="17"/>
      <c r="R159" s="17"/>
      <c r="S159" s="17"/>
      <c r="T159" s="17"/>
      <c r="U159" s="109"/>
      <c r="V159" s="109"/>
      <c r="Y159" s="116"/>
      <c r="Z159" s="116"/>
      <c r="AA159" s="17"/>
      <c r="AB159" s="17"/>
    </row>
    <row r="160" spans="13:28">
      <c r="M160" s="17"/>
      <c r="N160" s="17"/>
      <c r="O160" s="17"/>
      <c r="P160" s="17"/>
      <c r="Q160" s="17"/>
      <c r="R160" s="17"/>
      <c r="S160" s="17"/>
      <c r="T160" s="17"/>
      <c r="U160" s="66"/>
      <c r="V160" s="66"/>
      <c r="W160" s="66"/>
      <c r="Y160" s="35"/>
      <c r="Z160" s="91"/>
      <c r="AA160" s="17"/>
      <c r="AB160" s="17"/>
    </row>
    <row r="161" spans="13:28">
      <c r="M161" s="17"/>
      <c r="N161" s="17"/>
      <c r="O161" s="17"/>
      <c r="P161" s="17"/>
      <c r="Q161" s="17"/>
      <c r="R161" s="17"/>
      <c r="S161" s="17"/>
      <c r="T161" s="17"/>
      <c r="U161" s="117"/>
      <c r="V161" s="117"/>
      <c r="Y161" s="116"/>
      <c r="Z161" s="116"/>
      <c r="AA161" s="17"/>
      <c r="AB161" s="17"/>
    </row>
    <row r="162" spans="13:28" ht="15">
      <c r="M162" s="17"/>
      <c r="N162" s="17"/>
      <c r="O162" s="17"/>
      <c r="P162" s="17"/>
      <c r="Q162" s="17"/>
      <c r="R162" s="17"/>
      <c r="S162" s="17"/>
      <c r="T162" s="17"/>
      <c r="U162" s="33"/>
      <c r="V162" s="118"/>
      <c r="W162" s="109"/>
      <c r="Y162" s="226"/>
      <c r="Z162" s="226"/>
      <c r="AA162" s="17"/>
      <c r="AB162" s="17"/>
    </row>
    <row r="163" spans="13:28">
      <c r="M163" s="17"/>
      <c r="N163" s="17"/>
      <c r="O163" s="17"/>
      <c r="P163" s="17"/>
      <c r="Q163" s="17"/>
      <c r="R163" s="17"/>
      <c r="S163" s="17"/>
      <c r="T163" s="17"/>
      <c r="U163" s="25"/>
      <c r="V163" s="22"/>
      <c r="X163" s="119"/>
      <c r="Y163" s="113"/>
      <c r="Z163" s="113"/>
      <c r="AA163" s="17"/>
      <c r="AB163" s="17"/>
    </row>
    <row r="164" spans="13:28">
      <c r="M164" s="17"/>
      <c r="N164" s="17"/>
      <c r="O164" s="17"/>
      <c r="P164" s="17"/>
      <c r="Q164" s="17"/>
      <c r="R164" s="17"/>
      <c r="S164" s="17"/>
      <c r="T164" s="17"/>
      <c r="U164" s="25"/>
      <c r="V164" s="22"/>
      <c r="X164" s="119"/>
      <c r="Y164" s="113"/>
      <c r="Z164" s="113"/>
      <c r="AA164" s="17"/>
      <c r="AB164" s="17"/>
    </row>
    <row r="165" spans="13:28">
      <c r="M165" s="17"/>
      <c r="N165" s="17"/>
      <c r="O165" s="17"/>
      <c r="P165" s="17"/>
      <c r="Q165" s="17"/>
      <c r="R165" s="17"/>
      <c r="S165" s="17"/>
      <c r="T165" s="17"/>
      <c r="U165" s="25"/>
      <c r="V165" s="22"/>
      <c r="X165" s="119"/>
      <c r="Y165" s="113"/>
      <c r="Z165" s="113"/>
      <c r="AA165" s="17"/>
      <c r="AB165" s="17"/>
    </row>
    <row r="166" spans="13:28">
      <c r="M166" s="17"/>
      <c r="N166" s="17"/>
      <c r="O166" s="17"/>
      <c r="P166" s="17"/>
      <c r="Q166" s="17"/>
      <c r="R166" s="17"/>
      <c r="S166" s="17"/>
      <c r="T166" s="17"/>
      <c r="U166" s="25"/>
      <c r="V166" s="22"/>
      <c r="X166" s="120"/>
      <c r="Y166" s="113"/>
      <c r="Z166" s="113"/>
      <c r="AA166" s="17"/>
      <c r="AB166" s="17"/>
    </row>
    <row r="167" spans="13:28">
      <c r="M167" s="17"/>
      <c r="N167" s="17"/>
      <c r="O167" s="17"/>
      <c r="P167" s="17"/>
      <c r="Q167" s="17"/>
      <c r="R167" s="17"/>
      <c r="S167" s="17"/>
      <c r="T167" s="17"/>
      <c r="U167" s="25"/>
      <c r="V167" s="22"/>
      <c r="X167" s="121"/>
      <c r="Y167" s="113"/>
      <c r="Z167" s="113"/>
      <c r="AA167" s="17"/>
      <c r="AB167" s="17"/>
    </row>
    <row r="168" spans="13:28">
      <c r="M168" s="17"/>
      <c r="N168" s="17"/>
      <c r="O168" s="17"/>
      <c r="P168" s="17"/>
      <c r="Q168" s="17"/>
      <c r="R168" s="17"/>
      <c r="S168" s="17"/>
      <c r="T168" s="17"/>
      <c r="U168" s="25"/>
      <c r="V168" s="22"/>
      <c r="X168" s="120"/>
      <c r="Y168" s="113"/>
      <c r="Z168" s="113"/>
      <c r="AA168" s="17"/>
      <c r="AB168" s="17"/>
    </row>
    <row r="169" spans="13:28">
      <c r="M169" s="17"/>
      <c r="N169" s="17"/>
      <c r="O169" s="17"/>
      <c r="P169" s="17"/>
      <c r="Q169" s="17"/>
      <c r="R169" s="17"/>
      <c r="S169" s="17"/>
      <c r="T169" s="17"/>
      <c r="U169" s="25"/>
      <c r="V169" s="22"/>
      <c r="X169" s="120"/>
      <c r="Y169" s="113"/>
      <c r="Z169" s="113"/>
      <c r="AA169" s="17"/>
      <c r="AB169" s="17"/>
    </row>
    <row r="170" spans="13:28">
      <c r="M170" s="17"/>
      <c r="N170" s="17"/>
      <c r="O170" s="17"/>
      <c r="P170" s="17"/>
      <c r="Q170" s="17"/>
      <c r="R170" s="17"/>
      <c r="S170" s="17"/>
      <c r="T170" s="17"/>
      <c r="U170" s="25"/>
      <c r="V170" s="22"/>
      <c r="X170" s="120"/>
      <c r="Y170" s="113"/>
      <c r="Z170" s="113"/>
      <c r="AA170" s="17"/>
      <c r="AB170" s="17"/>
    </row>
    <row r="171" spans="13:28">
      <c r="M171" s="17"/>
      <c r="N171" s="17"/>
      <c r="O171" s="17"/>
      <c r="P171" s="17"/>
      <c r="Q171" s="17"/>
      <c r="R171" s="17"/>
      <c r="S171" s="17"/>
      <c r="T171" s="17"/>
      <c r="U171" s="25"/>
      <c r="V171" s="22"/>
      <c r="X171" s="120"/>
      <c r="Y171" s="113"/>
      <c r="Z171" s="113"/>
      <c r="AA171" s="17"/>
      <c r="AB171" s="17"/>
    </row>
    <row r="172" spans="13:28">
      <c r="M172" s="17"/>
      <c r="N172" s="17"/>
      <c r="O172" s="17"/>
      <c r="P172" s="17"/>
      <c r="Q172" s="17"/>
      <c r="R172" s="17"/>
      <c r="S172" s="17"/>
      <c r="T172" s="17"/>
      <c r="U172" s="25"/>
      <c r="V172" s="22"/>
      <c r="X172" s="120"/>
      <c r="Y172" s="113"/>
      <c r="Z172" s="113"/>
      <c r="AA172" s="17"/>
      <c r="AB172" s="17"/>
    </row>
    <row r="173" spans="13:28">
      <c r="M173" s="17"/>
      <c r="N173" s="17"/>
      <c r="O173" s="17"/>
      <c r="P173" s="17"/>
      <c r="Q173" s="17"/>
      <c r="R173" s="17"/>
      <c r="S173" s="17"/>
      <c r="T173" s="17"/>
      <c r="U173" s="25"/>
      <c r="V173" s="22"/>
      <c r="X173" s="120"/>
      <c r="Y173" s="113"/>
      <c r="Z173" s="113"/>
      <c r="AA173" s="17"/>
      <c r="AB173" s="17"/>
    </row>
    <row r="174" spans="13:28">
      <c r="M174" s="17"/>
      <c r="N174" s="17"/>
      <c r="O174" s="17"/>
      <c r="P174" s="17"/>
      <c r="Q174" s="17"/>
      <c r="R174" s="17"/>
      <c r="S174" s="17"/>
      <c r="T174" s="17"/>
      <c r="U174" s="25"/>
      <c r="V174" s="22"/>
      <c r="X174" s="120"/>
      <c r="Y174" s="113"/>
      <c r="Z174" s="113"/>
      <c r="AA174" s="17"/>
      <c r="AB174" s="17"/>
    </row>
    <row r="175" spans="13:28">
      <c r="M175" s="17"/>
      <c r="N175" s="17"/>
      <c r="O175" s="17"/>
      <c r="P175" s="17"/>
      <c r="Q175" s="17"/>
      <c r="R175" s="17"/>
      <c r="S175" s="17"/>
      <c r="T175" s="17"/>
      <c r="U175" s="25"/>
      <c r="V175" s="22"/>
      <c r="X175" s="121"/>
      <c r="Y175" s="113"/>
      <c r="Z175" s="113"/>
      <c r="AA175" s="17"/>
      <c r="AB175" s="17"/>
    </row>
    <row r="176" spans="13:28">
      <c r="M176" s="17"/>
      <c r="N176" s="17"/>
      <c r="O176" s="17"/>
      <c r="P176" s="17"/>
      <c r="Q176" s="17"/>
      <c r="R176" s="17"/>
      <c r="S176" s="17"/>
      <c r="T176" s="122"/>
      <c r="U176" s="25"/>
      <c r="V176" s="22"/>
      <c r="X176" s="121"/>
      <c r="Y176" s="123"/>
      <c r="Z176" s="113"/>
      <c r="AA176" s="17"/>
      <c r="AB176" s="17"/>
    </row>
    <row r="177" spans="13:28">
      <c r="M177" s="17"/>
      <c r="N177" s="17"/>
      <c r="O177" s="17"/>
      <c r="P177" s="17"/>
      <c r="Q177" s="17"/>
      <c r="R177" s="17"/>
      <c r="S177" s="17"/>
      <c r="T177" s="122"/>
      <c r="U177" s="25"/>
      <c r="V177" s="22"/>
      <c r="X177" s="121"/>
      <c r="Y177" s="123"/>
      <c r="Z177" s="113"/>
      <c r="AA177" s="17"/>
      <c r="AB177" s="17"/>
    </row>
    <row r="178" spans="13:28">
      <c r="M178" s="17"/>
      <c r="N178" s="17"/>
      <c r="O178" s="17"/>
      <c r="P178" s="17"/>
      <c r="Q178" s="17"/>
      <c r="R178" s="17"/>
      <c r="S178" s="17"/>
      <c r="T178" s="122"/>
      <c r="U178" s="25"/>
      <c r="V178" s="22"/>
      <c r="X178" s="121"/>
      <c r="Y178" s="113"/>
      <c r="Z178" s="113"/>
      <c r="AA178" s="17"/>
      <c r="AB178" s="17"/>
    </row>
    <row r="179" spans="13:28">
      <c r="M179" s="17"/>
      <c r="N179" s="17"/>
      <c r="O179" s="17"/>
      <c r="P179" s="17"/>
      <c r="Q179" s="17"/>
      <c r="R179" s="17"/>
      <c r="S179" s="17"/>
      <c r="T179" s="17"/>
      <c r="U179" s="25"/>
      <c r="V179" s="23"/>
      <c r="X179" s="121"/>
      <c r="Y179" s="113"/>
      <c r="Z179" s="113"/>
      <c r="AA179" s="17"/>
      <c r="AB179" s="17"/>
    </row>
    <row r="180" spans="13:28">
      <c r="M180" s="17"/>
      <c r="N180" s="17"/>
      <c r="O180" s="17"/>
      <c r="P180" s="17"/>
      <c r="Q180" s="17"/>
      <c r="R180" s="17"/>
      <c r="S180" s="17"/>
      <c r="T180" s="17"/>
      <c r="U180" s="25"/>
      <c r="V180" s="22"/>
      <c r="X180" s="121"/>
      <c r="Y180" s="113"/>
      <c r="Z180" s="113"/>
      <c r="AA180" s="17"/>
      <c r="AB180" s="17"/>
    </row>
    <row r="181" spans="13:28">
      <c r="M181" s="17"/>
      <c r="N181" s="17"/>
      <c r="O181" s="17"/>
      <c r="P181" s="17"/>
      <c r="Q181" s="17"/>
      <c r="R181" s="17"/>
      <c r="S181" s="17"/>
      <c r="T181" s="48"/>
      <c r="U181" s="25"/>
      <c r="V181" s="22"/>
      <c r="X181" s="121"/>
      <c r="Y181" s="113"/>
      <c r="Z181" s="113"/>
      <c r="AA181" s="17"/>
      <c r="AB181" s="17"/>
    </row>
    <row r="182" spans="13:28">
      <c r="M182" s="17"/>
      <c r="N182" s="17"/>
      <c r="O182" s="17"/>
      <c r="P182" s="17"/>
      <c r="Q182" s="17"/>
      <c r="R182" s="17"/>
      <c r="S182" s="17"/>
      <c r="T182" s="48"/>
      <c r="U182" s="25"/>
      <c r="V182" s="22"/>
      <c r="X182" s="121"/>
      <c r="Y182" s="113"/>
      <c r="Z182" s="113"/>
      <c r="AA182" s="17"/>
      <c r="AB182" s="17"/>
    </row>
    <row r="183" spans="13:28">
      <c r="M183" s="17"/>
      <c r="N183" s="17"/>
      <c r="O183" s="17"/>
      <c r="P183" s="17"/>
      <c r="Q183" s="17"/>
      <c r="R183" s="17"/>
      <c r="S183" s="17"/>
      <c r="T183" s="17"/>
      <c r="U183" s="25"/>
      <c r="V183" s="22"/>
      <c r="X183" s="121"/>
      <c r="Y183" s="113"/>
      <c r="Z183" s="113"/>
      <c r="AA183" s="17"/>
      <c r="AB183" s="17"/>
    </row>
    <row r="184" spans="13:28">
      <c r="M184" s="17"/>
      <c r="N184" s="17"/>
      <c r="O184" s="17"/>
      <c r="P184" s="17"/>
      <c r="Q184" s="17"/>
      <c r="R184" s="17"/>
      <c r="S184" s="17"/>
      <c r="T184" s="17"/>
      <c r="U184" s="25"/>
      <c r="V184" s="22"/>
      <c r="X184" s="121"/>
      <c r="Y184" s="113"/>
      <c r="Z184" s="113"/>
      <c r="AA184" s="17"/>
      <c r="AB184" s="17"/>
    </row>
    <row r="185" spans="13:28">
      <c r="M185" s="17"/>
      <c r="N185" s="17"/>
      <c r="O185" s="17"/>
      <c r="P185" s="17"/>
      <c r="Q185" s="17"/>
      <c r="R185" s="17"/>
      <c r="S185" s="17"/>
      <c r="T185" s="28"/>
      <c r="U185" s="25"/>
      <c r="V185" s="22"/>
      <c r="X185" s="121"/>
      <c r="Y185" s="113"/>
      <c r="Z185" s="113"/>
      <c r="AA185" s="17"/>
      <c r="AB185" s="17"/>
    </row>
    <row r="186" spans="13:28">
      <c r="M186" s="17"/>
      <c r="N186" s="17"/>
      <c r="O186" s="17"/>
      <c r="P186" s="17"/>
      <c r="Q186" s="17"/>
      <c r="R186" s="17"/>
      <c r="S186" s="17"/>
      <c r="T186" s="122"/>
      <c r="U186" s="25"/>
      <c r="V186" s="22"/>
      <c r="X186" s="121"/>
      <c r="Y186" s="123"/>
      <c r="Z186" s="113"/>
      <c r="AA186" s="17"/>
      <c r="AB186" s="17"/>
    </row>
    <row r="187" spans="13:28">
      <c r="M187" s="17"/>
      <c r="N187" s="17"/>
      <c r="O187" s="17"/>
      <c r="P187" s="17"/>
      <c r="Q187" s="17"/>
      <c r="R187" s="17"/>
      <c r="S187" s="17"/>
      <c r="T187" s="122"/>
      <c r="U187" s="25"/>
      <c r="V187" s="22"/>
      <c r="X187" s="121"/>
      <c r="Y187" s="123"/>
      <c r="Z187" s="113"/>
      <c r="AA187" s="17"/>
      <c r="AB187" s="17"/>
    </row>
    <row r="188" spans="13:28">
      <c r="M188" s="17"/>
      <c r="N188" s="17"/>
      <c r="O188" s="17"/>
      <c r="P188" s="17"/>
      <c r="Q188" s="17"/>
      <c r="R188" s="17"/>
      <c r="S188" s="17"/>
      <c r="T188" s="122"/>
      <c r="U188" s="25"/>
      <c r="V188" s="22"/>
      <c r="X188" s="121"/>
      <c r="Y188" s="123"/>
      <c r="Z188" s="113"/>
      <c r="AA188" s="17"/>
      <c r="AB188" s="17"/>
    </row>
    <row r="189" spans="13:28">
      <c r="M189" s="17"/>
      <c r="N189" s="17"/>
      <c r="O189" s="17"/>
      <c r="P189" s="17"/>
      <c r="Q189" s="17"/>
      <c r="R189" s="17"/>
      <c r="S189" s="17"/>
      <c r="T189" s="17"/>
      <c r="U189" s="25"/>
      <c r="V189" s="22"/>
      <c r="X189" s="121"/>
      <c r="Y189" s="113"/>
      <c r="Z189" s="113"/>
      <c r="AA189" s="17"/>
      <c r="AB189" s="17"/>
    </row>
    <row r="190" spans="13:28">
      <c r="M190" s="17"/>
      <c r="N190" s="17"/>
      <c r="O190" s="17"/>
      <c r="P190" s="17"/>
      <c r="Q190" s="17"/>
      <c r="R190" s="17"/>
      <c r="S190" s="17"/>
      <c r="T190" s="17"/>
      <c r="U190" s="25"/>
      <c r="V190" s="22"/>
      <c r="X190" s="120"/>
      <c r="Y190" s="113"/>
      <c r="Z190" s="113"/>
      <c r="AA190" s="91"/>
      <c r="AB190" s="17"/>
    </row>
    <row r="191" spans="13:28">
      <c r="M191" s="17"/>
      <c r="N191" s="17"/>
      <c r="O191" s="17"/>
      <c r="P191" s="17"/>
      <c r="Q191" s="17"/>
      <c r="R191" s="17"/>
      <c r="S191" s="17"/>
      <c r="T191" s="17"/>
      <c r="U191" s="25"/>
      <c r="V191" s="22"/>
      <c r="X191" s="120"/>
      <c r="Y191" s="113"/>
      <c r="Z191" s="113"/>
      <c r="AA191" s="17"/>
      <c r="AB191" s="17"/>
    </row>
    <row r="192" spans="13:28">
      <c r="M192" s="17"/>
      <c r="N192" s="17"/>
      <c r="O192" s="17"/>
      <c r="P192" s="17"/>
      <c r="Q192" s="17"/>
      <c r="R192" s="17"/>
      <c r="S192" s="17"/>
      <c r="T192" s="17"/>
      <c r="U192" s="25"/>
      <c r="V192" s="22"/>
      <c r="X192" s="120"/>
      <c r="Y192" s="113"/>
      <c r="Z192" s="113"/>
      <c r="AA192" s="17"/>
      <c r="AB192" s="17"/>
    </row>
    <row r="193" spans="13:28">
      <c r="M193" s="17"/>
      <c r="N193" s="17"/>
      <c r="O193" s="17"/>
      <c r="P193" s="17"/>
      <c r="Q193" s="17"/>
      <c r="R193" s="17"/>
      <c r="S193" s="17"/>
      <c r="T193" s="48"/>
      <c r="U193" s="29"/>
      <c r="X193" s="120"/>
      <c r="Y193" s="113"/>
      <c r="Z193" s="113"/>
      <c r="AA193" s="17"/>
      <c r="AB193" s="17"/>
    </row>
    <row r="194" spans="13:28">
      <c r="M194" s="17"/>
      <c r="N194" s="17"/>
      <c r="O194" s="17"/>
      <c r="P194" s="17"/>
      <c r="Q194" s="17"/>
      <c r="R194" s="17"/>
      <c r="S194" s="17"/>
      <c r="T194" s="17"/>
      <c r="U194" s="25"/>
      <c r="V194" s="22"/>
      <c r="X194" s="120"/>
      <c r="Y194" s="113"/>
      <c r="Z194" s="113"/>
      <c r="AA194" s="17"/>
      <c r="AB194" s="17"/>
    </row>
    <row r="195" spans="13:28">
      <c r="M195" s="17"/>
      <c r="N195" s="17"/>
      <c r="O195" s="17"/>
      <c r="P195" s="17"/>
      <c r="Q195" s="17"/>
      <c r="R195" s="17"/>
      <c r="S195" s="17"/>
      <c r="T195" s="17"/>
      <c r="U195" s="112"/>
      <c r="V195" s="23"/>
      <c r="Y195" s="113"/>
      <c r="Z195" s="113"/>
      <c r="AA195" s="17"/>
      <c r="AB195" s="17"/>
    </row>
    <row r="196" spans="13:28">
      <c r="M196" s="17"/>
      <c r="N196" s="17"/>
      <c r="O196" s="17"/>
      <c r="P196" s="17"/>
      <c r="Q196" s="17"/>
      <c r="R196" s="17"/>
      <c r="S196" s="17"/>
      <c r="T196" s="17"/>
      <c r="U196" s="112"/>
      <c r="V196" s="23"/>
      <c r="Y196" s="113"/>
      <c r="Z196" s="113"/>
      <c r="AA196" s="124"/>
      <c r="AB196" s="17"/>
    </row>
    <row r="197" spans="13:28">
      <c r="M197" s="17"/>
      <c r="N197" s="17"/>
      <c r="O197" s="17"/>
      <c r="P197" s="17"/>
      <c r="Q197" s="17"/>
      <c r="R197" s="17"/>
      <c r="S197" s="17"/>
      <c r="T197" s="17"/>
      <c r="U197" s="117"/>
      <c r="V197" s="117"/>
      <c r="Y197" s="116"/>
      <c r="Z197" s="116"/>
      <c r="AA197" s="17"/>
      <c r="AB197" s="17"/>
    </row>
    <row r="198" spans="13:28">
      <c r="M198" s="17"/>
      <c r="N198" s="17"/>
      <c r="O198" s="17"/>
      <c r="P198" s="17"/>
      <c r="Q198" s="17"/>
      <c r="R198" s="17"/>
      <c r="S198" s="17"/>
      <c r="T198" s="17"/>
      <c r="U198" s="66"/>
      <c r="V198" s="36"/>
      <c r="Y198" s="67"/>
      <c r="Z198" s="91"/>
      <c r="AA198" s="17"/>
      <c r="AB198" s="17"/>
    </row>
    <row r="199" spans="13:28">
      <c r="M199" s="17"/>
      <c r="N199" s="17"/>
      <c r="O199" s="17"/>
      <c r="P199" s="17"/>
      <c r="Q199" s="17"/>
      <c r="R199" s="17"/>
      <c r="S199" s="17"/>
      <c r="T199" s="17"/>
      <c r="U199" s="109"/>
      <c r="V199" s="109"/>
      <c r="W199" s="125"/>
      <c r="Y199" s="126"/>
      <c r="Z199" s="127"/>
      <c r="AA199" s="17"/>
      <c r="AB199" s="17"/>
    </row>
    <row r="200" spans="13:28" ht="15">
      <c r="M200" s="17"/>
      <c r="N200" s="17"/>
      <c r="O200" s="17"/>
      <c r="P200" s="17"/>
      <c r="Q200" s="17"/>
      <c r="R200" s="17"/>
      <c r="S200" s="17"/>
      <c r="T200" s="17"/>
      <c r="U200" s="104"/>
      <c r="W200" s="71"/>
      <c r="X200" s="47"/>
      <c r="Y200" s="126"/>
      <c r="Z200" s="128"/>
      <c r="AA200" s="17"/>
      <c r="AB200" s="17"/>
    </row>
    <row r="201" spans="13:28" ht="15">
      <c r="M201" s="17"/>
      <c r="N201" s="17"/>
      <c r="O201" s="17"/>
      <c r="P201" s="17"/>
      <c r="Q201" s="17"/>
      <c r="R201" s="17"/>
      <c r="S201" s="17"/>
      <c r="T201" s="17"/>
      <c r="U201" s="33"/>
      <c r="V201" s="109"/>
      <c r="W201" s="109"/>
      <c r="Y201" s="226"/>
      <c r="Z201" s="226"/>
      <c r="AA201" s="17"/>
      <c r="AB201" s="17"/>
    </row>
    <row r="202" spans="13:28">
      <c r="M202" s="17"/>
      <c r="N202" s="17"/>
      <c r="O202" s="17"/>
      <c r="P202" s="17"/>
      <c r="Q202" s="17"/>
      <c r="R202" s="17"/>
      <c r="S202" s="17"/>
      <c r="T202" s="17"/>
      <c r="U202" s="112"/>
      <c r="V202" s="23"/>
      <c r="Y202" s="113"/>
      <c r="Z202" s="113"/>
      <c r="AA202" s="17"/>
      <c r="AB202" s="17"/>
    </row>
    <row r="203" spans="13:28">
      <c r="M203" s="17"/>
      <c r="N203" s="17"/>
      <c r="O203" s="17"/>
      <c r="P203" s="17"/>
      <c r="Q203" s="17"/>
      <c r="R203" s="17"/>
      <c r="S203" s="17"/>
      <c r="T203" s="17"/>
      <c r="U203" s="40"/>
      <c r="V203" s="34"/>
      <c r="Y203" s="113"/>
      <c r="Z203" s="113"/>
      <c r="AA203" s="17"/>
      <c r="AB203" s="17"/>
    </row>
    <row r="204" spans="13:28">
      <c r="M204" s="17"/>
      <c r="N204" s="17"/>
      <c r="O204" s="17"/>
      <c r="P204" s="17"/>
      <c r="Q204" s="17"/>
      <c r="R204" s="17"/>
      <c r="S204" s="17"/>
      <c r="T204" s="17"/>
      <c r="U204" s="12"/>
      <c r="V204" s="13"/>
      <c r="Y204" s="113"/>
      <c r="Z204" s="113"/>
      <c r="AA204" s="17"/>
      <c r="AB204" s="17"/>
    </row>
    <row r="205" spans="13:28">
      <c r="M205" s="17"/>
      <c r="N205" s="17"/>
      <c r="O205" s="17"/>
      <c r="P205" s="17"/>
      <c r="Q205" s="17"/>
      <c r="R205" s="17"/>
      <c r="S205" s="17"/>
      <c r="T205" s="17"/>
      <c r="U205" s="109"/>
      <c r="V205" s="109"/>
      <c r="Y205" s="116"/>
      <c r="Z205" s="116"/>
      <c r="AA205" s="17"/>
      <c r="AB205" s="17"/>
    </row>
    <row r="206" spans="13:28">
      <c r="M206" s="17"/>
      <c r="N206" s="17"/>
      <c r="O206" s="17"/>
      <c r="P206" s="17"/>
      <c r="Q206" s="17"/>
      <c r="R206" s="17"/>
      <c r="S206" s="17"/>
      <c r="T206" s="17"/>
      <c r="U206" s="66"/>
      <c r="V206" s="66"/>
      <c r="W206" s="66"/>
      <c r="Y206" s="35"/>
      <c r="Z206" s="91"/>
      <c r="AA206" s="17"/>
      <c r="AB206" s="17"/>
    </row>
    <row r="207" spans="13:28">
      <c r="M207" s="17"/>
      <c r="N207" s="17"/>
      <c r="O207" s="17"/>
      <c r="P207" s="17"/>
      <c r="Q207" s="17"/>
      <c r="R207" s="17"/>
      <c r="S207" s="17"/>
      <c r="T207" s="17"/>
      <c r="U207" s="117"/>
      <c r="V207" s="117"/>
      <c r="Y207" s="116"/>
      <c r="Z207" s="116"/>
      <c r="AA207" s="17"/>
      <c r="AB207" s="17"/>
    </row>
    <row r="208" spans="13:28">
      <c r="M208" s="17"/>
      <c r="N208" s="17"/>
      <c r="O208" s="17"/>
      <c r="P208" s="17"/>
      <c r="Q208" s="17"/>
      <c r="R208" s="17"/>
      <c r="S208" s="17"/>
      <c r="T208" s="17"/>
      <c r="U208" s="109"/>
      <c r="V208" s="109"/>
      <c r="W208" s="109"/>
      <c r="Y208" s="116"/>
      <c r="Z208" s="129"/>
      <c r="AA208" s="17"/>
      <c r="AB208" s="17"/>
    </row>
    <row r="209" spans="13:28" ht="15">
      <c r="M209" s="17"/>
      <c r="N209" s="17"/>
      <c r="O209" s="17"/>
      <c r="P209" s="17"/>
      <c r="Q209" s="17"/>
      <c r="R209" s="17"/>
      <c r="S209" s="17"/>
      <c r="T209" s="17"/>
      <c r="U209" s="37"/>
      <c r="V209" s="118"/>
      <c r="W209" s="109"/>
      <c r="Y209" s="226"/>
      <c r="Z209" s="226"/>
      <c r="AA209" s="17"/>
      <c r="AB209" s="17"/>
    </row>
    <row r="210" spans="13:28">
      <c r="M210" s="17"/>
      <c r="N210" s="17"/>
      <c r="O210" s="17"/>
      <c r="P210" s="17"/>
      <c r="Q210" s="17"/>
      <c r="R210" s="17"/>
      <c r="S210" s="17"/>
      <c r="T210" s="17"/>
      <c r="U210" s="25"/>
      <c r="V210" s="22"/>
      <c r="Y210" s="113"/>
      <c r="Z210" s="113"/>
      <c r="AA210" s="17"/>
      <c r="AB210" s="17"/>
    </row>
    <row r="211" spans="13:28">
      <c r="M211" s="17"/>
      <c r="N211" s="17"/>
      <c r="O211" s="17"/>
      <c r="P211" s="17"/>
      <c r="Q211" s="17"/>
      <c r="R211" s="17"/>
      <c r="S211" s="17"/>
      <c r="T211" s="17"/>
      <c r="U211" s="25"/>
      <c r="V211" s="22"/>
      <c r="Y211" s="113"/>
      <c r="Z211" s="113"/>
      <c r="AA211" s="17"/>
      <c r="AB211" s="17"/>
    </row>
    <row r="212" spans="13:28">
      <c r="M212" s="17"/>
      <c r="N212" s="17"/>
      <c r="O212" s="17"/>
      <c r="P212" s="17"/>
      <c r="Q212" s="17"/>
      <c r="R212" s="17"/>
      <c r="S212" s="17"/>
      <c r="T212" s="17"/>
      <c r="U212" s="42"/>
      <c r="V212" s="22"/>
      <c r="Y212" s="113"/>
      <c r="Z212" s="113"/>
      <c r="AA212" s="17"/>
      <c r="AB212" s="17"/>
    </row>
    <row r="213" spans="13:28">
      <c r="M213" s="17"/>
      <c r="N213" s="17"/>
      <c r="O213" s="17"/>
      <c r="P213" s="17"/>
      <c r="Q213" s="17"/>
      <c r="R213" s="17"/>
      <c r="S213" s="17"/>
      <c r="T213" s="17"/>
      <c r="U213" s="109"/>
      <c r="V213" s="109"/>
      <c r="Y213" s="116"/>
      <c r="Z213" s="116"/>
      <c r="AA213" s="17"/>
      <c r="AB213" s="17"/>
    </row>
    <row r="214" spans="13:28">
      <c r="M214" s="17"/>
      <c r="N214" s="17"/>
      <c r="O214" s="17"/>
      <c r="P214" s="17"/>
      <c r="Q214" s="17"/>
      <c r="R214" s="17"/>
      <c r="S214" s="17"/>
      <c r="T214" s="17"/>
      <c r="U214" s="66"/>
      <c r="V214" s="66"/>
      <c r="W214" s="66"/>
      <c r="Y214" s="35"/>
      <c r="Z214" s="91"/>
      <c r="AA214" s="17"/>
      <c r="AB214" s="17"/>
    </row>
    <row r="215" spans="13:28">
      <c r="M215" s="17"/>
      <c r="N215" s="17"/>
      <c r="O215" s="17"/>
      <c r="P215" s="17"/>
      <c r="Q215" s="17"/>
      <c r="R215" s="17"/>
      <c r="S215" s="17"/>
      <c r="T215" s="17"/>
      <c r="U215" s="109"/>
      <c r="V215" s="109"/>
      <c r="W215" s="109"/>
      <c r="Y215" s="129"/>
      <c r="Z215" s="130"/>
      <c r="AA215" s="17"/>
      <c r="AB215" s="17"/>
    </row>
    <row r="216" spans="13:28">
      <c r="M216" s="17"/>
      <c r="N216" s="17"/>
      <c r="O216" s="17"/>
      <c r="P216" s="17"/>
      <c r="Q216" s="17"/>
      <c r="R216" s="17"/>
      <c r="S216" s="17"/>
      <c r="T216" s="17"/>
      <c r="AA216" s="17"/>
      <c r="AB216" s="17"/>
    </row>
    <row r="217" spans="13:28" ht="15">
      <c r="M217" s="17"/>
      <c r="N217" s="17"/>
      <c r="O217" s="17"/>
      <c r="P217" s="17"/>
      <c r="Q217" s="17"/>
      <c r="R217" s="17"/>
      <c r="S217" s="17"/>
      <c r="T217" s="17"/>
      <c r="U217" s="37"/>
      <c r="AA217" s="17"/>
      <c r="AB217" s="17"/>
    </row>
    <row r="218" spans="13:28">
      <c r="M218" s="17"/>
      <c r="N218" s="17"/>
      <c r="O218" s="17"/>
      <c r="P218" s="17"/>
      <c r="Q218" s="17"/>
      <c r="R218" s="17"/>
      <c r="S218" s="17"/>
      <c r="T218" s="17"/>
      <c r="U218" s="8"/>
      <c r="V218" s="132"/>
      <c r="Y218" s="113"/>
      <c r="AA218" s="17"/>
      <c r="AB218" s="17"/>
    </row>
    <row r="219" spans="13:28">
      <c r="M219" s="17"/>
      <c r="N219" s="17"/>
      <c r="O219" s="17"/>
      <c r="P219" s="17"/>
      <c r="Q219" s="17"/>
      <c r="R219" s="17"/>
      <c r="S219" s="17"/>
      <c r="T219" s="17"/>
      <c r="U219" s="8"/>
      <c r="V219" s="132"/>
      <c r="Y219" s="113"/>
      <c r="AA219" s="17"/>
      <c r="AB219" s="17"/>
    </row>
    <row r="220" spans="13:28">
      <c r="M220" s="17"/>
      <c r="N220" s="17"/>
      <c r="O220" s="17"/>
      <c r="P220" s="17"/>
      <c r="Q220" s="17"/>
      <c r="R220" s="17"/>
      <c r="S220" s="17"/>
      <c r="T220" s="17"/>
      <c r="U220" s="8"/>
      <c r="V220" s="132"/>
      <c r="Y220" s="31"/>
      <c r="AA220" s="17"/>
      <c r="AB220" s="17"/>
    </row>
    <row r="221" spans="13:28" ht="15">
      <c r="M221" s="17"/>
      <c r="N221" s="17"/>
      <c r="O221" s="17"/>
      <c r="P221" s="17"/>
      <c r="Q221" s="17"/>
      <c r="R221" s="17"/>
      <c r="S221" s="17"/>
      <c r="T221" s="17"/>
      <c r="V221" s="133"/>
      <c r="AA221" s="17"/>
      <c r="AB221" s="17"/>
    </row>
    <row r="222" spans="13:28">
      <c r="M222" s="17"/>
      <c r="N222" s="17"/>
      <c r="O222" s="17"/>
      <c r="P222" s="17"/>
      <c r="Q222" s="17"/>
      <c r="R222" s="17"/>
      <c r="S222" s="17"/>
      <c r="T222" s="17"/>
      <c r="V222" s="132"/>
      <c r="Y222" s="113"/>
      <c r="AA222" s="17"/>
      <c r="AB222" s="17"/>
    </row>
    <row r="223" spans="13:28">
      <c r="M223" s="17"/>
      <c r="N223" s="17"/>
      <c r="O223" s="17"/>
      <c r="P223" s="17"/>
      <c r="Q223" s="17"/>
      <c r="R223" s="17"/>
      <c r="S223" s="17"/>
      <c r="T223" s="17"/>
      <c r="AA223" s="17"/>
      <c r="AB223" s="17"/>
    </row>
    <row r="224" spans="13:28"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7"/>
      <c r="AA224" s="17"/>
      <c r="AB224" s="17"/>
    </row>
    <row r="225" spans="13:28"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7"/>
      <c r="AA225" s="17"/>
      <c r="AB225" s="17"/>
    </row>
  </sheetData>
  <sortState xmlns:xlrd2="http://schemas.microsoft.com/office/spreadsheetml/2017/richdata2" ref="B2:AD94">
    <sortCondition ref="J2:J94"/>
    <sortCondition ref="C2:C94"/>
  </sortState>
  <mergeCells count="3">
    <mergeCell ref="Y162:Z162"/>
    <mergeCell ref="Y201:Z201"/>
    <mergeCell ref="Y209:Z209"/>
  </mergeCells>
  <conditionalFormatting sqref="F128 Z160">
    <cfRule type="cellIs" dxfId="178" priority="2" operator="equal">
      <formula>0</formula>
    </cfRule>
    <cfRule type="cellIs" dxfId="177" priority="3" operator="notEqual">
      <formula>0</formula>
    </cfRule>
  </conditionalFormatting>
  <conditionalFormatting sqref="G112">
    <cfRule type="cellIs" dxfId="176" priority="20" operator="equal">
      <formula>0</formula>
    </cfRule>
    <cfRule type="cellIs" dxfId="175" priority="21" operator="notEqual">
      <formula>0</formula>
    </cfRule>
  </conditionalFormatting>
  <conditionalFormatting sqref="M113 T135:T136 Z136 T149 Z149">
    <cfRule type="cellIs" dxfId="174" priority="18" operator="equal">
      <formula>0</formula>
    </cfRule>
    <cfRule type="cellIs" dxfId="173" priority="19" operator="notEqual">
      <formula>0</formula>
    </cfRule>
  </conditionalFormatting>
  <conditionalFormatting sqref="T147">
    <cfRule type="cellIs" dxfId="172" priority="15" operator="equal">
      <formula>0</formula>
    </cfRule>
    <cfRule type="cellIs" dxfId="171" priority="16" operator="notEqual">
      <formula>0</formula>
    </cfRule>
  </conditionalFormatting>
  <conditionalFormatting sqref="U154">
    <cfRule type="duplicateValues" dxfId="170" priority="1" stopIfTrue="1"/>
  </conditionalFormatting>
  <conditionalFormatting sqref="U158:U161 U151:U152 U223 V218:V222 U200:U217">
    <cfRule type="duplicateValues" dxfId="169" priority="46" stopIfTrue="1"/>
  </conditionalFormatting>
  <conditionalFormatting sqref="U162:U199">
    <cfRule type="duplicateValues" dxfId="168" priority="8" stopIfTrue="1"/>
  </conditionalFormatting>
  <conditionalFormatting sqref="Z198:Z199">
    <cfRule type="cellIs" dxfId="167" priority="4" operator="equal">
      <formula>0</formula>
    </cfRule>
    <cfRule type="cellIs" dxfId="166" priority="5" operator="notEqual">
      <formula>0</formula>
    </cfRule>
  </conditionalFormatting>
  <conditionalFormatting sqref="Z206">
    <cfRule type="cellIs" dxfId="165" priority="11" operator="equal">
      <formula>0</formula>
    </cfRule>
    <cfRule type="cellIs" dxfId="164" priority="12" operator="notEqual">
      <formula>0</formula>
    </cfRule>
  </conditionalFormatting>
  <conditionalFormatting sqref="Z214">
    <cfRule type="cellIs" dxfId="163" priority="9" operator="equal">
      <formula>0</formula>
    </cfRule>
    <cfRule type="cellIs" dxfId="162" priority="10" operator="notEqual">
      <formula>0</formula>
    </cfRule>
  </conditionalFormatting>
  <conditionalFormatting sqref="AA190">
    <cfRule type="cellIs" dxfId="161" priority="6" operator="equal">
      <formula>0</formula>
    </cfRule>
    <cfRule type="cellIs" dxfId="160" priority="7" operator="notEqual">
      <formula>0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70C51-9B66-4B13-98BC-94A56226ACCF}">
  <sheetPr codeName="Hoja10"/>
  <dimension ref="B1:AF218"/>
  <sheetViews>
    <sheetView zoomScale="80" zoomScaleNormal="80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ColWidth="11.5703125" defaultRowHeight="12.75"/>
  <cols>
    <col min="3" max="3" width="75" bestFit="1" customWidth="1"/>
    <col min="4" max="4" width="9.140625" customWidth="1"/>
    <col min="5" max="5" width="15.28515625" style="79" bestFit="1" customWidth="1"/>
    <col min="6" max="6" width="16" style="79" bestFit="1" customWidth="1"/>
    <col min="7" max="7" width="15.85546875" bestFit="1" customWidth="1"/>
    <col min="10" max="10" width="21.85546875" customWidth="1"/>
    <col min="11" max="11" width="25.140625" customWidth="1"/>
    <col min="12" max="12" width="12.42578125" customWidth="1"/>
    <col min="13" max="13" width="15.5703125" bestFit="1" customWidth="1"/>
    <col min="14" max="14" width="10.85546875" bestFit="1" customWidth="1"/>
    <col min="15" max="15" width="14.85546875" bestFit="1" customWidth="1"/>
    <col min="16" max="16" width="11.85546875" bestFit="1" customWidth="1"/>
    <col min="17" max="17" width="17.85546875" bestFit="1" customWidth="1"/>
    <col min="18" max="18" width="18.7109375" bestFit="1" customWidth="1"/>
    <col min="19" max="19" width="14.85546875" bestFit="1" customWidth="1"/>
    <col min="20" max="20" width="19.42578125" bestFit="1" customWidth="1"/>
    <col min="21" max="21" width="15.5703125" bestFit="1" customWidth="1"/>
    <col min="22" max="22" width="11.85546875" bestFit="1" customWidth="1"/>
    <col min="23" max="23" width="15.7109375" bestFit="1" customWidth="1"/>
    <col min="24" max="24" width="12.28515625" bestFit="1" customWidth="1"/>
    <col min="25" max="25" width="14" customWidth="1"/>
    <col min="26" max="26" width="13.28515625" customWidth="1"/>
    <col min="27" max="27" width="11" bestFit="1" customWidth="1"/>
    <col min="28" max="28" width="11.7109375" bestFit="1" customWidth="1"/>
    <col min="29" max="29" width="11" bestFit="1" customWidth="1"/>
    <col min="30" max="30" width="9.85546875" bestFit="1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G2" s="56"/>
      <c r="I2" s="70"/>
      <c r="J2" s="17"/>
      <c r="K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</row>
    <row r="3" spans="2:32">
      <c r="G3" s="56"/>
      <c r="I3" s="70"/>
      <c r="J3" s="17"/>
      <c r="K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</row>
    <row r="4" spans="2:32">
      <c r="G4" s="56"/>
      <c r="I4" s="70"/>
      <c r="J4" s="17"/>
      <c r="K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</row>
    <row r="5" spans="2:32">
      <c r="G5" s="56"/>
      <c r="I5" s="70"/>
      <c r="J5" s="17"/>
      <c r="K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6" spans="2:32">
      <c r="G6" s="56"/>
      <c r="I6" s="70"/>
      <c r="J6" s="17"/>
      <c r="K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</row>
    <row r="7" spans="2:32">
      <c r="G7" s="56"/>
      <c r="I7" s="70"/>
      <c r="J7" s="17"/>
      <c r="K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</row>
    <row r="8" spans="2:32">
      <c r="G8" s="56"/>
      <c r="I8" s="70"/>
      <c r="J8" s="17"/>
      <c r="K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</row>
    <row r="9" spans="2:32">
      <c r="G9" s="56"/>
      <c r="I9" s="70"/>
      <c r="J9" s="17"/>
      <c r="K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</row>
    <row r="10" spans="2:32">
      <c r="G10" s="56"/>
      <c r="I10" s="70"/>
      <c r="J10" s="17"/>
      <c r="K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</row>
    <row r="11" spans="2:32">
      <c r="G11" s="56"/>
      <c r="I11" s="70"/>
      <c r="J11" s="17"/>
      <c r="K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</row>
    <row r="12" spans="2:32">
      <c r="G12" s="56"/>
      <c r="I12" s="70"/>
      <c r="J12" s="17"/>
      <c r="K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</row>
    <row r="13" spans="2:32">
      <c r="G13" s="56"/>
      <c r="I13" s="70"/>
      <c r="J13" s="17"/>
      <c r="K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</row>
    <row r="14" spans="2:32">
      <c r="G14" s="56"/>
      <c r="I14" s="70"/>
      <c r="J14" s="17"/>
      <c r="K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</row>
    <row r="15" spans="2:32">
      <c r="G15" s="56"/>
      <c r="I15" s="70"/>
      <c r="J15" s="17"/>
      <c r="K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</row>
    <row r="16" spans="2:32">
      <c r="G16" s="56"/>
      <c r="I16" s="70"/>
      <c r="J16" s="17"/>
      <c r="K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</row>
    <row r="17" spans="7:30">
      <c r="G17" s="56"/>
      <c r="I17" s="70"/>
      <c r="J17" s="17"/>
      <c r="K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</row>
    <row r="18" spans="7:30">
      <c r="G18" s="56"/>
      <c r="I18" s="70"/>
      <c r="J18" s="17"/>
      <c r="K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</row>
    <row r="19" spans="7:30">
      <c r="G19" s="56"/>
      <c r="I19" s="70"/>
      <c r="J19" s="17"/>
      <c r="K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</row>
    <row r="20" spans="7:30">
      <c r="G20" s="56"/>
      <c r="I20" s="70"/>
      <c r="J20" s="17"/>
      <c r="K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</row>
    <row r="21" spans="7:30">
      <c r="G21" s="56"/>
      <c r="I21" s="70"/>
      <c r="J21" s="17"/>
      <c r="K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</row>
    <row r="22" spans="7:30">
      <c r="G22" s="56"/>
      <c r="I22" s="70"/>
      <c r="J22" s="17"/>
      <c r="K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</row>
    <row r="23" spans="7:30">
      <c r="G23" s="56"/>
      <c r="I23" s="70"/>
      <c r="J23" s="17"/>
      <c r="K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7:30">
      <c r="G24" s="56"/>
      <c r="I24" s="70"/>
      <c r="J24" s="17"/>
      <c r="K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</row>
    <row r="25" spans="7:30">
      <c r="G25" s="56"/>
      <c r="I25" s="70"/>
      <c r="J25" s="17"/>
      <c r="K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</row>
    <row r="26" spans="7:30">
      <c r="G26" s="56"/>
      <c r="I26" s="70"/>
      <c r="J26" s="17"/>
      <c r="K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</row>
    <row r="27" spans="7:30">
      <c r="G27" s="56"/>
      <c r="I27" s="70"/>
      <c r="J27" s="17"/>
      <c r="K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7:30">
      <c r="G28" s="56"/>
      <c r="I28" s="70"/>
      <c r="J28" s="17"/>
      <c r="K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7:30">
      <c r="G29" s="56"/>
      <c r="I29" s="70"/>
      <c r="J29" s="17"/>
      <c r="K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7:30">
      <c r="G30" s="56"/>
      <c r="I30" s="70"/>
      <c r="J30" s="17"/>
      <c r="K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</row>
    <row r="31" spans="7:30">
      <c r="G31" s="56"/>
      <c r="I31" s="70"/>
      <c r="J31" s="17"/>
      <c r="K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</row>
    <row r="32" spans="7:30">
      <c r="G32" s="56"/>
      <c r="I32" s="70"/>
      <c r="J32" s="17"/>
      <c r="K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2:30">
      <c r="G33" s="56"/>
      <c r="I33" s="70"/>
      <c r="J33" s="17"/>
      <c r="K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2:30">
      <c r="G34" s="56"/>
      <c r="I34" s="70"/>
      <c r="J34" s="17"/>
      <c r="K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</row>
    <row r="35" spans="2:30">
      <c r="G35" s="56"/>
      <c r="I35" s="70"/>
      <c r="J35" s="17"/>
      <c r="K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2:30">
      <c r="G36" s="56"/>
      <c r="I36" s="70"/>
      <c r="J36" s="17"/>
      <c r="K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2:30">
      <c r="G37" s="56"/>
      <c r="I37" s="70"/>
      <c r="J37" s="17"/>
      <c r="K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2:30">
      <c r="G38" s="56"/>
      <c r="I38" s="70"/>
      <c r="J38" s="17"/>
      <c r="K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2:30">
      <c r="G39" s="56"/>
      <c r="I39" s="70"/>
      <c r="J39" s="17"/>
      <c r="K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2:30" ht="13.9" customHeight="1">
      <c r="G40" s="56"/>
      <c r="I40" s="70"/>
      <c r="J40" s="17"/>
      <c r="K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2:30" ht="13.15" customHeight="1">
      <c r="B41" s="74"/>
      <c r="C41" s="75"/>
      <c r="D41" s="74"/>
      <c r="E41" s="56"/>
      <c r="F41" s="56"/>
      <c r="G41" s="56"/>
      <c r="H41" s="76"/>
      <c r="I41" s="70"/>
      <c r="J41" s="17"/>
      <c r="K41" s="17"/>
      <c r="L41" s="29"/>
      <c r="M41" s="77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2:30">
      <c r="G42" s="56"/>
      <c r="I42" s="70"/>
      <c r="J42" s="17"/>
      <c r="K42" s="142"/>
      <c r="M42" s="7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2:30">
      <c r="G43" s="56"/>
      <c r="I43" s="70"/>
      <c r="J43" s="17"/>
      <c r="K43" s="142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2:30">
      <c r="G44" s="56"/>
      <c r="I44" s="70"/>
      <c r="J44" s="17"/>
      <c r="K44" s="140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2:30">
      <c r="G45" s="56"/>
      <c r="I45" s="70"/>
      <c r="J45" s="17"/>
      <c r="K45" s="140"/>
      <c r="M45" s="71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2:30">
      <c r="G46" s="56"/>
      <c r="I46" s="70"/>
      <c r="J46" s="17"/>
      <c r="K46" s="140"/>
      <c r="M46" s="71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2:30">
      <c r="G47" s="56"/>
      <c r="I47" s="70"/>
      <c r="J47" s="17"/>
      <c r="K47" s="140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2:30">
      <c r="G48" s="56"/>
      <c r="I48" s="70"/>
      <c r="J48" s="17"/>
      <c r="K48" s="140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7:30">
      <c r="G49" s="56"/>
      <c r="I49" s="70"/>
      <c r="J49" s="17"/>
      <c r="K49" s="140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7:30">
      <c r="G50" s="56"/>
      <c r="I50" s="70"/>
      <c r="J50" s="17"/>
      <c r="K50" s="140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7:30">
      <c r="G51" s="56"/>
      <c r="I51" s="70"/>
      <c r="J51" s="17"/>
      <c r="K51" s="140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7:30">
      <c r="G52" s="56"/>
      <c r="I52" s="70"/>
      <c r="J52" s="17"/>
      <c r="K52" s="140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7:30">
      <c r="G53" s="56"/>
      <c r="I53" s="70"/>
      <c r="J53" s="17"/>
      <c r="K53" s="140"/>
      <c r="M53" s="7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7:30">
      <c r="G54" s="56"/>
      <c r="I54" s="70"/>
      <c r="J54" s="17"/>
      <c r="K54" s="140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7:30">
      <c r="G55" s="56"/>
      <c r="I55" s="70"/>
      <c r="J55" s="17"/>
      <c r="K55" s="140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7:30">
      <c r="G56" s="56"/>
      <c r="I56" s="70"/>
      <c r="J56" s="17"/>
      <c r="K56" s="140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7:30">
      <c r="G57" s="56"/>
      <c r="I57" s="70"/>
      <c r="J57" s="17"/>
      <c r="K57" s="140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7:30">
      <c r="G58" s="56"/>
      <c r="I58" s="70"/>
      <c r="J58" s="17"/>
      <c r="K58" s="140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7:30">
      <c r="G59" s="56"/>
      <c r="I59" s="70"/>
      <c r="J59" s="17"/>
      <c r="K59" s="140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7:30">
      <c r="G60" s="56"/>
      <c r="I60" s="70"/>
      <c r="J60" s="17"/>
      <c r="K60" s="142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7:30">
      <c r="G61" s="56"/>
      <c r="I61" s="70"/>
      <c r="J61" s="17"/>
      <c r="K61" s="142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7:30">
      <c r="G62" s="56"/>
      <c r="I62" s="70"/>
      <c r="J62" s="17"/>
      <c r="K62" s="140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7:30">
      <c r="G63" s="56"/>
      <c r="I63" s="70"/>
      <c r="J63" s="17"/>
      <c r="K63" s="140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7:30">
      <c r="G64" s="56"/>
      <c r="I64" s="70"/>
      <c r="J64" s="17"/>
      <c r="K64" s="140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7:30">
      <c r="G65" s="56"/>
      <c r="I65" s="70"/>
      <c r="J65" s="17"/>
      <c r="K65" s="140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7:30">
      <c r="G66" s="56"/>
      <c r="I66" s="70"/>
      <c r="J66" s="17"/>
      <c r="K66" s="140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7:30">
      <c r="G67" s="56"/>
      <c r="I67" s="70"/>
      <c r="J67" s="17"/>
      <c r="K67" s="140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7:30">
      <c r="G68" s="56"/>
      <c r="I68" s="70"/>
      <c r="J68" s="17"/>
      <c r="K68" s="140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  <row r="69" spans="7:30">
      <c r="G69" s="56"/>
      <c r="I69" s="70"/>
      <c r="J69" s="17"/>
      <c r="K69" s="140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</row>
    <row r="70" spans="7:30">
      <c r="G70" s="56"/>
      <c r="I70" s="70"/>
      <c r="J70" s="17"/>
      <c r="K70" s="140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</row>
    <row r="71" spans="7:30">
      <c r="G71" s="56"/>
      <c r="I71" s="70"/>
      <c r="J71" s="17"/>
      <c r="K71" s="140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</row>
    <row r="72" spans="7:30">
      <c r="G72" s="56"/>
      <c r="I72" s="143"/>
      <c r="J72" s="17"/>
      <c r="K72" s="140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</row>
    <row r="73" spans="7:30">
      <c r="G73" s="56"/>
      <c r="I73" s="70"/>
      <c r="J73" s="17"/>
      <c r="K73" s="140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</row>
    <row r="74" spans="7:30">
      <c r="G74" s="56"/>
      <c r="I74" s="70"/>
      <c r="J74" s="17"/>
      <c r="K74" s="140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</row>
    <row r="75" spans="7:30">
      <c r="G75" s="56"/>
      <c r="I75" s="70"/>
      <c r="J75" s="17"/>
      <c r="K75" s="140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</row>
    <row r="76" spans="7:30">
      <c r="G76" s="56"/>
      <c r="I76" s="70"/>
      <c r="J76" s="17"/>
      <c r="K76" s="140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</row>
    <row r="77" spans="7:30">
      <c r="G77" s="56"/>
      <c r="I77" s="70"/>
      <c r="J77" s="17"/>
      <c r="K77" s="140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7:30">
      <c r="G78" s="56"/>
      <c r="I78" s="70"/>
      <c r="J78" s="17"/>
      <c r="K78" s="140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</row>
    <row r="79" spans="7:30">
      <c r="G79" s="56"/>
      <c r="I79" s="70"/>
      <c r="J79" s="17"/>
      <c r="K79" s="140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</row>
    <row r="80" spans="7:30">
      <c r="G80" s="56"/>
      <c r="I80" s="70"/>
      <c r="J80" s="17"/>
      <c r="K80" s="140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</row>
    <row r="81" spans="2:31">
      <c r="G81" s="56"/>
      <c r="I81" s="70"/>
      <c r="J81" s="17"/>
      <c r="K81" s="140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</row>
    <row r="82" spans="2:31">
      <c r="G82" s="56"/>
      <c r="I82" s="70"/>
      <c r="J82" s="17"/>
      <c r="K82" s="140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</row>
    <row r="83" spans="2:31">
      <c r="G83" s="56"/>
      <c r="I83" s="70"/>
      <c r="J83" s="17"/>
      <c r="K83" s="140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</row>
    <row r="84" spans="2:31">
      <c r="G84" s="56"/>
      <c r="I84" s="70"/>
      <c r="J84" s="17"/>
      <c r="K84" s="140"/>
      <c r="M84" s="7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2:31">
      <c r="G85" s="56"/>
      <c r="I85" s="70"/>
      <c r="J85" s="17"/>
      <c r="K85" s="140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</row>
    <row r="86" spans="2:31">
      <c r="G86" s="56"/>
      <c r="I86" s="70"/>
      <c r="J86" s="17"/>
      <c r="K86" s="140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</row>
    <row r="87" spans="2:31">
      <c r="G87" s="56"/>
      <c r="I87" s="70"/>
      <c r="J87" s="17"/>
      <c r="K87" s="140"/>
      <c r="M87" s="7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</row>
    <row r="88" spans="2:31">
      <c r="G88" s="56"/>
      <c r="I88" s="70"/>
      <c r="J88" s="17"/>
      <c r="K88" s="140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</row>
    <row r="89" spans="2:31">
      <c r="G89" s="56"/>
      <c r="I89" s="12"/>
      <c r="J89" s="17"/>
      <c r="K89" s="140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</row>
    <row r="90" spans="2:31">
      <c r="G90" s="56"/>
      <c r="I90" s="12"/>
      <c r="J90" s="17"/>
      <c r="K90" s="140"/>
      <c r="M90" s="71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2:31">
      <c r="G91" s="56"/>
      <c r="I91" s="12"/>
      <c r="J91" s="17"/>
      <c r="K91" s="140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</row>
    <row r="92" spans="2:31">
      <c r="G92" s="56"/>
      <c r="I92" s="12"/>
      <c r="J92" s="17"/>
      <c r="K92" s="140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</row>
    <row r="93" spans="2:31">
      <c r="G93" s="56"/>
      <c r="I93" s="70"/>
      <c r="J93" s="17"/>
      <c r="K93" s="142"/>
      <c r="M93" s="71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</row>
    <row r="94" spans="2:31" ht="13.9" customHeight="1">
      <c r="G94" s="56"/>
      <c r="I94" s="70"/>
      <c r="J94" s="17"/>
      <c r="K94" s="142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</row>
    <row r="95" spans="2:31" ht="12.6" customHeight="1">
      <c r="B95" s="74"/>
      <c r="C95" s="75"/>
      <c r="D95" s="74"/>
      <c r="E95" s="56"/>
      <c r="F95" s="56"/>
      <c r="G95" s="56"/>
      <c r="H95" s="76"/>
      <c r="I95" s="70"/>
      <c r="J95" s="17"/>
      <c r="K95" s="17"/>
      <c r="L95" s="29"/>
      <c r="M95" s="77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</row>
    <row r="96" spans="2:31">
      <c r="G96" s="56"/>
      <c r="I96" s="70"/>
      <c r="J96" s="17"/>
      <c r="K96" s="140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</row>
    <row r="97" spans="2:30">
      <c r="G97" s="56"/>
      <c r="I97" s="70"/>
      <c r="J97" s="17"/>
      <c r="K97" s="140"/>
      <c r="M97" s="7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2:30" ht="13.15" customHeight="1">
      <c r="B98" s="74"/>
      <c r="C98" s="75"/>
      <c r="D98" s="74"/>
      <c r="E98" s="56"/>
      <c r="F98" s="56"/>
      <c r="G98" s="56"/>
      <c r="H98" s="76"/>
      <c r="I98" s="70"/>
      <c r="J98" s="17"/>
      <c r="K98" s="17"/>
      <c r="L98" s="29"/>
      <c r="M98" s="77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2:30">
      <c r="G99" s="56"/>
      <c r="I99" s="70"/>
      <c r="J99" s="17"/>
      <c r="K99" s="17"/>
      <c r="M99" s="71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</row>
    <row r="100" spans="2:30">
      <c r="G100" s="56"/>
      <c r="I100" s="70"/>
      <c r="J100" s="17"/>
      <c r="K100" s="17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</row>
    <row r="101" spans="2:30">
      <c r="G101" s="56"/>
      <c r="I101" s="70"/>
      <c r="J101" s="17"/>
      <c r="K101" s="17"/>
      <c r="M101" s="7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2:30">
      <c r="G102" s="56"/>
      <c r="I102" s="70"/>
      <c r="J102" s="17"/>
      <c r="K102" s="17"/>
      <c r="M102" s="7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</row>
    <row r="103" spans="2:30">
      <c r="G103" s="56"/>
      <c r="I103" s="70"/>
      <c r="J103" s="17"/>
      <c r="K103" s="17"/>
      <c r="M103" s="7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</row>
    <row r="104" spans="2:30">
      <c r="G104" s="56"/>
      <c r="I104" s="70"/>
      <c r="J104" s="17"/>
      <c r="K104" s="17"/>
      <c r="M104" s="71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</row>
    <row r="105" spans="2:30" ht="13.15" customHeight="1">
      <c r="B105" s="74"/>
      <c r="C105" s="75"/>
      <c r="D105" s="74"/>
      <c r="E105" s="56"/>
      <c r="F105" s="56"/>
      <c r="G105" s="56"/>
      <c r="H105" s="76"/>
      <c r="I105" s="70"/>
      <c r="J105" s="17"/>
      <c r="K105" s="17"/>
      <c r="L105" s="29"/>
      <c r="M105" s="77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</row>
    <row r="106" spans="2:30" ht="15.75">
      <c r="B106" s="78"/>
      <c r="C106" s="17"/>
      <c r="D106" s="17"/>
      <c r="E106" s="36"/>
      <c r="F106" s="36"/>
      <c r="G106" s="79"/>
      <c r="M106" s="80"/>
      <c r="N106" s="144"/>
      <c r="O106" s="144"/>
      <c r="P106" s="144"/>
      <c r="Q106" s="144"/>
      <c r="R106" s="144"/>
      <c r="S106" s="144"/>
      <c r="T106" s="144"/>
      <c r="U106" s="144"/>
      <c r="V106" s="144"/>
      <c r="W106" s="144"/>
      <c r="X106" s="144"/>
      <c r="Y106" s="144"/>
      <c r="Z106" s="144"/>
      <c r="AA106" s="144"/>
      <c r="AB106" s="144"/>
      <c r="AC106" s="144"/>
      <c r="AD106" s="144"/>
    </row>
    <row r="107" spans="2:30">
      <c r="M107" s="36"/>
    </row>
    <row r="108" spans="2:30" ht="15">
      <c r="B108" s="2"/>
      <c r="D108" s="2"/>
      <c r="E108" s="81"/>
      <c r="F108" s="81"/>
      <c r="M108" s="82"/>
      <c r="N108" s="14"/>
      <c r="O108" s="14"/>
      <c r="P108" s="14"/>
      <c r="Q108" s="14"/>
      <c r="R108" s="14"/>
      <c r="S108" s="83"/>
      <c r="T108" s="83"/>
      <c r="U108" s="83"/>
      <c r="V108" s="83"/>
      <c r="W108" s="83"/>
      <c r="X108" s="83"/>
      <c r="Y108" s="83"/>
      <c r="Z108" s="83"/>
      <c r="AA108" s="83"/>
    </row>
    <row r="109" spans="2:30">
      <c r="B109" s="15"/>
      <c r="C109" s="17"/>
      <c r="D109" s="17"/>
      <c r="E109" s="84"/>
      <c r="F109" s="84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</row>
    <row r="110" spans="2:30">
      <c r="B110" s="15"/>
      <c r="C110" s="17"/>
      <c r="D110" s="17"/>
      <c r="E110" s="84"/>
      <c r="F110" s="84"/>
      <c r="M110" s="36"/>
      <c r="N110" s="85"/>
      <c r="O110" s="36"/>
      <c r="P110" s="36"/>
      <c r="Q110" s="85"/>
      <c r="R110" s="36"/>
      <c r="S110" s="36"/>
      <c r="T110" s="85"/>
      <c r="U110" s="36"/>
      <c r="V110" s="36"/>
      <c r="W110" s="36"/>
      <c r="X110" s="36"/>
      <c r="Y110" s="36"/>
      <c r="Z110" s="36"/>
      <c r="AA110" s="36"/>
      <c r="AB110" s="86"/>
    </row>
    <row r="111" spans="2:30">
      <c r="B111" s="15"/>
      <c r="C111" s="17"/>
      <c r="D111" s="17"/>
      <c r="E111" s="84"/>
      <c r="F111" s="84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  <c r="AA111" s="87"/>
    </row>
    <row r="112" spans="2:30">
      <c r="B112" s="15"/>
      <c r="C112" s="17"/>
      <c r="D112" s="17"/>
      <c r="E112" s="84"/>
      <c r="F112" s="84"/>
      <c r="M112" s="88"/>
      <c r="N112" s="88"/>
      <c r="O112" s="87"/>
      <c r="P112" s="87"/>
      <c r="Q112" s="87"/>
      <c r="R112" s="87"/>
      <c r="S112" s="87"/>
      <c r="T112" s="87"/>
      <c r="U112" s="87"/>
      <c r="V112" s="87"/>
      <c r="W112" s="89"/>
      <c r="X112" s="87"/>
      <c r="Y112" s="87"/>
      <c r="Z112" s="87"/>
      <c r="AA112" s="87"/>
      <c r="AB112" s="87"/>
    </row>
    <row r="113" spans="2:28">
      <c r="B113" s="15"/>
      <c r="C113" s="17"/>
      <c r="D113" s="17"/>
      <c r="E113" s="84"/>
      <c r="F113" s="84"/>
      <c r="M113" s="88"/>
      <c r="N113" s="88"/>
      <c r="O113" s="87"/>
      <c r="P113" s="87"/>
      <c r="Q113" s="87"/>
      <c r="R113" s="87"/>
      <c r="S113" s="87"/>
      <c r="T113" s="87"/>
      <c r="U113" s="87"/>
      <c r="V113" s="87"/>
      <c r="W113" s="89"/>
      <c r="X113" s="87"/>
      <c r="Y113" s="87"/>
      <c r="Z113" s="87"/>
      <c r="AA113" s="87"/>
      <c r="AB113" s="87"/>
    </row>
    <row r="114" spans="2:28">
      <c r="B114" s="15"/>
      <c r="C114" s="17"/>
      <c r="D114" s="17"/>
      <c r="E114" s="84"/>
      <c r="F114" s="84"/>
      <c r="M114" s="88"/>
      <c r="N114" s="88"/>
      <c r="O114" s="88"/>
      <c r="P114" s="88"/>
      <c r="Q114" s="88"/>
      <c r="R114" s="88"/>
      <c r="S114" s="88"/>
      <c r="T114" s="88"/>
      <c r="U114" s="88"/>
      <c r="Y114" s="87"/>
      <c r="Z114" s="88"/>
      <c r="AA114" s="88"/>
      <c r="AB114" s="88"/>
    </row>
    <row r="115" spans="2:28" ht="15">
      <c r="B115" s="15"/>
      <c r="C115" s="17"/>
      <c r="D115" s="17"/>
      <c r="E115" s="84"/>
      <c r="F115" s="84"/>
      <c r="M115" s="82"/>
      <c r="N115" s="14"/>
      <c r="O115" s="14"/>
      <c r="P115" s="14"/>
      <c r="Q115" s="14"/>
      <c r="R115" s="14"/>
      <c r="S115" s="14"/>
      <c r="T115" s="88"/>
      <c r="U115" s="88"/>
      <c r="Y115" s="87"/>
      <c r="Z115" s="88"/>
      <c r="AA115" s="88"/>
      <c r="AB115" s="88"/>
    </row>
    <row r="116" spans="2:28">
      <c r="B116" s="15"/>
      <c r="C116" s="17"/>
      <c r="D116" s="17"/>
      <c r="E116" s="84"/>
      <c r="F116" s="84"/>
      <c r="M116" s="88"/>
      <c r="N116" s="88"/>
      <c r="O116" s="88"/>
      <c r="P116" s="88"/>
      <c r="Q116" s="88"/>
      <c r="R116" s="88"/>
      <c r="S116" s="88"/>
      <c r="T116" s="88"/>
      <c r="U116" s="88"/>
      <c r="Y116" s="87"/>
    </row>
    <row r="117" spans="2:28" ht="15">
      <c r="B117" s="15"/>
      <c r="C117" s="17"/>
      <c r="D117" s="17"/>
      <c r="E117" s="84"/>
      <c r="F117" s="84"/>
      <c r="M117" s="14"/>
      <c r="N117" s="90"/>
      <c r="O117" s="14"/>
      <c r="P117" s="14"/>
      <c r="Q117" s="91"/>
      <c r="R117" s="91"/>
      <c r="S117" s="14"/>
      <c r="T117" s="14"/>
      <c r="U117" s="82"/>
      <c r="Y117" s="87"/>
      <c r="Z117" s="92"/>
      <c r="AA117" s="92"/>
      <c r="AB117" s="14"/>
    </row>
    <row r="118" spans="2:28" ht="15">
      <c r="B118" s="15"/>
      <c r="C118" s="17"/>
      <c r="D118" s="17"/>
      <c r="E118" s="84"/>
      <c r="F118" s="84"/>
      <c r="M118" s="14"/>
      <c r="N118" s="93"/>
      <c r="O118" s="94"/>
      <c r="P118" s="95"/>
      <c r="Q118" s="91"/>
      <c r="R118" s="91"/>
      <c r="S118" s="14"/>
      <c r="T118" s="14"/>
      <c r="U118" s="82"/>
      <c r="V118" s="14"/>
      <c r="W118" s="14"/>
      <c r="X118" s="14"/>
      <c r="Y118" s="14"/>
      <c r="Z118" s="92"/>
      <c r="AA118" s="92"/>
      <c r="AB118" s="14"/>
    </row>
    <row r="119" spans="2:28" ht="15">
      <c r="B119" s="15"/>
      <c r="C119" s="17"/>
      <c r="D119" s="17"/>
      <c r="E119" s="84"/>
      <c r="F119" s="84"/>
      <c r="M119" s="14"/>
      <c r="N119" s="94"/>
      <c r="O119" s="96"/>
      <c r="P119" s="14"/>
      <c r="Q119" s="91"/>
      <c r="R119" s="91"/>
      <c r="S119" s="14"/>
      <c r="T119" s="14"/>
      <c r="U119" s="82"/>
      <c r="V119" s="14"/>
      <c r="W119" s="14"/>
      <c r="X119" s="14"/>
      <c r="Y119" s="14"/>
      <c r="Z119" s="92"/>
      <c r="AA119" s="92"/>
      <c r="AB119" s="14"/>
    </row>
    <row r="120" spans="2:28">
      <c r="B120" s="15"/>
      <c r="C120" s="17"/>
      <c r="D120" s="17"/>
      <c r="E120" s="84"/>
      <c r="F120" s="84"/>
      <c r="M120" s="43"/>
      <c r="N120" s="43"/>
      <c r="O120" s="43"/>
      <c r="P120" s="43"/>
      <c r="Q120" s="43"/>
      <c r="R120" s="43"/>
      <c r="S120" s="43"/>
      <c r="T120" s="14"/>
      <c r="U120" s="14"/>
      <c r="V120" s="14"/>
      <c r="W120" s="14"/>
      <c r="X120" s="14"/>
      <c r="Y120" s="97"/>
      <c r="Z120" s="97"/>
      <c r="AA120" s="97"/>
      <c r="AB120" s="14"/>
    </row>
    <row r="121" spans="2:28">
      <c r="B121" s="15"/>
      <c r="C121" s="17"/>
      <c r="D121" s="17"/>
      <c r="E121" s="84"/>
      <c r="F121" s="84"/>
      <c r="M121" s="98"/>
      <c r="N121" s="14"/>
      <c r="O121" s="99"/>
      <c r="P121" s="90"/>
      <c r="Q121" s="100"/>
      <c r="R121" s="100"/>
      <c r="S121" s="90"/>
      <c r="T121" s="14"/>
      <c r="U121" s="98"/>
      <c r="V121" s="14"/>
      <c r="W121" s="14"/>
      <c r="X121" s="99"/>
      <c r="Y121" s="90"/>
      <c r="Z121" s="90"/>
      <c r="AA121" s="90"/>
      <c r="AB121" s="14"/>
    </row>
    <row r="122" spans="2:28">
      <c r="B122" s="17"/>
      <c r="C122" s="17"/>
      <c r="D122" s="17"/>
      <c r="E122" s="84"/>
      <c r="F122" s="102"/>
      <c r="M122" s="14"/>
      <c r="N122" s="14"/>
      <c r="O122" s="14"/>
      <c r="P122" s="90"/>
      <c r="Q122" s="101"/>
      <c r="R122" s="101"/>
      <c r="S122" s="90"/>
      <c r="T122" s="14"/>
      <c r="U122" s="98"/>
      <c r="V122" s="14"/>
      <c r="W122" s="14"/>
      <c r="X122" s="14"/>
      <c r="Y122" s="90"/>
      <c r="Z122" s="90"/>
      <c r="AA122" s="90"/>
      <c r="AB122" s="14"/>
    </row>
    <row r="123" spans="2:28">
      <c r="M123" s="88"/>
      <c r="N123" s="88"/>
      <c r="O123" s="14"/>
      <c r="P123" s="90"/>
      <c r="Q123" s="101"/>
      <c r="R123" s="101"/>
      <c r="S123" s="90"/>
      <c r="T123" s="14"/>
      <c r="U123" s="98"/>
      <c r="V123" s="14"/>
      <c r="W123" s="14"/>
      <c r="X123" s="14"/>
      <c r="Y123" s="90"/>
      <c r="Z123" s="90"/>
      <c r="AA123" s="90"/>
      <c r="AB123" s="14"/>
    </row>
    <row r="124" spans="2:28">
      <c r="M124" s="29"/>
      <c r="N124" s="14"/>
      <c r="O124" s="14"/>
      <c r="P124" s="14"/>
      <c r="Q124" s="14"/>
      <c r="R124" s="14"/>
      <c r="S124" s="90"/>
      <c r="T124" s="14"/>
      <c r="U124" s="98"/>
      <c r="V124" s="14"/>
      <c r="W124" s="14"/>
      <c r="X124" s="14"/>
      <c r="Y124" s="90"/>
      <c r="Z124" s="90"/>
      <c r="AA124" s="90"/>
      <c r="AB124" s="14"/>
    </row>
    <row r="125" spans="2:28">
      <c r="M125" s="14"/>
      <c r="N125" s="14"/>
      <c r="O125" s="14"/>
      <c r="P125" s="14"/>
      <c r="Q125" s="101"/>
      <c r="R125" s="101"/>
      <c r="S125" s="90"/>
      <c r="T125" s="14"/>
      <c r="U125" s="98"/>
      <c r="V125" s="14"/>
      <c r="W125" s="14"/>
      <c r="X125" s="14"/>
      <c r="Y125" s="90"/>
      <c r="Z125" s="90"/>
      <c r="AA125" s="90"/>
      <c r="AB125" s="14"/>
    </row>
    <row r="126" spans="2:28">
      <c r="M126" s="14"/>
      <c r="N126" s="14"/>
      <c r="O126" s="14"/>
      <c r="P126" s="14"/>
      <c r="Q126" s="14"/>
      <c r="R126" s="14"/>
      <c r="S126" s="90"/>
      <c r="T126" s="14"/>
      <c r="U126" s="98"/>
      <c r="V126" s="14"/>
      <c r="W126" s="14"/>
      <c r="X126" s="14"/>
      <c r="Y126" s="90"/>
      <c r="Z126" s="90"/>
      <c r="AA126" s="90"/>
      <c r="AB126" s="14"/>
    </row>
    <row r="127" spans="2:28">
      <c r="M127" s="29"/>
      <c r="N127" s="14"/>
      <c r="O127" s="14"/>
      <c r="P127" s="14"/>
      <c r="Q127" s="14"/>
      <c r="R127" s="14"/>
      <c r="S127" s="90"/>
      <c r="T127" s="14"/>
      <c r="U127" s="98"/>
      <c r="V127" s="14"/>
      <c r="W127" s="14"/>
      <c r="X127" s="14"/>
      <c r="Y127" s="90"/>
      <c r="Z127" s="90"/>
      <c r="AA127" s="90"/>
      <c r="AB127" s="14"/>
    </row>
    <row r="128" spans="2:28">
      <c r="M128" s="14"/>
      <c r="N128" s="14"/>
      <c r="O128" s="14"/>
      <c r="P128" s="14"/>
      <c r="Q128" s="14"/>
      <c r="R128" s="14"/>
      <c r="S128" s="90"/>
      <c r="T128" s="14"/>
      <c r="U128" s="98"/>
      <c r="V128" s="14"/>
      <c r="W128" s="14"/>
      <c r="X128" s="14"/>
      <c r="Y128" s="90"/>
      <c r="Z128" s="90"/>
      <c r="AA128" s="90"/>
      <c r="AB128" s="14"/>
    </row>
    <row r="129" spans="13:28">
      <c r="M129" s="14"/>
      <c r="N129" s="14"/>
      <c r="O129" s="14"/>
      <c r="P129" s="14"/>
      <c r="Q129" s="14"/>
      <c r="R129" s="14"/>
      <c r="S129" s="90"/>
      <c r="T129" s="90"/>
      <c r="U129" s="14"/>
      <c r="V129" s="14"/>
      <c r="W129" s="14"/>
      <c r="X129" s="14"/>
      <c r="Y129" s="103"/>
      <c r="Z129" s="103"/>
      <c r="AA129" s="103"/>
      <c r="AB129" s="14"/>
    </row>
    <row r="130" spans="13:28">
      <c r="M130" s="14"/>
      <c r="N130" s="14"/>
      <c r="O130" s="14"/>
      <c r="P130" s="14"/>
      <c r="Q130" s="14"/>
      <c r="R130" s="14"/>
      <c r="S130" s="14"/>
      <c r="T130" s="90"/>
      <c r="U130" s="90"/>
      <c r="V130" s="90"/>
      <c r="W130" s="90"/>
      <c r="X130" s="14"/>
      <c r="Y130" s="14"/>
      <c r="Z130" s="91"/>
      <c r="AA130" s="91"/>
      <c r="AB130" s="14"/>
    </row>
    <row r="131" spans="13:28" ht="15">
      <c r="M131" s="104"/>
    </row>
    <row r="132" spans="13:28">
      <c r="M132" s="14"/>
    </row>
    <row r="133" spans="13:28">
      <c r="M133" s="14"/>
    </row>
    <row r="134" spans="13:28">
      <c r="M134" s="14"/>
    </row>
    <row r="135" spans="13:28">
      <c r="M135" s="43"/>
      <c r="N135" s="43"/>
      <c r="O135" s="43"/>
      <c r="P135" s="43"/>
      <c r="Q135" s="97"/>
      <c r="R135" s="97"/>
      <c r="S135" s="97"/>
      <c r="Y135" s="97"/>
      <c r="Z135" s="97"/>
      <c r="AA135" s="97"/>
    </row>
    <row r="136" spans="13:28">
      <c r="M136" s="98"/>
      <c r="N136" s="14"/>
      <c r="O136" s="105"/>
      <c r="P136" s="14"/>
      <c r="S136" s="90"/>
      <c r="T136" s="31"/>
      <c r="U136" s="98"/>
      <c r="V136" s="14"/>
      <c r="W136" s="14"/>
      <c r="X136" s="99"/>
      <c r="Y136" s="90"/>
      <c r="Z136" s="90"/>
      <c r="AA136" s="90"/>
    </row>
    <row r="137" spans="13:28">
      <c r="M137" s="98"/>
      <c r="N137" s="14"/>
      <c r="O137" s="105"/>
      <c r="P137" s="14"/>
      <c r="S137" s="90"/>
      <c r="T137" s="31"/>
      <c r="U137" s="98"/>
      <c r="V137" s="14"/>
      <c r="W137" s="14"/>
      <c r="Y137" s="90"/>
      <c r="Z137" s="90"/>
      <c r="AA137" s="90"/>
    </row>
    <row r="138" spans="13:28">
      <c r="M138" s="98"/>
      <c r="N138" s="14"/>
      <c r="O138" s="105"/>
      <c r="P138" s="14"/>
      <c r="S138" s="90"/>
      <c r="T138" s="106"/>
      <c r="U138" s="98"/>
      <c r="V138" s="14"/>
      <c r="W138" s="14"/>
      <c r="Y138" s="90"/>
      <c r="Z138" s="90"/>
      <c r="AA138" s="90"/>
    </row>
    <row r="139" spans="13:28">
      <c r="M139" s="98"/>
      <c r="N139" s="14"/>
      <c r="O139" s="105"/>
      <c r="P139" s="14"/>
      <c r="S139" s="90"/>
      <c r="T139" s="106"/>
      <c r="U139" s="98"/>
      <c r="V139" s="14"/>
      <c r="W139" s="14"/>
      <c r="Y139" s="90"/>
      <c r="Z139" s="90"/>
      <c r="AA139" s="90"/>
    </row>
    <row r="140" spans="13:28">
      <c r="T140" s="71"/>
      <c r="U140" s="98"/>
      <c r="V140" s="14"/>
      <c r="W140" s="14"/>
      <c r="Y140" s="90"/>
      <c r="Z140" s="90"/>
      <c r="AA140" s="90"/>
    </row>
    <row r="141" spans="13:28">
      <c r="M141" s="98"/>
      <c r="N141" s="14"/>
      <c r="Q141" s="90"/>
      <c r="R141" s="90"/>
      <c r="S141" s="90"/>
      <c r="T141" s="90"/>
      <c r="U141" s="98"/>
      <c r="V141" s="14"/>
      <c r="W141" s="14"/>
      <c r="Y141" s="90"/>
      <c r="Z141" s="90"/>
      <c r="AA141" s="90"/>
    </row>
    <row r="142" spans="13:28">
      <c r="Y142" s="103"/>
      <c r="Z142" s="103"/>
      <c r="AA142" s="103"/>
    </row>
    <row r="143" spans="13:28">
      <c r="Q143" s="98"/>
      <c r="R143" s="98"/>
      <c r="S143" s="103"/>
      <c r="T143" s="90"/>
      <c r="Z143" s="91"/>
      <c r="AA143" s="107"/>
    </row>
    <row r="144" spans="13:28"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08"/>
      <c r="AA144" s="17"/>
      <c r="AB144" s="17"/>
    </row>
    <row r="145" spans="13:28" ht="15">
      <c r="M145" s="17"/>
      <c r="N145" s="17"/>
      <c r="O145" s="17"/>
      <c r="P145" s="17"/>
      <c r="Q145" s="17"/>
      <c r="R145" s="17"/>
      <c r="S145" s="17"/>
      <c r="T145" s="17"/>
      <c r="U145" s="33"/>
      <c r="V145" s="109"/>
      <c r="W145" s="110"/>
      <c r="Y145" s="111"/>
      <c r="Z145" s="111"/>
      <c r="AA145" s="17"/>
      <c r="AB145" s="17"/>
    </row>
    <row r="146" spans="13:28">
      <c r="M146" s="17"/>
      <c r="N146" s="17"/>
      <c r="O146" s="17"/>
      <c r="P146" s="17"/>
      <c r="Q146" s="17"/>
      <c r="R146" s="17"/>
      <c r="S146" s="17"/>
      <c r="T146" s="17"/>
      <c r="U146" s="112"/>
      <c r="V146" s="23"/>
      <c r="Y146" s="113"/>
      <c r="Z146" s="113"/>
      <c r="AA146" s="17"/>
      <c r="AB146" s="17"/>
    </row>
    <row r="147" spans="13:28">
      <c r="M147" s="17"/>
      <c r="N147" s="17"/>
      <c r="O147" s="17"/>
      <c r="P147" s="17"/>
      <c r="Q147" s="17"/>
      <c r="R147" s="17"/>
      <c r="S147" s="17"/>
      <c r="T147" s="17"/>
      <c r="AA147" s="17"/>
      <c r="AB147" s="17"/>
    </row>
    <row r="148" spans="13:28">
      <c r="M148" s="17"/>
      <c r="N148" s="17"/>
      <c r="O148" s="17"/>
      <c r="P148" s="17"/>
      <c r="Q148" s="17"/>
      <c r="R148" s="17"/>
      <c r="S148" s="17"/>
      <c r="T148" s="17"/>
      <c r="U148" s="40"/>
      <c r="V148" s="34"/>
      <c r="Y148" s="113"/>
      <c r="Z148" s="113"/>
      <c r="AA148" s="17"/>
      <c r="AB148" s="17"/>
    </row>
    <row r="149" spans="13:28">
      <c r="M149" s="17"/>
      <c r="N149" s="17"/>
      <c r="O149" s="17"/>
      <c r="P149" s="17"/>
      <c r="Q149" s="17"/>
      <c r="R149" s="17"/>
      <c r="S149" s="17"/>
      <c r="T149" s="17"/>
      <c r="AA149" s="17"/>
      <c r="AB149" s="17"/>
    </row>
    <row r="150" spans="13:28">
      <c r="M150" s="17"/>
      <c r="N150" s="17"/>
      <c r="O150" s="17"/>
      <c r="P150" s="17"/>
      <c r="Q150" s="17"/>
      <c r="R150" s="17"/>
      <c r="S150" s="17"/>
      <c r="T150" s="17"/>
      <c r="U150" s="114"/>
      <c r="V150" s="115"/>
      <c r="AA150" s="17"/>
      <c r="AB150" s="17"/>
    </row>
    <row r="151" spans="13:28">
      <c r="M151" s="17"/>
      <c r="N151" s="17"/>
      <c r="O151" s="17"/>
      <c r="P151" s="17"/>
      <c r="Q151" s="17"/>
      <c r="R151" s="17"/>
      <c r="S151" s="17"/>
      <c r="T151" s="17"/>
      <c r="AA151" s="17"/>
      <c r="AB151" s="17"/>
    </row>
    <row r="152" spans="13:28">
      <c r="M152" s="17"/>
      <c r="N152" s="17"/>
      <c r="O152" s="17"/>
      <c r="P152" s="17"/>
      <c r="Q152" s="17"/>
      <c r="R152" s="17"/>
      <c r="S152" s="17"/>
      <c r="T152" s="17"/>
      <c r="U152" s="12"/>
      <c r="V152" s="13"/>
      <c r="Y152" s="113"/>
      <c r="Z152" s="113"/>
      <c r="AA152" s="17"/>
      <c r="AB152" s="17"/>
    </row>
    <row r="153" spans="13:28">
      <c r="M153" s="17"/>
      <c r="N153" s="17"/>
      <c r="O153" s="17"/>
      <c r="P153" s="17"/>
      <c r="Q153" s="17"/>
      <c r="R153" s="17"/>
      <c r="S153" s="17"/>
      <c r="T153" s="17"/>
      <c r="U153" s="109"/>
      <c r="V153" s="109"/>
      <c r="Y153" s="116"/>
      <c r="Z153" s="116"/>
      <c r="AA153" s="17"/>
      <c r="AB153" s="17"/>
    </row>
    <row r="154" spans="13:28">
      <c r="M154" s="17"/>
      <c r="N154" s="17"/>
      <c r="O154" s="17"/>
      <c r="P154" s="17"/>
      <c r="Q154" s="17"/>
      <c r="R154" s="17"/>
      <c r="S154" s="17"/>
      <c r="T154" s="17"/>
      <c r="U154" s="66"/>
      <c r="V154" s="66"/>
      <c r="W154" s="66"/>
      <c r="Y154" s="35"/>
      <c r="Z154" s="91"/>
      <c r="AA154" s="17"/>
      <c r="AB154" s="17"/>
    </row>
    <row r="155" spans="13:28">
      <c r="M155" s="17"/>
      <c r="N155" s="17"/>
      <c r="O155" s="17"/>
      <c r="P155" s="17"/>
      <c r="Q155" s="17"/>
      <c r="R155" s="17"/>
      <c r="S155" s="17"/>
      <c r="T155" s="17"/>
      <c r="U155" s="117"/>
      <c r="V155" s="117"/>
      <c r="Y155" s="116"/>
      <c r="Z155" s="116"/>
      <c r="AA155" s="17"/>
      <c r="AB155" s="17"/>
    </row>
    <row r="156" spans="13:28" ht="15">
      <c r="M156" s="17"/>
      <c r="N156" s="17"/>
      <c r="O156" s="17"/>
      <c r="P156" s="17"/>
      <c r="Q156" s="17"/>
      <c r="R156" s="17"/>
      <c r="S156" s="17"/>
      <c r="T156" s="17"/>
      <c r="U156" s="33"/>
      <c r="V156" s="118"/>
      <c r="W156" s="109"/>
      <c r="Y156" s="226"/>
      <c r="Z156" s="226"/>
      <c r="AA156" s="17"/>
      <c r="AB156" s="17"/>
    </row>
    <row r="157" spans="13:28">
      <c r="M157" s="17"/>
      <c r="N157" s="17"/>
      <c r="O157" s="17"/>
      <c r="P157" s="17"/>
      <c r="Q157" s="17"/>
      <c r="R157" s="17"/>
      <c r="S157" s="17"/>
      <c r="T157" s="17"/>
      <c r="U157" s="25"/>
      <c r="V157" s="22"/>
      <c r="X157" s="119"/>
      <c r="Y157" s="113"/>
      <c r="Z157" s="113"/>
      <c r="AA157" s="17"/>
      <c r="AB157" s="17"/>
    </row>
    <row r="158" spans="13:28">
      <c r="M158" s="17"/>
      <c r="N158" s="17"/>
      <c r="O158" s="17"/>
      <c r="P158" s="17"/>
      <c r="Q158" s="17"/>
      <c r="R158" s="17"/>
      <c r="S158" s="17"/>
      <c r="T158" s="17"/>
      <c r="U158" s="25"/>
      <c r="V158" s="22"/>
      <c r="X158" s="119"/>
      <c r="Y158" s="113"/>
      <c r="Z158" s="113"/>
      <c r="AA158" s="17"/>
      <c r="AB158" s="17"/>
    </row>
    <row r="159" spans="13:28">
      <c r="M159" s="17"/>
      <c r="N159" s="17"/>
      <c r="O159" s="17"/>
      <c r="P159" s="17"/>
      <c r="Q159" s="17"/>
      <c r="R159" s="17"/>
      <c r="S159" s="17"/>
      <c r="T159" s="17"/>
      <c r="U159" s="25"/>
      <c r="V159" s="22"/>
      <c r="X159" s="119"/>
      <c r="Y159" s="113"/>
      <c r="Z159" s="113"/>
      <c r="AA159" s="17"/>
      <c r="AB159" s="17"/>
    </row>
    <row r="160" spans="13:28">
      <c r="M160" s="17"/>
      <c r="N160" s="17"/>
      <c r="O160" s="17"/>
      <c r="P160" s="17"/>
      <c r="Q160" s="17"/>
      <c r="R160" s="17"/>
      <c r="S160" s="17"/>
      <c r="T160" s="17"/>
      <c r="U160" s="25"/>
      <c r="V160" s="22"/>
      <c r="X160" s="120"/>
      <c r="Y160" s="113"/>
      <c r="Z160" s="113"/>
      <c r="AA160" s="17"/>
      <c r="AB160" s="17"/>
    </row>
    <row r="161" spans="13:28">
      <c r="M161" s="17"/>
      <c r="N161" s="17"/>
      <c r="O161" s="17"/>
      <c r="P161" s="17"/>
      <c r="Q161" s="17"/>
      <c r="R161" s="17"/>
      <c r="S161" s="17"/>
      <c r="T161" s="17"/>
      <c r="U161" s="25"/>
      <c r="V161" s="22"/>
      <c r="X161" s="121"/>
      <c r="Y161" s="113"/>
      <c r="Z161" s="113"/>
      <c r="AA161" s="17"/>
      <c r="AB161" s="17"/>
    </row>
    <row r="162" spans="13:28">
      <c r="M162" s="17"/>
      <c r="N162" s="17"/>
      <c r="O162" s="17"/>
      <c r="P162" s="17"/>
      <c r="Q162" s="17"/>
      <c r="R162" s="17"/>
      <c r="S162" s="17"/>
      <c r="T162" s="17"/>
      <c r="U162" s="25"/>
      <c r="V162" s="22"/>
      <c r="X162" s="120"/>
      <c r="Y162" s="113"/>
      <c r="Z162" s="113"/>
      <c r="AA162" s="17"/>
      <c r="AB162" s="17"/>
    </row>
    <row r="163" spans="13:28">
      <c r="M163" s="17"/>
      <c r="N163" s="17"/>
      <c r="O163" s="17"/>
      <c r="P163" s="17"/>
      <c r="Q163" s="17"/>
      <c r="R163" s="17"/>
      <c r="S163" s="17"/>
      <c r="T163" s="17"/>
      <c r="U163" s="25"/>
      <c r="V163" s="22"/>
      <c r="X163" s="120"/>
      <c r="Y163" s="113"/>
      <c r="Z163" s="113"/>
      <c r="AA163" s="17"/>
      <c r="AB163" s="17"/>
    </row>
    <row r="164" spans="13:28">
      <c r="M164" s="17"/>
      <c r="N164" s="17"/>
      <c r="O164" s="17"/>
      <c r="P164" s="17"/>
      <c r="Q164" s="17"/>
      <c r="R164" s="17"/>
      <c r="S164" s="17"/>
      <c r="T164" s="17"/>
      <c r="U164" s="25"/>
      <c r="V164" s="22"/>
      <c r="X164" s="120"/>
      <c r="Y164" s="113"/>
      <c r="Z164" s="113"/>
      <c r="AA164" s="17"/>
      <c r="AB164" s="17"/>
    </row>
    <row r="165" spans="13:28">
      <c r="M165" s="17"/>
      <c r="N165" s="17"/>
      <c r="O165" s="17"/>
      <c r="P165" s="17"/>
      <c r="Q165" s="17"/>
      <c r="R165" s="17"/>
      <c r="S165" s="17"/>
      <c r="T165" s="17"/>
      <c r="U165" s="25"/>
      <c r="V165" s="22"/>
      <c r="X165" s="120"/>
      <c r="Y165" s="113"/>
      <c r="Z165" s="113"/>
      <c r="AA165" s="17"/>
      <c r="AB165" s="17"/>
    </row>
    <row r="166" spans="13:28">
      <c r="M166" s="17"/>
      <c r="N166" s="17"/>
      <c r="O166" s="17"/>
      <c r="P166" s="17"/>
      <c r="Q166" s="17"/>
      <c r="R166" s="17"/>
      <c r="S166" s="17"/>
      <c r="T166" s="17"/>
      <c r="U166" s="25"/>
      <c r="V166" s="22"/>
      <c r="X166" s="120"/>
      <c r="Y166" s="113"/>
      <c r="Z166" s="113"/>
      <c r="AA166" s="17"/>
      <c r="AB166" s="17"/>
    </row>
    <row r="167" spans="13:28">
      <c r="M167" s="17"/>
      <c r="N167" s="17"/>
      <c r="O167" s="17"/>
      <c r="P167" s="17"/>
      <c r="Q167" s="17"/>
      <c r="R167" s="17"/>
      <c r="S167" s="17"/>
      <c r="T167" s="17"/>
      <c r="U167" s="25"/>
      <c r="V167" s="22"/>
      <c r="X167" s="120"/>
      <c r="Y167" s="113"/>
      <c r="Z167" s="113"/>
      <c r="AA167" s="17"/>
      <c r="AB167" s="17"/>
    </row>
    <row r="168" spans="13:28">
      <c r="M168" s="17"/>
      <c r="N168" s="17"/>
      <c r="O168" s="17"/>
      <c r="P168" s="17"/>
      <c r="Q168" s="17"/>
      <c r="R168" s="17"/>
      <c r="S168" s="17"/>
      <c r="T168" s="17"/>
      <c r="U168" s="25"/>
      <c r="V168" s="22"/>
      <c r="X168" s="120"/>
      <c r="Y168" s="113"/>
      <c r="Z168" s="113"/>
      <c r="AA168" s="17"/>
      <c r="AB168" s="17"/>
    </row>
    <row r="169" spans="13:28">
      <c r="M169" s="17"/>
      <c r="N169" s="17"/>
      <c r="O169" s="17"/>
      <c r="P169" s="17"/>
      <c r="Q169" s="17"/>
      <c r="R169" s="17"/>
      <c r="S169" s="17"/>
      <c r="T169" s="17"/>
      <c r="U169" s="25"/>
      <c r="V169" s="22"/>
      <c r="X169" s="121"/>
      <c r="Y169" s="113"/>
      <c r="Z169" s="113"/>
      <c r="AA169" s="17"/>
      <c r="AB169" s="17"/>
    </row>
    <row r="170" spans="13:28">
      <c r="M170" s="17"/>
      <c r="N170" s="17"/>
      <c r="O170" s="17"/>
      <c r="P170" s="17"/>
      <c r="Q170" s="17"/>
      <c r="R170" s="17"/>
      <c r="S170" s="17"/>
      <c r="T170" s="122"/>
      <c r="U170" s="25"/>
      <c r="V170" s="22"/>
      <c r="X170" s="121"/>
      <c r="Y170" s="123"/>
      <c r="Z170" s="113"/>
      <c r="AA170" s="17"/>
      <c r="AB170" s="17"/>
    </row>
    <row r="171" spans="13:28">
      <c r="M171" s="17"/>
      <c r="N171" s="17"/>
      <c r="O171" s="17"/>
      <c r="P171" s="17"/>
      <c r="Q171" s="17"/>
      <c r="R171" s="17"/>
      <c r="S171" s="17"/>
      <c r="T171" s="122"/>
      <c r="U171" s="25"/>
      <c r="V171" s="22"/>
      <c r="X171" s="121"/>
      <c r="Y171" s="123"/>
      <c r="Z171" s="113"/>
      <c r="AA171" s="17"/>
      <c r="AB171" s="17"/>
    </row>
    <row r="172" spans="13:28">
      <c r="M172" s="17"/>
      <c r="N172" s="17"/>
      <c r="O172" s="17"/>
      <c r="P172" s="17"/>
      <c r="Q172" s="17"/>
      <c r="R172" s="17"/>
      <c r="S172" s="17"/>
      <c r="T172" s="122"/>
      <c r="U172" s="25"/>
      <c r="V172" s="22"/>
      <c r="X172" s="121"/>
      <c r="Y172" s="113"/>
      <c r="Z172" s="113"/>
      <c r="AA172" s="17"/>
      <c r="AB172" s="17"/>
    </row>
    <row r="173" spans="13:28">
      <c r="M173" s="17"/>
      <c r="N173" s="17"/>
      <c r="O173" s="17"/>
      <c r="P173" s="17"/>
      <c r="Q173" s="17"/>
      <c r="R173" s="17"/>
      <c r="S173" s="17"/>
      <c r="T173" s="17"/>
      <c r="U173" s="25"/>
      <c r="V173" s="23"/>
      <c r="X173" s="121"/>
      <c r="Y173" s="113"/>
      <c r="Z173" s="113"/>
      <c r="AA173" s="17"/>
      <c r="AB173" s="17"/>
    </row>
    <row r="174" spans="13:28">
      <c r="M174" s="17"/>
      <c r="N174" s="17"/>
      <c r="O174" s="17"/>
      <c r="P174" s="17"/>
      <c r="Q174" s="17"/>
      <c r="R174" s="17"/>
      <c r="S174" s="17"/>
      <c r="T174" s="17"/>
      <c r="U174" s="25"/>
      <c r="V174" s="22"/>
      <c r="X174" s="121"/>
      <c r="Y174" s="113"/>
      <c r="Z174" s="113"/>
      <c r="AA174" s="17"/>
      <c r="AB174" s="17"/>
    </row>
    <row r="175" spans="13:28">
      <c r="M175" s="17"/>
      <c r="N175" s="17"/>
      <c r="O175" s="17"/>
      <c r="P175" s="17"/>
      <c r="Q175" s="17"/>
      <c r="R175" s="17"/>
      <c r="S175" s="17"/>
      <c r="T175" s="48"/>
      <c r="U175" s="25"/>
      <c r="V175" s="22"/>
      <c r="X175" s="121"/>
      <c r="Y175" s="113"/>
      <c r="Z175" s="113"/>
      <c r="AA175" s="17"/>
      <c r="AB175" s="17"/>
    </row>
    <row r="176" spans="13:28">
      <c r="M176" s="17"/>
      <c r="N176" s="17"/>
      <c r="O176" s="17"/>
      <c r="P176" s="17"/>
      <c r="Q176" s="17"/>
      <c r="R176" s="17"/>
      <c r="S176" s="17"/>
      <c r="T176" s="48"/>
      <c r="U176" s="25"/>
      <c r="V176" s="22"/>
      <c r="X176" s="121"/>
      <c r="Y176" s="113"/>
      <c r="Z176" s="113"/>
      <c r="AA176" s="17"/>
      <c r="AB176" s="17"/>
    </row>
    <row r="177" spans="13:28">
      <c r="M177" s="17"/>
      <c r="N177" s="17"/>
      <c r="O177" s="17"/>
      <c r="P177" s="17"/>
      <c r="Q177" s="17"/>
      <c r="R177" s="17"/>
      <c r="S177" s="17"/>
      <c r="T177" s="17"/>
      <c r="U177" s="25"/>
      <c r="V177" s="22"/>
      <c r="X177" s="121"/>
      <c r="Y177" s="113"/>
      <c r="Z177" s="113"/>
      <c r="AA177" s="17"/>
      <c r="AB177" s="17"/>
    </row>
    <row r="178" spans="13:28">
      <c r="M178" s="17"/>
      <c r="N178" s="17"/>
      <c r="O178" s="17"/>
      <c r="P178" s="17"/>
      <c r="Q178" s="17"/>
      <c r="R178" s="17"/>
      <c r="S178" s="17"/>
      <c r="T178" s="17"/>
      <c r="U178" s="25"/>
      <c r="V178" s="22"/>
      <c r="X178" s="121"/>
      <c r="Y178" s="113"/>
      <c r="Z178" s="113"/>
      <c r="AA178" s="17"/>
      <c r="AB178" s="17"/>
    </row>
    <row r="179" spans="13:28">
      <c r="M179" s="17"/>
      <c r="N179" s="17"/>
      <c r="O179" s="17"/>
      <c r="P179" s="17"/>
      <c r="Q179" s="17"/>
      <c r="R179" s="17"/>
      <c r="S179" s="17"/>
      <c r="T179" s="28"/>
      <c r="U179" s="25"/>
      <c r="V179" s="22"/>
      <c r="X179" s="121"/>
      <c r="Y179" s="113"/>
      <c r="Z179" s="113"/>
      <c r="AA179" s="17"/>
      <c r="AB179" s="17"/>
    </row>
    <row r="180" spans="13:28">
      <c r="M180" s="17"/>
      <c r="N180" s="17"/>
      <c r="O180" s="17"/>
      <c r="P180" s="17"/>
      <c r="Q180" s="17"/>
      <c r="R180" s="17"/>
      <c r="S180" s="17"/>
      <c r="T180" s="122"/>
      <c r="U180" s="25"/>
      <c r="V180" s="22"/>
      <c r="X180" s="121"/>
      <c r="Y180" s="123"/>
      <c r="Z180" s="113"/>
      <c r="AA180" s="17"/>
      <c r="AB180" s="17"/>
    </row>
    <row r="181" spans="13:28">
      <c r="M181" s="17"/>
      <c r="N181" s="17"/>
      <c r="O181" s="17"/>
      <c r="P181" s="17"/>
      <c r="Q181" s="17"/>
      <c r="R181" s="17"/>
      <c r="S181" s="17"/>
      <c r="T181" s="122"/>
      <c r="U181" s="25"/>
      <c r="V181" s="22"/>
      <c r="X181" s="121"/>
      <c r="Y181" s="123"/>
      <c r="Z181" s="113"/>
      <c r="AA181" s="17"/>
      <c r="AB181" s="17"/>
    </row>
    <row r="182" spans="13:28">
      <c r="M182" s="17"/>
      <c r="N182" s="17"/>
      <c r="O182" s="17"/>
      <c r="P182" s="17"/>
      <c r="Q182" s="17"/>
      <c r="R182" s="17"/>
      <c r="S182" s="17"/>
      <c r="T182" s="122"/>
      <c r="U182" s="25"/>
      <c r="V182" s="22"/>
      <c r="X182" s="121"/>
      <c r="Y182" s="123"/>
      <c r="Z182" s="113"/>
      <c r="AA182" s="17"/>
      <c r="AB182" s="17"/>
    </row>
    <row r="183" spans="13:28">
      <c r="M183" s="17"/>
      <c r="N183" s="17"/>
      <c r="O183" s="17"/>
      <c r="P183" s="17"/>
      <c r="Q183" s="17"/>
      <c r="R183" s="17"/>
      <c r="S183" s="17"/>
      <c r="T183" s="17"/>
      <c r="U183" s="25"/>
      <c r="V183" s="22"/>
      <c r="X183" s="121"/>
      <c r="Y183" s="113"/>
      <c r="Z183" s="113"/>
      <c r="AA183" s="17"/>
      <c r="AB183" s="17"/>
    </row>
    <row r="184" spans="13:28">
      <c r="M184" s="17"/>
      <c r="N184" s="17"/>
      <c r="O184" s="17"/>
      <c r="P184" s="17"/>
      <c r="Q184" s="17"/>
      <c r="R184" s="17"/>
      <c r="S184" s="17"/>
      <c r="T184" s="17"/>
      <c r="U184" s="25"/>
      <c r="V184" s="22"/>
      <c r="X184" s="120"/>
      <c r="Y184" s="113"/>
      <c r="Z184" s="113"/>
      <c r="AA184" s="91"/>
      <c r="AB184" s="17"/>
    </row>
    <row r="185" spans="13:28">
      <c r="M185" s="17"/>
      <c r="N185" s="17"/>
      <c r="O185" s="17"/>
      <c r="P185" s="17"/>
      <c r="Q185" s="17"/>
      <c r="R185" s="17"/>
      <c r="S185" s="17"/>
      <c r="T185" s="17"/>
      <c r="U185" s="25"/>
      <c r="V185" s="22"/>
      <c r="X185" s="120"/>
      <c r="Y185" s="113"/>
      <c r="Z185" s="113"/>
      <c r="AA185" s="17"/>
      <c r="AB185" s="17"/>
    </row>
    <row r="186" spans="13:28">
      <c r="M186" s="17"/>
      <c r="N186" s="17"/>
      <c r="O186" s="17"/>
      <c r="P186" s="17"/>
      <c r="Q186" s="17"/>
      <c r="R186" s="17"/>
      <c r="S186" s="17"/>
      <c r="T186" s="17"/>
      <c r="U186" s="25"/>
      <c r="V186" s="22"/>
      <c r="X186" s="120"/>
      <c r="Y186" s="113"/>
      <c r="Z186" s="113"/>
      <c r="AA186" s="17"/>
      <c r="AB186" s="17"/>
    </row>
    <row r="187" spans="13:28">
      <c r="M187" s="17"/>
      <c r="N187" s="17"/>
      <c r="O187" s="17"/>
      <c r="P187" s="17"/>
      <c r="Q187" s="17"/>
      <c r="R187" s="17"/>
      <c r="S187" s="17"/>
      <c r="T187" s="48"/>
      <c r="U187" s="29"/>
      <c r="X187" s="120"/>
      <c r="Y187" s="113"/>
      <c r="Z187" s="113"/>
      <c r="AA187" s="17"/>
      <c r="AB187" s="17"/>
    </row>
    <row r="188" spans="13:28">
      <c r="M188" s="17"/>
      <c r="N188" s="17"/>
      <c r="O188" s="17"/>
      <c r="P188" s="17"/>
      <c r="Q188" s="17"/>
      <c r="R188" s="17"/>
      <c r="S188" s="17"/>
      <c r="T188" s="17"/>
      <c r="U188" s="25"/>
      <c r="V188" s="22"/>
      <c r="X188" s="120"/>
      <c r="Y188" s="113"/>
      <c r="Z188" s="113"/>
      <c r="AA188" s="17"/>
      <c r="AB188" s="17"/>
    </row>
    <row r="189" spans="13:28">
      <c r="M189" s="17"/>
      <c r="N189" s="17"/>
      <c r="O189" s="17"/>
      <c r="P189" s="17"/>
      <c r="Q189" s="17"/>
      <c r="R189" s="17"/>
      <c r="S189" s="17"/>
      <c r="T189" s="17"/>
      <c r="U189" s="112"/>
      <c r="V189" s="23"/>
      <c r="Y189" s="113"/>
      <c r="Z189" s="113"/>
      <c r="AA189" s="17"/>
      <c r="AB189" s="17"/>
    </row>
    <row r="190" spans="13:28">
      <c r="M190" s="17"/>
      <c r="N190" s="17"/>
      <c r="O190" s="17"/>
      <c r="P190" s="17"/>
      <c r="Q190" s="17"/>
      <c r="R190" s="17"/>
      <c r="S190" s="17"/>
      <c r="T190" s="17"/>
      <c r="U190" s="112"/>
      <c r="V190" s="23"/>
      <c r="Y190" s="113"/>
      <c r="Z190" s="113"/>
      <c r="AA190" s="124"/>
      <c r="AB190" s="17"/>
    </row>
    <row r="191" spans="13:28">
      <c r="M191" s="17"/>
      <c r="N191" s="17"/>
      <c r="O191" s="17"/>
      <c r="P191" s="17"/>
      <c r="Q191" s="17"/>
      <c r="R191" s="17"/>
      <c r="S191" s="17"/>
      <c r="T191" s="17"/>
      <c r="U191" s="117"/>
      <c r="V191" s="117"/>
      <c r="Y191" s="116"/>
      <c r="Z191" s="116"/>
      <c r="AA191" s="17"/>
      <c r="AB191" s="17"/>
    </row>
    <row r="192" spans="13:28">
      <c r="M192" s="17"/>
      <c r="N192" s="17"/>
      <c r="O192" s="17"/>
      <c r="P192" s="17"/>
      <c r="Q192" s="17"/>
      <c r="R192" s="17"/>
      <c r="S192" s="17"/>
      <c r="T192" s="17"/>
      <c r="U192" s="66"/>
      <c r="V192" s="36"/>
      <c r="Y192" s="67"/>
      <c r="Z192" s="91"/>
      <c r="AA192" s="17"/>
      <c r="AB192" s="17"/>
    </row>
    <row r="193" spans="13:28">
      <c r="M193" s="17"/>
      <c r="N193" s="17"/>
      <c r="O193" s="17"/>
      <c r="P193" s="17"/>
      <c r="Q193" s="17"/>
      <c r="R193" s="17"/>
      <c r="S193" s="17"/>
      <c r="T193" s="17"/>
      <c r="U193" s="109"/>
      <c r="V193" s="109"/>
      <c r="W193" s="125"/>
      <c r="Y193" s="126"/>
      <c r="Z193" s="127"/>
      <c r="AA193" s="17"/>
      <c r="AB193" s="17"/>
    </row>
    <row r="194" spans="13:28" ht="15">
      <c r="M194" s="17"/>
      <c r="N194" s="17"/>
      <c r="O194" s="17"/>
      <c r="P194" s="17"/>
      <c r="Q194" s="17"/>
      <c r="R194" s="17"/>
      <c r="S194" s="17"/>
      <c r="T194" s="17"/>
      <c r="U194" s="104"/>
      <c r="W194" s="71"/>
      <c r="X194" s="47"/>
      <c r="Y194" s="126"/>
      <c r="Z194" s="128"/>
      <c r="AA194" s="17"/>
      <c r="AB194" s="17"/>
    </row>
    <row r="195" spans="13:28" ht="15">
      <c r="M195" s="17"/>
      <c r="N195" s="17"/>
      <c r="O195" s="17"/>
      <c r="P195" s="17"/>
      <c r="Q195" s="17"/>
      <c r="R195" s="17"/>
      <c r="S195" s="17"/>
      <c r="T195" s="17"/>
      <c r="U195" s="33"/>
      <c r="V195" s="109"/>
      <c r="W195" s="109"/>
      <c r="Y195" s="226"/>
      <c r="Z195" s="226"/>
      <c r="AA195" s="17"/>
      <c r="AB195" s="17"/>
    </row>
    <row r="196" spans="13:28">
      <c r="M196" s="17"/>
      <c r="N196" s="17"/>
      <c r="O196" s="17"/>
      <c r="P196" s="17"/>
      <c r="Q196" s="17"/>
      <c r="R196" s="17"/>
      <c r="S196" s="17"/>
      <c r="T196" s="17"/>
      <c r="U196" s="112"/>
      <c r="V196" s="23"/>
      <c r="Y196" s="113"/>
      <c r="Z196" s="113"/>
      <c r="AA196" s="17"/>
      <c r="AB196" s="17"/>
    </row>
    <row r="197" spans="13:28">
      <c r="M197" s="17"/>
      <c r="N197" s="17"/>
      <c r="O197" s="17"/>
      <c r="P197" s="17"/>
      <c r="Q197" s="17"/>
      <c r="R197" s="17"/>
      <c r="S197" s="17"/>
      <c r="T197" s="17"/>
      <c r="U197" s="40"/>
      <c r="V197" s="34"/>
      <c r="Y197" s="113"/>
      <c r="Z197" s="113"/>
      <c r="AA197" s="17"/>
      <c r="AB197" s="17"/>
    </row>
    <row r="198" spans="13:28">
      <c r="M198" s="17"/>
      <c r="N198" s="17"/>
      <c r="O198" s="17"/>
      <c r="P198" s="17"/>
      <c r="Q198" s="17"/>
      <c r="R198" s="17"/>
      <c r="S198" s="17"/>
      <c r="T198" s="17"/>
      <c r="U198" s="12"/>
      <c r="V198" s="13"/>
      <c r="Y198" s="113"/>
      <c r="Z198" s="113"/>
      <c r="AA198" s="17"/>
      <c r="AB198" s="17"/>
    </row>
    <row r="199" spans="13:28">
      <c r="M199" s="17"/>
      <c r="N199" s="17"/>
      <c r="O199" s="17"/>
      <c r="P199" s="17"/>
      <c r="Q199" s="17"/>
      <c r="R199" s="17"/>
      <c r="S199" s="17"/>
      <c r="T199" s="17"/>
      <c r="U199" s="109"/>
      <c r="V199" s="109"/>
      <c r="Y199" s="116"/>
      <c r="Z199" s="116"/>
      <c r="AA199" s="17"/>
      <c r="AB199" s="17"/>
    </row>
    <row r="200" spans="13:28">
      <c r="M200" s="17"/>
      <c r="N200" s="17"/>
      <c r="O200" s="17"/>
      <c r="P200" s="17"/>
      <c r="Q200" s="17"/>
      <c r="R200" s="17"/>
      <c r="S200" s="17"/>
      <c r="T200" s="17"/>
      <c r="U200" s="66"/>
      <c r="V200" s="66"/>
      <c r="W200" s="66"/>
      <c r="Y200" s="35"/>
      <c r="Z200" s="91"/>
      <c r="AA200" s="17"/>
      <c r="AB200" s="17"/>
    </row>
    <row r="201" spans="13:28">
      <c r="M201" s="17"/>
      <c r="N201" s="17"/>
      <c r="O201" s="17"/>
      <c r="P201" s="17"/>
      <c r="Q201" s="17"/>
      <c r="R201" s="17"/>
      <c r="S201" s="17"/>
      <c r="T201" s="17"/>
      <c r="U201" s="117"/>
      <c r="V201" s="117"/>
      <c r="Y201" s="116"/>
      <c r="Z201" s="116"/>
      <c r="AA201" s="17"/>
      <c r="AB201" s="17"/>
    </row>
    <row r="202" spans="13:28">
      <c r="M202" s="17"/>
      <c r="N202" s="17"/>
      <c r="O202" s="17"/>
      <c r="P202" s="17"/>
      <c r="Q202" s="17"/>
      <c r="R202" s="17"/>
      <c r="S202" s="17"/>
      <c r="T202" s="17"/>
      <c r="U202" s="109"/>
      <c r="V202" s="109"/>
      <c r="W202" s="109"/>
      <c r="Y202" s="116"/>
      <c r="Z202" s="129"/>
      <c r="AA202" s="17"/>
      <c r="AB202" s="17"/>
    </row>
    <row r="203" spans="13:28" ht="15">
      <c r="M203" s="17"/>
      <c r="N203" s="17"/>
      <c r="O203" s="17"/>
      <c r="P203" s="17"/>
      <c r="Q203" s="17"/>
      <c r="R203" s="17"/>
      <c r="S203" s="17"/>
      <c r="T203" s="17"/>
      <c r="U203" s="37"/>
      <c r="V203" s="118"/>
      <c r="W203" s="109"/>
      <c r="Y203" s="226"/>
      <c r="Z203" s="226"/>
      <c r="AA203" s="17"/>
      <c r="AB203" s="17"/>
    </row>
    <row r="204" spans="13:28">
      <c r="M204" s="17"/>
      <c r="N204" s="17"/>
      <c r="O204" s="17"/>
      <c r="P204" s="17"/>
      <c r="Q204" s="17"/>
      <c r="R204" s="17"/>
      <c r="S204" s="17"/>
      <c r="T204" s="17"/>
      <c r="U204" s="25"/>
      <c r="V204" s="22"/>
      <c r="Y204" s="113"/>
      <c r="Z204" s="113"/>
      <c r="AA204" s="17"/>
      <c r="AB204" s="17"/>
    </row>
    <row r="205" spans="13:28">
      <c r="M205" s="17"/>
      <c r="N205" s="17"/>
      <c r="O205" s="17"/>
      <c r="P205" s="17"/>
      <c r="Q205" s="17"/>
      <c r="R205" s="17"/>
      <c r="S205" s="17"/>
      <c r="T205" s="17"/>
      <c r="U205" s="25"/>
      <c r="V205" s="22"/>
      <c r="Y205" s="113"/>
      <c r="Z205" s="113"/>
      <c r="AA205" s="17"/>
      <c r="AB205" s="17"/>
    </row>
    <row r="206" spans="13:28">
      <c r="M206" s="17"/>
      <c r="N206" s="17"/>
      <c r="O206" s="17"/>
      <c r="P206" s="17"/>
      <c r="Q206" s="17"/>
      <c r="R206" s="17"/>
      <c r="S206" s="17"/>
      <c r="T206" s="17"/>
      <c r="U206" s="42"/>
      <c r="V206" s="22"/>
      <c r="Y206" s="113"/>
      <c r="Z206" s="113"/>
      <c r="AA206" s="17"/>
      <c r="AB206" s="17"/>
    </row>
    <row r="207" spans="13:28">
      <c r="M207" s="17"/>
      <c r="N207" s="17"/>
      <c r="O207" s="17"/>
      <c r="P207" s="17"/>
      <c r="Q207" s="17"/>
      <c r="R207" s="17"/>
      <c r="S207" s="17"/>
      <c r="T207" s="17"/>
      <c r="U207" s="109"/>
      <c r="V207" s="109"/>
      <c r="Y207" s="116"/>
      <c r="Z207" s="116"/>
      <c r="AA207" s="17"/>
      <c r="AB207" s="17"/>
    </row>
    <row r="208" spans="13:28">
      <c r="M208" s="17"/>
      <c r="N208" s="17"/>
      <c r="O208" s="17"/>
      <c r="P208" s="17"/>
      <c r="Q208" s="17"/>
      <c r="R208" s="17"/>
      <c r="S208" s="17"/>
      <c r="T208" s="17"/>
      <c r="U208" s="66"/>
      <c r="V208" s="66"/>
      <c r="W208" s="66"/>
      <c r="Y208" s="35"/>
      <c r="Z208" s="91"/>
      <c r="AA208" s="17"/>
      <c r="AB208" s="17"/>
    </row>
    <row r="209" spans="13:28">
      <c r="M209" s="17"/>
      <c r="N209" s="17"/>
      <c r="O209" s="17"/>
      <c r="P209" s="17"/>
      <c r="Q209" s="17"/>
      <c r="R209" s="17"/>
      <c r="S209" s="17"/>
      <c r="T209" s="17"/>
      <c r="U209" s="109"/>
      <c r="V209" s="109"/>
      <c r="W209" s="109"/>
      <c r="Y209" s="129"/>
      <c r="Z209" s="130"/>
      <c r="AA209" s="17"/>
      <c r="AB209" s="17"/>
    </row>
    <row r="210" spans="13:28">
      <c r="M210" s="17"/>
      <c r="N210" s="17"/>
      <c r="O210" s="17"/>
      <c r="P210" s="17"/>
      <c r="Q210" s="17"/>
      <c r="R210" s="17"/>
      <c r="S210" s="17"/>
      <c r="T210" s="17"/>
      <c r="AA210" s="17"/>
      <c r="AB210" s="17"/>
    </row>
    <row r="211" spans="13:28" ht="15">
      <c r="M211" s="17"/>
      <c r="N211" s="17"/>
      <c r="O211" s="17"/>
      <c r="P211" s="17"/>
      <c r="Q211" s="17"/>
      <c r="R211" s="17"/>
      <c r="S211" s="17"/>
      <c r="T211" s="17"/>
      <c r="U211" s="37"/>
      <c r="AA211" s="17"/>
      <c r="AB211" s="17"/>
    </row>
    <row r="212" spans="13:28">
      <c r="M212" s="17"/>
      <c r="N212" s="17"/>
      <c r="O212" s="17"/>
      <c r="P212" s="17"/>
      <c r="Q212" s="17"/>
      <c r="R212" s="17"/>
      <c r="S212" s="17"/>
      <c r="T212" s="17"/>
      <c r="U212" s="8"/>
      <c r="V212" s="132"/>
      <c r="Y212" s="113"/>
      <c r="AA212" s="17"/>
      <c r="AB212" s="17"/>
    </row>
    <row r="213" spans="13:28">
      <c r="M213" s="17"/>
      <c r="N213" s="17"/>
      <c r="O213" s="17"/>
      <c r="P213" s="17"/>
      <c r="Q213" s="17"/>
      <c r="R213" s="17"/>
      <c r="S213" s="17"/>
      <c r="T213" s="17"/>
      <c r="U213" s="8"/>
      <c r="V213" s="132"/>
      <c r="Y213" s="113"/>
      <c r="AA213" s="17"/>
      <c r="AB213" s="17"/>
    </row>
    <row r="214" spans="13:28">
      <c r="M214" s="17"/>
      <c r="N214" s="17"/>
      <c r="O214" s="17"/>
      <c r="P214" s="17"/>
      <c r="Q214" s="17"/>
      <c r="R214" s="17"/>
      <c r="S214" s="17"/>
      <c r="T214" s="17"/>
      <c r="U214" s="8"/>
      <c r="V214" s="132"/>
      <c r="Y214" s="31"/>
      <c r="AA214" s="17"/>
      <c r="AB214" s="17"/>
    </row>
    <row r="215" spans="13:28" ht="15">
      <c r="M215" s="17"/>
      <c r="N215" s="17"/>
      <c r="O215" s="17"/>
      <c r="P215" s="17"/>
      <c r="Q215" s="17"/>
      <c r="R215" s="17"/>
      <c r="S215" s="17"/>
      <c r="T215" s="17"/>
      <c r="V215" s="133"/>
      <c r="AA215" s="17"/>
      <c r="AB215" s="17"/>
    </row>
    <row r="216" spans="13:28">
      <c r="M216" s="17"/>
      <c r="N216" s="17"/>
      <c r="O216" s="17"/>
      <c r="P216" s="17"/>
      <c r="Q216" s="17"/>
      <c r="R216" s="17"/>
      <c r="S216" s="17"/>
      <c r="T216" s="17"/>
      <c r="V216" s="132"/>
      <c r="Y216" s="113"/>
      <c r="AA216" s="17"/>
      <c r="AB216" s="17"/>
    </row>
    <row r="217" spans="13:28">
      <c r="M217" s="17"/>
      <c r="N217" s="17"/>
      <c r="O217" s="17"/>
      <c r="P217" s="17"/>
      <c r="Q217" s="17"/>
      <c r="R217" s="17"/>
      <c r="S217" s="17"/>
      <c r="T217" s="17"/>
      <c r="AA217" s="17"/>
      <c r="AB217" s="17"/>
    </row>
    <row r="218" spans="13:28"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7"/>
      <c r="AA218" s="17"/>
      <c r="AB218" s="17"/>
    </row>
  </sheetData>
  <mergeCells count="3">
    <mergeCell ref="Y156:Z156"/>
    <mergeCell ref="Y195:Z195"/>
    <mergeCell ref="Y203:Z203"/>
  </mergeCells>
  <conditionalFormatting sqref="F122">
    <cfRule type="cellIs" dxfId="159" priority="18" operator="equal">
      <formula>0</formula>
    </cfRule>
    <cfRule type="cellIs" dxfId="158" priority="19" operator="notEqual">
      <formula>0</formula>
    </cfRule>
  </conditionalFormatting>
  <conditionalFormatting sqref="G106">
    <cfRule type="cellIs" dxfId="157" priority="20" operator="equal">
      <formula>0</formula>
    </cfRule>
    <cfRule type="cellIs" dxfId="156" priority="21" operator="notEqual">
      <formula>0</formula>
    </cfRule>
  </conditionalFormatting>
  <conditionalFormatting sqref="M107">
    <cfRule type="cellIs" dxfId="155" priority="22" operator="equal">
      <formula>0</formula>
    </cfRule>
    <cfRule type="cellIs" dxfId="154" priority="23" operator="notEqual">
      <formula>0</formula>
    </cfRule>
  </conditionalFormatting>
  <conditionalFormatting sqref="T129:T130 Z130 T143 Z143">
    <cfRule type="cellIs" dxfId="153" priority="15" operator="equal">
      <formula>0</formula>
    </cfRule>
    <cfRule type="cellIs" dxfId="152" priority="16" operator="notEqual">
      <formula>0</formula>
    </cfRule>
  </conditionalFormatting>
  <conditionalFormatting sqref="T141">
    <cfRule type="cellIs" dxfId="151" priority="13" operator="equal">
      <formula>0</formula>
    </cfRule>
    <cfRule type="cellIs" dxfId="150" priority="14" operator="notEqual">
      <formula>0</formula>
    </cfRule>
  </conditionalFormatting>
  <conditionalFormatting sqref="U148">
    <cfRule type="duplicateValues" dxfId="149" priority="1" stopIfTrue="1"/>
  </conditionalFormatting>
  <conditionalFormatting sqref="U152:U155 U145:U146 U217 V212:V216 U194:U211">
    <cfRule type="duplicateValues" dxfId="148" priority="17" stopIfTrue="1"/>
  </conditionalFormatting>
  <conditionalFormatting sqref="U156:U193">
    <cfRule type="duplicateValues" dxfId="147" priority="8" stopIfTrue="1"/>
  </conditionalFormatting>
  <conditionalFormatting sqref="Z154">
    <cfRule type="cellIs" dxfId="146" priority="2" operator="equal">
      <formula>0</formula>
    </cfRule>
    <cfRule type="cellIs" dxfId="145" priority="3" operator="notEqual">
      <formula>0</formula>
    </cfRule>
  </conditionalFormatting>
  <conditionalFormatting sqref="Z192:Z193">
    <cfRule type="cellIs" dxfId="144" priority="4" operator="equal">
      <formula>0</formula>
    </cfRule>
    <cfRule type="cellIs" dxfId="143" priority="5" operator="notEqual">
      <formula>0</formula>
    </cfRule>
  </conditionalFormatting>
  <conditionalFormatting sqref="Z200">
    <cfRule type="cellIs" dxfId="142" priority="11" operator="equal">
      <formula>0</formula>
    </cfRule>
    <cfRule type="cellIs" dxfId="141" priority="12" operator="notEqual">
      <formula>0</formula>
    </cfRule>
  </conditionalFormatting>
  <conditionalFormatting sqref="Z208">
    <cfRule type="cellIs" dxfId="140" priority="9" operator="equal">
      <formula>0</formula>
    </cfRule>
    <cfRule type="cellIs" dxfId="139" priority="10" operator="notEqual">
      <formula>0</formula>
    </cfRule>
  </conditionalFormatting>
  <conditionalFormatting sqref="AA184">
    <cfRule type="cellIs" dxfId="138" priority="6" operator="equal">
      <formula>0</formula>
    </cfRule>
    <cfRule type="cellIs" dxfId="137" priority="7" operator="notEqual">
      <formula>0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3771B-DCEA-4103-9301-C24B89D35C86}">
  <sheetPr codeName="Hoja11"/>
  <dimension ref="B1:AF228"/>
  <sheetViews>
    <sheetView zoomScale="80" zoomScaleNormal="80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ColWidth="11.5703125" defaultRowHeight="12.75"/>
  <cols>
    <col min="1" max="1" width="5.28515625" customWidth="1"/>
    <col min="3" max="3" width="76.5703125" bestFit="1" customWidth="1"/>
    <col min="4" max="4" width="13.28515625" customWidth="1"/>
    <col min="5" max="6" width="15.28515625" bestFit="1" customWidth="1"/>
    <col min="7" max="7" width="17.140625" customWidth="1"/>
    <col min="10" max="10" width="23.42578125" customWidth="1"/>
    <col min="11" max="11" width="15.7109375" customWidth="1"/>
    <col min="12" max="12" width="14.140625" customWidth="1"/>
    <col min="13" max="13" width="14.7109375" customWidth="1"/>
    <col min="15" max="15" width="11.140625" bestFit="1" customWidth="1"/>
    <col min="16" max="16" width="11.85546875" bestFit="1" customWidth="1"/>
    <col min="17" max="17" width="14.85546875" bestFit="1" customWidth="1"/>
    <col min="18" max="18" width="14.42578125" bestFit="1" customWidth="1"/>
    <col min="19" max="19" width="12.7109375" customWidth="1"/>
    <col min="20" max="20" width="14.42578125" bestFit="1" customWidth="1"/>
    <col min="21" max="21" width="15.5703125" bestFit="1" customWidth="1"/>
    <col min="22" max="22" width="11.7109375" bestFit="1" customWidth="1"/>
    <col min="23" max="24" width="12.7109375" bestFit="1" customWidth="1"/>
    <col min="25" max="25" width="12.140625" customWidth="1"/>
    <col min="26" max="26" width="12.28515625" customWidth="1"/>
    <col min="27" max="27" width="11.140625" bestFit="1" customWidth="1"/>
    <col min="28" max="28" width="10.7109375" customWidth="1"/>
    <col min="29" max="29" width="11" bestFit="1" customWidth="1"/>
    <col min="30" max="30" width="11.28515625" bestFit="1" customWidth="1"/>
    <col min="31" max="31" width="13" bestFit="1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B2" s="73"/>
      <c r="C2" s="73"/>
      <c r="D2" s="73"/>
      <c r="E2" s="59"/>
      <c r="F2" s="59"/>
      <c r="G2" s="56"/>
      <c r="H2" s="137"/>
      <c r="I2" s="70"/>
      <c r="J2" s="17"/>
      <c r="K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2:32">
      <c r="B3" s="73"/>
      <c r="C3" s="73"/>
      <c r="D3" s="73"/>
      <c r="E3" s="59"/>
      <c r="F3" s="59"/>
      <c r="G3" s="56"/>
      <c r="H3" s="137"/>
      <c r="I3" s="70"/>
      <c r="J3" s="17"/>
      <c r="K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2:32">
      <c r="B4" s="73"/>
      <c r="C4" s="73"/>
      <c r="D4" s="73"/>
      <c r="E4" s="59"/>
      <c r="F4" s="59"/>
      <c r="G4" s="59"/>
      <c r="H4" s="137"/>
      <c r="I4" s="70"/>
      <c r="J4" s="17"/>
      <c r="K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2:32">
      <c r="B5" s="73"/>
      <c r="C5" s="73"/>
      <c r="D5" s="73"/>
      <c r="E5" s="59"/>
      <c r="F5" s="59"/>
      <c r="G5" s="59"/>
      <c r="H5" s="137"/>
      <c r="I5" s="70"/>
      <c r="J5" s="17"/>
      <c r="K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2:32">
      <c r="B6" s="73"/>
      <c r="C6" s="73"/>
      <c r="D6" s="73"/>
      <c r="E6" s="59"/>
      <c r="F6" s="59"/>
      <c r="G6" s="59"/>
      <c r="H6" s="137"/>
      <c r="I6" s="70"/>
      <c r="J6" s="17"/>
      <c r="K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2:32">
      <c r="B7" s="73"/>
      <c r="C7" s="73"/>
      <c r="D7" s="73"/>
      <c r="E7" s="59"/>
      <c r="F7" s="59"/>
      <c r="G7" s="59"/>
      <c r="H7" s="137"/>
      <c r="I7" s="70"/>
      <c r="J7" s="17"/>
      <c r="K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2:32">
      <c r="B8" s="73"/>
      <c r="C8" s="73"/>
      <c r="D8" s="73"/>
      <c r="E8" s="59"/>
      <c r="F8" s="59"/>
      <c r="G8" s="59"/>
      <c r="H8" s="137"/>
      <c r="I8" s="70"/>
      <c r="J8" s="17"/>
      <c r="K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2:32">
      <c r="B9" s="73"/>
      <c r="C9" s="73"/>
      <c r="D9" s="73"/>
      <c r="E9" s="59"/>
      <c r="F9" s="59"/>
      <c r="G9" s="59"/>
      <c r="H9" s="137"/>
      <c r="I9" s="70"/>
      <c r="J9" s="17"/>
      <c r="K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2:32">
      <c r="B10" s="73"/>
      <c r="C10" s="73"/>
      <c r="D10" s="73"/>
      <c r="E10" s="59"/>
      <c r="F10" s="59"/>
      <c r="G10" s="59"/>
      <c r="H10" s="137"/>
      <c r="I10" s="70"/>
      <c r="J10" s="17"/>
      <c r="K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2:32">
      <c r="B11" s="73"/>
      <c r="C11" s="73"/>
      <c r="D11" s="73"/>
      <c r="E11" s="59"/>
      <c r="F11" s="59"/>
      <c r="G11" s="59"/>
      <c r="H11" s="137"/>
      <c r="I11" s="70"/>
      <c r="J11" s="17"/>
      <c r="K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2:32">
      <c r="B12" s="73"/>
      <c r="C12" s="73"/>
      <c r="D12" s="73"/>
      <c r="E12" s="59"/>
      <c r="F12" s="59"/>
      <c r="G12" s="59"/>
      <c r="H12" s="137"/>
      <c r="I12" s="70"/>
      <c r="J12" s="17"/>
      <c r="K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2:32">
      <c r="B13" s="73"/>
      <c r="C13" s="73"/>
      <c r="D13" s="73"/>
      <c r="E13" s="59"/>
      <c r="F13" s="59"/>
      <c r="G13" s="59"/>
      <c r="H13" s="137"/>
      <c r="I13" s="70"/>
      <c r="J13" s="17"/>
      <c r="K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2:32">
      <c r="B14" s="73"/>
      <c r="C14" s="73"/>
      <c r="D14" s="73"/>
      <c r="E14" s="59"/>
      <c r="F14" s="59"/>
      <c r="G14" s="59"/>
      <c r="H14" s="137"/>
      <c r="I14" s="70"/>
      <c r="J14" s="17"/>
      <c r="K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2:32">
      <c r="B15" s="73"/>
      <c r="C15" s="73"/>
      <c r="D15" s="73"/>
      <c r="E15" s="59"/>
      <c r="F15" s="59"/>
      <c r="G15" s="59"/>
      <c r="H15" s="137"/>
      <c r="I15" s="70"/>
      <c r="J15" s="17"/>
      <c r="K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2:32">
      <c r="B16" s="73"/>
      <c r="C16" s="73"/>
      <c r="D16" s="73"/>
      <c r="E16" s="59"/>
      <c r="F16" s="59"/>
      <c r="G16" s="59"/>
      <c r="H16" s="137"/>
      <c r="I16" s="70"/>
      <c r="J16" s="17"/>
      <c r="K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2:31">
      <c r="B17" s="73"/>
      <c r="C17" s="73"/>
      <c r="D17" s="73"/>
      <c r="E17" s="59"/>
      <c r="F17" s="59"/>
      <c r="G17" s="59"/>
      <c r="H17" s="137"/>
      <c r="I17" s="70"/>
      <c r="J17" s="17"/>
      <c r="K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</row>
    <row r="18" spans="2:31">
      <c r="B18" s="73"/>
      <c r="C18" s="73"/>
      <c r="D18" s="73"/>
      <c r="E18" s="59"/>
      <c r="F18" s="59"/>
      <c r="G18" s="59"/>
      <c r="H18" s="137"/>
      <c r="I18" s="70"/>
      <c r="J18" s="17"/>
      <c r="K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2:31">
      <c r="B19" s="73"/>
      <c r="C19" s="73"/>
      <c r="D19" s="73"/>
      <c r="E19" s="59"/>
      <c r="F19" s="59"/>
      <c r="G19" s="59"/>
      <c r="H19" s="137"/>
      <c r="I19" s="70"/>
      <c r="J19" s="17"/>
      <c r="K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2:31">
      <c r="B20" s="73"/>
      <c r="C20" s="73"/>
      <c r="D20" s="73"/>
      <c r="E20" s="59"/>
      <c r="F20" s="59"/>
      <c r="G20" s="59"/>
      <c r="H20" s="137"/>
      <c r="I20" s="70"/>
      <c r="J20" s="17"/>
      <c r="K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</row>
    <row r="21" spans="2:31">
      <c r="B21" s="73"/>
      <c r="C21" s="73"/>
      <c r="D21" s="73"/>
      <c r="E21" s="59"/>
      <c r="F21" s="59"/>
      <c r="G21" s="59"/>
      <c r="H21" s="137"/>
      <c r="I21" s="70"/>
      <c r="J21" s="17"/>
      <c r="K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</row>
    <row r="22" spans="2:31">
      <c r="B22" s="73"/>
      <c r="C22" s="73"/>
      <c r="D22" s="73"/>
      <c r="E22" s="59"/>
      <c r="F22" s="59"/>
      <c r="G22" s="59"/>
      <c r="H22" s="137"/>
      <c r="I22" s="70"/>
      <c r="J22" s="17"/>
      <c r="K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</row>
    <row r="23" spans="2:31">
      <c r="B23" s="73"/>
      <c r="C23" s="73"/>
      <c r="D23" s="73"/>
      <c r="E23" s="59"/>
      <c r="F23" s="59"/>
      <c r="G23" s="59"/>
      <c r="H23" s="137"/>
      <c r="I23" s="70"/>
      <c r="J23" s="17"/>
      <c r="K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2:31">
      <c r="B24" s="73"/>
      <c r="C24" s="73"/>
      <c r="D24" s="73"/>
      <c r="E24" s="59"/>
      <c r="F24" s="59"/>
      <c r="G24" s="59"/>
      <c r="H24" s="137"/>
      <c r="I24" s="70"/>
      <c r="J24" s="17"/>
      <c r="K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</row>
    <row r="25" spans="2:31">
      <c r="B25" s="73"/>
      <c r="C25" s="73"/>
      <c r="D25" s="73"/>
      <c r="E25" s="59"/>
      <c r="F25" s="59"/>
      <c r="G25" s="59"/>
      <c r="H25" s="137"/>
      <c r="I25" s="70"/>
      <c r="J25" s="17"/>
      <c r="K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</row>
    <row r="26" spans="2:31">
      <c r="B26" s="73"/>
      <c r="C26" s="73"/>
      <c r="D26" s="73"/>
      <c r="E26" s="59"/>
      <c r="F26" s="59"/>
      <c r="G26" s="59"/>
      <c r="H26" s="137"/>
      <c r="I26" s="70"/>
      <c r="J26" s="17"/>
      <c r="K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</row>
    <row r="27" spans="2:31">
      <c r="B27" s="73"/>
      <c r="C27" s="73"/>
      <c r="D27" s="73"/>
      <c r="E27" s="59"/>
      <c r="F27" s="59"/>
      <c r="G27" s="59"/>
      <c r="H27" s="137"/>
      <c r="I27" s="70"/>
      <c r="J27" s="17"/>
      <c r="K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</row>
    <row r="28" spans="2:31">
      <c r="B28" s="73"/>
      <c r="C28" s="73"/>
      <c r="D28" s="73"/>
      <c r="E28" s="59"/>
      <c r="F28" s="59"/>
      <c r="G28" s="59"/>
      <c r="H28" s="137"/>
      <c r="I28" s="70"/>
      <c r="J28" s="17"/>
      <c r="K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</row>
    <row r="29" spans="2:31">
      <c r="B29" s="73"/>
      <c r="C29" s="73"/>
      <c r="D29" s="73"/>
      <c r="E29" s="59"/>
      <c r="F29" s="59"/>
      <c r="G29" s="59"/>
      <c r="H29" s="137"/>
      <c r="I29" s="70"/>
      <c r="J29" s="17"/>
      <c r="K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</row>
    <row r="30" spans="2:31">
      <c r="B30" s="73"/>
      <c r="C30" s="73"/>
      <c r="D30" s="73"/>
      <c r="E30" s="59"/>
      <c r="F30" s="59"/>
      <c r="G30" s="59"/>
      <c r="H30" s="137"/>
      <c r="I30" s="70"/>
      <c r="J30" s="17"/>
      <c r="K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</row>
    <row r="31" spans="2:31">
      <c r="B31" s="73"/>
      <c r="C31" s="73"/>
      <c r="D31" s="73"/>
      <c r="E31" s="59"/>
      <c r="F31" s="59"/>
      <c r="G31" s="59"/>
      <c r="H31" s="137"/>
      <c r="I31" s="70"/>
      <c r="J31" s="17"/>
      <c r="K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</row>
    <row r="32" spans="2:31">
      <c r="B32" s="73"/>
      <c r="C32" s="73"/>
      <c r="D32" s="73"/>
      <c r="E32" s="59"/>
      <c r="F32" s="59"/>
      <c r="G32" s="59"/>
      <c r="H32" s="137"/>
      <c r="I32" s="70"/>
      <c r="J32" s="17"/>
      <c r="K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</row>
    <row r="33" spans="2:31">
      <c r="B33" s="73"/>
      <c r="C33" s="73"/>
      <c r="D33" s="73"/>
      <c r="E33" s="59"/>
      <c r="F33" s="59"/>
      <c r="G33" s="59"/>
      <c r="H33" s="137"/>
      <c r="I33" s="70"/>
      <c r="J33" s="17"/>
      <c r="K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  <row r="34" spans="2:31">
      <c r="B34" s="73"/>
      <c r="C34" s="73"/>
      <c r="D34" s="73"/>
      <c r="E34" s="59"/>
      <c r="F34" s="59"/>
      <c r="G34" s="59"/>
      <c r="H34" s="137"/>
      <c r="I34" s="70"/>
      <c r="J34" s="17"/>
      <c r="K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</row>
    <row r="35" spans="2:31">
      <c r="B35" s="73"/>
      <c r="C35" s="73"/>
      <c r="D35" s="73"/>
      <c r="E35" s="59"/>
      <c r="F35" s="59"/>
      <c r="G35" s="59"/>
      <c r="H35" s="137"/>
      <c r="I35" s="70"/>
      <c r="J35" s="17"/>
      <c r="K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2:31">
      <c r="B36" s="73"/>
      <c r="C36" s="73"/>
      <c r="D36" s="73"/>
      <c r="E36" s="59"/>
      <c r="F36" s="59"/>
      <c r="G36" s="59"/>
      <c r="H36" s="137"/>
      <c r="I36" s="70"/>
      <c r="J36" s="17"/>
      <c r="K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2:31">
      <c r="B37" s="73"/>
      <c r="C37" s="73"/>
      <c r="D37" s="73"/>
      <c r="E37" s="59"/>
      <c r="F37" s="59"/>
      <c r="G37" s="59"/>
      <c r="H37" s="137"/>
      <c r="I37" s="70"/>
      <c r="J37" s="17"/>
      <c r="K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2:31">
      <c r="B38" s="73"/>
      <c r="C38" s="73"/>
      <c r="D38" s="73"/>
      <c r="E38" s="59"/>
      <c r="F38" s="59"/>
      <c r="G38" s="59"/>
      <c r="H38" s="137"/>
      <c r="I38" s="70"/>
      <c r="J38" s="17"/>
      <c r="K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2:31">
      <c r="B39" s="73"/>
      <c r="C39" s="73"/>
      <c r="D39" s="73"/>
      <c r="E39" s="59"/>
      <c r="F39" s="59"/>
      <c r="G39" s="59"/>
      <c r="H39" s="137"/>
      <c r="I39" s="70"/>
      <c r="J39" s="17"/>
      <c r="K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2:31">
      <c r="B40" s="73"/>
      <c r="C40" s="73"/>
      <c r="D40" s="73"/>
      <c r="E40" s="59"/>
      <c r="F40" s="59"/>
      <c r="G40" s="59"/>
      <c r="H40" s="137"/>
      <c r="I40" s="70"/>
      <c r="J40" s="17"/>
      <c r="K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2:31">
      <c r="B41" s="73"/>
      <c r="C41" s="73"/>
      <c r="D41" s="73"/>
      <c r="E41" s="59"/>
      <c r="F41" s="59"/>
      <c r="G41" s="59"/>
      <c r="H41" s="137"/>
      <c r="I41" s="70"/>
      <c r="J41" s="17"/>
      <c r="K41" s="17"/>
      <c r="M41" s="7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2:31">
      <c r="B42" s="73"/>
      <c r="C42" s="73"/>
      <c r="D42" s="73"/>
      <c r="E42" s="59"/>
      <c r="F42" s="59"/>
      <c r="G42" s="59"/>
      <c r="H42" s="137"/>
      <c r="I42" s="70"/>
      <c r="J42" s="17"/>
      <c r="K42" s="17"/>
      <c r="M42" s="7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2:31">
      <c r="B43" s="73"/>
      <c r="C43" s="73"/>
      <c r="D43" s="73"/>
      <c r="E43" s="59"/>
      <c r="F43" s="59"/>
      <c r="G43" s="59"/>
      <c r="H43" s="137"/>
      <c r="I43" s="70"/>
      <c r="J43" s="17"/>
      <c r="K43" s="17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2:31">
      <c r="B44" s="73"/>
      <c r="C44" s="73"/>
      <c r="D44" s="73"/>
      <c r="E44" s="59"/>
      <c r="F44" s="59"/>
      <c r="G44" s="138"/>
      <c r="H44" s="137"/>
      <c r="I44" s="70"/>
      <c r="J44" s="17"/>
      <c r="K44" s="17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2:31" ht="12.6" customHeight="1">
      <c r="B45" s="74"/>
      <c r="C45" s="75"/>
      <c r="D45" s="74"/>
      <c r="E45" s="56"/>
      <c r="F45" s="56"/>
      <c r="G45" s="56"/>
      <c r="H45" s="76"/>
      <c r="I45" s="70"/>
      <c r="J45" s="17"/>
      <c r="K45" s="17"/>
      <c r="L45" s="29"/>
      <c r="M45" s="77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2:31">
      <c r="B46" s="73"/>
      <c r="C46" s="73"/>
      <c r="D46" s="73"/>
      <c r="E46" s="59"/>
      <c r="F46" s="59"/>
      <c r="G46" s="59"/>
      <c r="H46" s="137"/>
      <c r="I46" s="25"/>
      <c r="J46" s="139"/>
      <c r="K46" s="139"/>
      <c r="M46" s="71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2:31">
      <c r="B47" s="73"/>
      <c r="C47" s="73"/>
      <c r="D47" s="73"/>
      <c r="E47" s="59"/>
      <c r="F47" s="59"/>
      <c r="G47" s="59"/>
      <c r="H47" s="137"/>
      <c r="I47" s="25"/>
      <c r="J47" s="139"/>
      <c r="K47" s="139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2:31">
      <c r="B48" s="73"/>
      <c r="C48" s="73"/>
      <c r="D48" s="73"/>
      <c r="E48" s="59"/>
      <c r="F48" s="59"/>
      <c r="G48" s="59"/>
      <c r="H48" s="137"/>
      <c r="I48" s="70"/>
      <c r="J48" s="17"/>
      <c r="K48" s="139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2:31">
      <c r="B49" s="73"/>
      <c r="C49" s="73"/>
      <c r="D49" s="73"/>
      <c r="E49" s="59"/>
      <c r="F49" s="59"/>
      <c r="G49" s="59"/>
      <c r="H49" s="137"/>
      <c r="I49" s="70"/>
      <c r="J49" s="17"/>
      <c r="K49" s="140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2:31">
      <c r="B50" s="73"/>
      <c r="C50" s="73"/>
      <c r="D50" s="73"/>
      <c r="E50" s="59"/>
      <c r="F50" s="59"/>
      <c r="G50" s="59"/>
      <c r="H50" s="137"/>
      <c r="I50" s="70"/>
      <c r="J50" s="17"/>
      <c r="K50" s="140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2:31">
      <c r="B51" s="73"/>
      <c r="C51" s="73"/>
      <c r="D51" s="73"/>
      <c r="E51" s="59"/>
      <c r="F51" s="59"/>
      <c r="G51" s="59"/>
      <c r="H51" s="137"/>
      <c r="I51" s="70"/>
      <c r="J51" s="17"/>
      <c r="K51" s="140"/>
      <c r="L51" s="141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2:31">
      <c r="B52" s="73"/>
      <c r="C52" s="73"/>
      <c r="D52" s="73"/>
      <c r="E52" s="59"/>
      <c r="F52" s="59"/>
      <c r="G52" s="59"/>
      <c r="H52" s="137"/>
      <c r="I52" s="70"/>
      <c r="J52" s="17"/>
      <c r="K52" s="140"/>
      <c r="L52" s="141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2:31">
      <c r="B53" s="73"/>
      <c r="C53" s="73"/>
      <c r="D53" s="73"/>
      <c r="E53" s="59"/>
      <c r="F53" s="59"/>
      <c r="G53" s="59"/>
      <c r="H53" s="137"/>
      <c r="I53" s="70"/>
      <c r="J53" s="17"/>
      <c r="K53" s="17"/>
      <c r="M53" s="7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2:31">
      <c r="B54" s="73"/>
      <c r="C54" s="73"/>
      <c r="D54" s="73"/>
      <c r="E54" s="59"/>
      <c r="F54" s="59"/>
      <c r="G54" s="59"/>
      <c r="H54" s="137"/>
      <c r="I54" s="70"/>
      <c r="J54" s="17"/>
      <c r="K54" s="17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2:31">
      <c r="B55" s="73"/>
      <c r="C55" s="73"/>
      <c r="D55" s="73"/>
      <c r="E55" s="59"/>
      <c r="F55" s="59"/>
      <c r="G55" s="59"/>
      <c r="H55" s="137"/>
      <c r="I55" s="70"/>
      <c r="J55" s="17"/>
      <c r="K55" s="140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2:31">
      <c r="B56" s="73"/>
      <c r="C56" s="73"/>
      <c r="D56" s="73"/>
      <c r="E56" s="59"/>
      <c r="F56" s="59"/>
      <c r="G56" s="59"/>
      <c r="H56" s="137"/>
      <c r="I56" s="70"/>
      <c r="J56" s="17"/>
      <c r="K56" s="140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2:31">
      <c r="B57" s="73"/>
      <c r="C57" s="73"/>
      <c r="D57" s="73"/>
      <c r="E57" s="59"/>
      <c r="F57" s="59"/>
      <c r="G57" s="59"/>
      <c r="H57" s="137"/>
      <c r="I57" s="70"/>
      <c r="J57" s="17"/>
      <c r="K57" s="140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2:31">
      <c r="B58" s="73"/>
      <c r="C58" s="73"/>
      <c r="D58" s="73"/>
      <c r="E58" s="59"/>
      <c r="F58" s="59"/>
      <c r="G58" s="59"/>
      <c r="H58" s="137"/>
      <c r="I58" s="70"/>
      <c r="J58" s="17"/>
      <c r="K58" s="140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2:31">
      <c r="B59" s="73"/>
      <c r="C59" s="73"/>
      <c r="D59" s="73"/>
      <c r="E59" s="59"/>
      <c r="F59" s="59"/>
      <c r="G59" s="59"/>
      <c r="H59" s="137"/>
      <c r="I59" s="70"/>
      <c r="J59" s="17"/>
      <c r="K59" s="140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2:31">
      <c r="B60" s="73"/>
      <c r="C60" s="73"/>
      <c r="D60" s="73"/>
      <c r="E60" s="59"/>
      <c r="F60" s="59"/>
      <c r="G60" s="59"/>
      <c r="H60" s="137"/>
      <c r="I60" s="70"/>
      <c r="J60" s="17"/>
      <c r="K60" s="17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2:31">
      <c r="B61" s="73"/>
      <c r="C61" s="73"/>
      <c r="D61" s="73"/>
      <c r="E61" s="59"/>
      <c r="F61" s="59"/>
      <c r="G61" s="59"/>
      <c r="H61" s="137"/>
      <c r="I61" s="70"/>
      <c r="J61" s="17"/>
      <c r="K61" s="140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2:31">
      <c r="B62" s="73"/>
      <c r="C62" s="73"/>
      <c r="D62" s="73"/>
      <c r="E62" s="59"/>
      <c r="F62" s="59"/>
      <c r="G62" s="59"/>
      <c r="H62" s="137"/>
      <c r="I62" s="70"/>
      <c r="J62" s="17"/>
      <c r="K62" s="140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2:31">
      <c r="B63" s="73"/>
      <c r="C63" s="73"/>
      <c r="D63" s="73"/>
      <c r="E63" s="59"/>
      <c r="F63" s="59"/>
      <c r="G63" s="59"/>
      <c r="H63" s="137"/>
      <c r="I63" s="70"/>
      <c r="J63" s="17"/>
      <c r="K63" s="142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2:31">
      <c r="B64" s="73"/>
      <c r="C64" s="73"/>
      <c r="D64" s="73"/>
      <c r="E64" s="59"/>
      <c r="F64" s="59"/>
      <c r="G64" s="59"/>
      <c r="H64" s="137"/>
      <c r="I64" s="70"/>
      <c r="J64" s="17"/>
      <c r="K64" s="142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</row>
    <row r="65" spans="2:31">
      <c r="B65" s="73"/>
      <c r="C65" s="73"/>
      <c r="D65" s="73"/>
      <c r="E65" s="59"/>
      <c r="F65" s="59"/>
      <c r="G65" s="59"/>
      <c r="H65" s="137"/>
      <c r="I65" s="70"/>
      <c r="J65" s="17"/>
      <c r="K65" s="17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</row>
    <row r="66" spans="2:31">
      <c r="B66" s="73"/>
      <c r="C66" s="73"/>
      <c r="D66" s="73"/>
      <c r="E66" s="59"/>
      <c r="F66" s="59"/>
      <c r="G66" s="59"/>
      <c r="H66" s="137"/>
      <c r="I66" s="70"/>
      <c r="J66" s="17"/>
      <c r="K66" s="17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</row>
    <row r="67" spans="2:31">
      <c r="B67" s="73"/>
      <c r="C67" s="73"/>
      <c r="D67" s="73"/>
      <c r="E67" s="59"/>
      <c r="F67" s="59"/>
      <c r="G67" s="59"/>
      <c r="H67" s="137"/>
      <c r="I67" s="70"/>
      <c r="J67" s="17"/>
      <c r="K67" s="17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</row>
    <row r="68" spans="2:31">
      <c r="B68" s="73"/>
      <c r="C68" s="73"/>
      <c r="D68" s="73"/>
      <c r="E68" s="59"/>
      <c r="F68" s="59"/>
      <c r="G68" s="59"/>
      <c r="H68" s="137"/>
      <c r="I68" s="70"/>
      <c r="J68" s="17"/>
      <c r="K68" s="17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</row>
    <row r="69" spans="2:31">
      <c r="B69" s="73"/>
      <c r="C69" s="73"/>
      <c r="D69" s="73"/>
      <c r="E69" s="59"/>
      <c r="F69" s="59"/>
      <c r="G69" s="59"/>
      <c r="H69" s="137"/>
      <c r="I69" s="70"/>
      <c r="J69" s="17"/>
      <c r="K69" s="17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</row>
    <row r="70" spans="2:31">
      <c r="B70" s="73"/>
      <c r="C70" s="73"/>
      <c r="D70" s="73"/>
      <c r="E70" s="59"/>
      <c r="F70" s="59"/>
      <c r="G70" s="59"/>
      <c r="H70" s="137"/>
      <c r="I70" s="70"/>
      <c r="J70" s="17"/>
      <c r="K70" s="17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</row>
    <row r="71" spans="2:31">
      <c r="B71" s="73"/>
      <c r="C71" s="73"/>
      <c r="D71" s="73"/>
      <c r="E71" s="59"/>
      <c r="F71" s="59"/>
      <c r="G71" s="59"/>
      <c r="H71" s="137"/>
      <c r="I71" s="70"/>
      <c r="J71" s="17"/>
      <c r="K71" s="17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</row>
    <row r="72" spans="2:31">
      <c r="B72" s="73"/>
      <c r="C72" s="73"/>
      <c r="D72" s="73"/>
      <c r="E72" s="59"/>
      <c r="F72" s="59"/>
      <c r="G72" s="59"/>
      <c r="H72" s="137"/>
      <c r="I72" s="70"/>
      <c r="J72" s="17"/>
      <c r="K72" s="17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</row>
    <row r="73" spans="2:31">
      <c r="B73" s="73"/>
      <c r="C73" s="73"/>
      <c r="D73" s="73"/>
      <c r="E73" s="59"/>
      <c r="F73" s="59"/>
      <c r="G73" s="59"/>
      <c r="H73" s="137"/>
      <c r="I73" s="70"/>
      <c r="J73" s="17"/>
      <c r="K73" s="17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</row>
    <row r="74" spans="2:31">
      <c r="B74" s="73"/>
      <c r="C74" s="73"/>
      <c r="D74" s="73"/>
      <c r="E74" s="59"/>
      <c r="F74" s="59"/>
      <c r="G74" s="59"/>
      <c r="H74" s="137"/>
      <c r="I74" s="70"/>
      <c r="J74" s="17"/>
      <c r="K74" s="17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</row>
    <row r="75" spans="2:31">
      <c r="B75" s="73"/>
      <c r="C75" s="73"/>
      <c r="D75" s="73"/>
      <c r="E75" s="59"/>
      <c r="F75" s="59"/>
      <c r="G75" s="59"/>
      <c r="H75" s="137"/>
      <c r="I75" s="70"/>
      <c r="J75" s="17"/>
      <c r="K75" s="17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</row>
    <row r="76" spans="2:31">
      <c r="B76" s="73"/>
      <c r="C76" s="73"/>
      <c r="D76" s="73"/>
      <c r="E76" s="59"/>
      <c r="F76" s="59"/>
      <c r="G76" s="59"/>
      <c r="H76" s="137"/>
      <c r="I76" s="70"/>
      <c r="J76" s="17"/>
      <c r="K76" s="17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</row>
    <row r="77" spans="2:31">
      <c r="B77" s="73"/>
      <c r="C77" s="73"/>
      <c r="D77" s="73"/>
      <c r="E77" s="59"/>
      <c r="F77" s="59"/>
      <c r="G77" s="59"/>
      <c r="H77" s="137"/>
      <c r="I77" s="70"/>
      <c r="J77" s="17"/>
      <c r="K77" s="17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</row>
    <row r="78" spans="2:31">
      <c r="B78" s="73"/>
      <c r="C78" s="73"/>
      <c r="D78" s="73"/>
      <c r="E78" s="59"/>
      <c r="F78" s="59"/>
      <c r="G78" s="59"/>
      <c r="H78" s="137"/>
      <c r="I78" s="70"/>
      <c r="J78" s="17"/>
      <c r="K78" s="17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</row>
    <row r="79" spans="2:31">
      <c r="B79" s="73"/>
      <c r="C79" s="73"/>
      <c r="D79" s="73"/>
      <c r="E79" s="59"/>
      <c r="F79" s="59"/>
      <c r="G79" s="59"/>
      <c r="H79" s="137"/>
      <c r="I79" s="70"/>
      <c r="J79" s="17"/>
      <c r="K79" s="17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</row>
    <row r="80" spans="2:31">
      <c r="B80" s="73"/>
      <c r="C80" s="73"/>
      <c r="D80" s="73"/>
      <c r="E80" s="59"/>
      <c r="F80" s="59"/>
      <c r="G80" s="59"/>
      <c r="H80" s="137"/>
      <c r="I80" s="70"/>
      <c r="J80" s="17"/>
      <c r="K80" s="17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</row>
    <row r="81" spans="2:31">
      <c r="B81" s="73"/>
      <c r="C81" s="73"/>
      <c r="D81" s="73"/>
      <c r="E81" s="59"/>
      <c r="F81" s="59"/>
      <c r="G81" s="59"/>
      <c r="H81" s="137"/>
      <c r="I81" s="70"/>
      <c r="J81" s="17"/>
      <c r="K81" s="17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</row>
    <row r="82" spans="2:31">
      <c r="B82" s="73"/>
      <c r="C82" s="73"/>
      <c r="D82" s="73"/>
      <c r="E82" s="59"/>
      <c r="F82" s="59"/>
      <c r="G82" s="59"/>
      <c r="H82" s="137"/>
      <c r="I82" s="70"/>
      <c r="J82" s="17"/>
      <c r="K82" s="17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</row>
    <row r="83" spans="2:31">
      <c r="B83" s="73"/>
      <c r="C83" s="73"/>
      <c r="D83" s="73"/>
      <c r="E83" s="59"/>
      <c r="F83" s="59"/>
      <c r="G83" s="59"/>
      <c r="H83" s="137"/>
      <c r="I83" s="70"/>
      <c r="J83" s="17"/>
      <c r="K83" s="17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</row>
    <row r="84" spans="2:31">
      <c r="B84" s="73"/>
      <c r="C84" s="73"/>
      <c r="D84" s="73"/>
      <c r="E84" s="59"/>
      <c r="F84" s="59"/>
      <c r="G84" s="59"/>
      <c r="H84" s="137"/>
      <c r="I84" s="70"/>
      <c r="J84" s="17"/>
      <c r="K84" s="17"/>
      <c r="M84" s="7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</row>
    <row r="85" spans="2:31">
      <c r="B85" s="73"/>
      <c r="C85" s="73"/>
      <c r="D85" s="73"/>
      <c r="E85" s="59"/>
      <c r="F85" s="59"/>
      <c r="G85" s="59"/>
      <c r="H85" s="137"/>
      <c r="I85" s="70"/>
      <c r="J85" s="17"/>
      <c r="K85" s="17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</row>
    <row r="86" spans="2:31">
      <c r="B86" s="73"/>
      <c r="C86" s="73"/>
      <c r="D86" s="73"/>
      <c r="E86" s="59"/>
      <c r="F86" s="59"/>
      <c r="G86" s="59"/>
      <c r="H86" s="137"/>
      <c r="I86" s="70"/>
      <c r="J86" s="17"/>
      <c r="K86" s="17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</row>
    <row r="87" spans="2:31">
      <c r="B87" s="73"/>
      <c r="C87" s="73"/>
      <c r="D87" s="73"/>
      <c r="E87" s="59"/>
      <c r="F87" s="59"/>
      <c r="G87" s="59"/>
      <c r="H87" s="137"/>
      <c r="I87" s="70"/>
      <c r="J87" s="17"/>
      <c r="K87" s="17"/>
      <c r="M87" s="7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</row>
    <row r="88" spans="2:31">
      <c r="B88" s="73"/>
      <c r="C88" s="73"/>
      <c r="D88" s="73"/>
      <c r="E88" s="59"/>
      <c r="F88" s="59"/>
      <c r="G88" s="59"/>
      <c r="H88" s="137"/>
      <c r="I88" s="70"/>
      <c r="J88" s="17"/>
      <c r="K88" s="17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</row>
    <row r="89" spans="2:31">
      <c r="B89" s="73"/>
      <c r="C89" s="73"/>
      <c r="D89" s="73"/>
      <c r="E89" s="59"/>
      <c r="F89" s="59"/>
      <c r="G89" s="59"/>
      <c r="H89" s="137"/>
      <c r="I89" s="70"/>
      <c r="J89" s="17"/>
      <c r="K89" s="17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</row>
    <row r="90" spans="2:31">
      <c r="B90" s="73"/>
      <c r="C90" s="73"/>
      <c r="D90" s="73"/>
      <c r="E90" s="59"/>
      <c r="F90" s="59"/>
      <c r="G90" s="59"/>
      <c r="H90" s="137"/>
      <c r="I90" s="70"/>
      <c r="J90" s="17"/>
      <c r="K90" s="17"/>
      <c r="M90" s="71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</row>
    <row r="91" spans="2:31">
      <c r="B91" s="73"/>
      <c r="C91" s="73"/>
      <c r="D91" s="73"/>
      <c r="E91" s="59"/>
      <c r="F91" s="59"/>
      <c r="G91" s="59"/>
      <c r="H91" s="137"/>
      <c r="I91" s="70"/>
      <c r="J91" s="17"/>
      <c r="K91" s="17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</row>
    <row r="92" spans="2:31">
      <c r="B92" s="73"/>
      <c r="C92" s="73"/>
      <c r="D92" s="73"/>
      <c r="E92" s="59"/>
      <c r="F92" s="59"/>
      <c r="G92" s="59"/>
      <c r="H92" s="137"/>
      <c r="I92" s="70"/>
      <c r="J92" s="17"/>
      <c r="K92" s="17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</row>
    <row r="93" spans="2:31">
      <c r="B93" s="73"/>
      <c r="C93" s="73"/>
      <c r="D93" s="73"/>
      <c r="E93" s="59"/>
      <c r="F93" s="59"/>
      <c r="G93" s="59"/>
      <c r="H93" s="137"/>
      <c r="I93" s="70"/>
      <c r="J93" s="17"/>
      <c r="K93" s="17"/>
      <c r="M93" s="71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</row>
    <row r="94" spans="2:31">
      <c r="B94" s="73"/>
      <c r="C94" s="73"/>
      <c r="D94" s="73"/>
      <c r="E94" s="59"/>
      <c r="F94" s="59"/>
      <c r="G94" s="59"/>
      <c r="H94" s="137"/>
      <c r="I94" s="70"/>
      <c r="J94" s="17"/>
      <c r="K94" s="17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</row>
    <row r="95" spans="2:31">
      <c r="B95" s="73"/>
      <c r="C95" s="73"/>
      <c r="D95" s="73"/>
      <c r="E95" s="59"/>
      <c r="F95" s="59"/>
      <c r="G95" s="59"/>
      <c r="H95" s="137"/>
      <c r="I95" s="70"/>
      <c r="J95" s="17"/>
      <c r="K95" s="17"/>
      <c r="M95" s="7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</row>
    <row r="96" spans="2:31">
      <c r="B96" s="73"/>
      <c r="C96" s="73"/>
      <c r="D96" s="73"/>
      <c r="E96" s="59"/>
      <c r="F96" s="59"/>
      <c r="G96" s="59"/>
      <c r="H96" s="137"/>
      <c r="I96" s="70"/>
      <c r="J96" s="17"/>
      <c r="K96" s="17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</row>
    <row r="97" spans="2:31" ht="15" customHeight="1">
      <c r="B97" s="73"/>
      <c r="C97" s="73"/>
      <c r="D97" s="73"/>
      <c r="E97" s="59"/>
      <c r="F97" s="59"/>
      <c r="G97" s="59"/>
      <c r="H97" s="137"/>
      <c r="I97" s="70"/>
      <c r="J97" s="17"/>
      <c r="K97" s="17"/>
      <c r="M97" s="7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</row>
    <row r="98" spans="2:31" ht="12.6" customHeight="1">
      <c r="B98" s="74"/>
      <c r="C98" s="75"/>
      <c r="D98" s="74"/>
      <c r="E98" s="56"/>
      <c r="F98" s="56"/>
      <c r="G98" s="56"/>
      <c r="H98" s="76"/>
      <c r="I98" s="70"/>
      <c r="J98" s="17"/>
      <c r="K98" s="17"/>
      <c r="L98" s="29"/>
      <c r="M98" s="77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2:31">
      <c r="AE99" s="36"/>
    </row>
    <row r="100" spans="2:31">
      <c r="B100" s="73"/>
      <c r="C100" s="73"/>
      <c r="D100" s="73"/>
      <c r="E100" s="59"/>
      <c r="F100" s="59"/>
      <c r="G100" s="59"/>
      <c r="H100" s="137"/>
      <c r="I100" s="70"/>
      <c r="J100" s="17"/>
      <c r="K100" s="60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</row>
    <row r="101" spans="2:31">
      <c r="B101" s="73"/>
      <c r="C101" s="73"/>
      <c r="D101" s="73"/>
      <c r="E101" s="59"/>
      <c r="F101" s="59"/>
      <c r="G101" s="59"/>
      <c r="H101" s="137"/>
      <c r="I101" s="70"/>
      <c r="J101" s="17"/>
      <c r="K101" s="60"/>
      <c r="M101" s="7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</row>
    <row r="102" spans="2:31">
      <c r="B102" s="73"/>
      <c r="C102" s="73"/>
      <c r="D102" s="73"/>
      <c r="E102" s="59"/>
      <c r="F102" s="59"/>
      <c r="G102" s="59"/>
      <c r="H102" s="137"/>
      <c r="I102" s="70"/>
      <c r="J102" s="17"/>
      <c r="K102" s="140"/>
      <c r="M102" s="7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</row>
    <row r="103" spans="2:31">
      <c r="B103" s="73"/>
      <c r="C103" s="73"/>
      <c r="D103" s="73"/>
      <c r="E103" s="59"/>
      <c r="F103" s="59"/>
      <c r="G103" s="59"/>
      <c r="H103" s="137"/>
      <c r="I103" s="70"/>
      <c r="J103" s="17"/>
      <c r="K103" s="140"/>
      <c r="M103" s="7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</row>
    <row r="104" spans="2:31">
      <c r="B104" s="73"/>
      <c r="C104" s="73"/>
      <c r="D104" s="73"/>
      <c r="E104" s="59"/>
      <c r="F104" s="59"/>
      <c r="G104" s="59"/>
      <c r="H104" s="137"/>
      <c r="I104" s="70"/>
      <c r="J104" s="17"/>
      <c r="K104" s="140"/>
      <c r="M104" s="71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</row>
    <row r="105" spans="2:31">
      <c r="B105" s="73"/>
      <c r="C105" s="73"/>
      <c r="D105" s="73"/>
      <c r="E105" s="59"/>
      <c r="F105" s="59"/>
      <c r="G105" s="59"/>
      <c r="H105" s="137"/>
      <c r="I105" s="70"/>
      <c r="J105" s="17"/>
      <c r="K105" s="140"/>
      <c r="M105" s="71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</row>
    <row r="106" spans="2:31" ht="13.9" customHeight="1">
      <c r="B106" s="73"/>
      <c r="C106" s="73"/>
      <c r="D106" s="73"/>
      <c r="E106" s="59"/>
      <c r="F106" s="59"/>
      <c r="G106" s="59"/>
      <c r="H106" s="137"/>
      <c r="I106" s="70"/>
      <c r="J106" s="17"/>
      <c r="K106" s="140"/>
      <c r="M106" s="71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</row>
    <row r="107" spans="2:31" ht="12.6" customHeight="1">
      <c r="B107" s="74"/>
      <c r="C107" s="75"/>
      <c r="D107" s="74"/>
      <c r="E107" s="56"/>
      <c r="F107" s="56"/>
      <c r="G107" s="56"/>
      <c r="H107" s="76"/>
      <c r="I107" s="70"/>
      <c r="J107" s="17"/>
      <c r="K107" s="17"/>
      <c r="L107" s="29"/>
      <c r="M107" s="77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</row>
    <row r="108" spans="2:31" ht="13.9" customHeight="1">
      <c r="B108" s="73"/>
      <c r="C108" s="73"/>
      <c r="D108" s="73"/>
      <c r="E108" s="59"/>
      <c r="F108" s="59"/>
      <c r="G108" s="59"/>
      <c r="H108" s="137"/>
      <c r="I108" s="70"/>
      <c r="J108" s="17"/>
      <c r="K108" s="17"/>
      <c r="M108" s="71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</row>
    <row r="109" spans="2:31" ht="12" customHeight="1">
      <c r="B109" s="74"/>
      <c r="C109" s="75"/>
      <c r="D109" s="74"/>
      <c r="E109" s="56"/>
      <c r="F109" s="56"/>
      <c r="G109" s="56"/>
      <c r="H109" s="76"/>
      <c r="I109" s="70"/>
      <c r="J109" s="17"/>
      <c r="K109" s="17"/>
      <c r="L109" s="29"/>
      <c r="M109" s="77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</row>
    <row r="110" spans="2:31" ht="15.75">
      <c r="B110" s="78"/>
      <c r="C110" s="17"/>
      <c r="D110" s="17"/>
      <c r="E110" s="36"/>
      <c r="F110" s="36"/>
      <c r="G110" s="79"/>
      <c r="M110" s="80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</row>
    <row r="111" spans="2:31">
      <c r="E111" s="79"/>
      <c r="F111" s="79"/>
      <c r="M111" s="36"/>
    </row>
    <row r="112" spans="2:31" ht="15">
      <c r="B112" s="2"/>
      <c r="D112" s="2"/>
      <c r="E112" s="81"/>
      <c r="F112" s="81"/>
      <c r="M112" s="82"/>
      <c r="N112" s="14"/>
      <c r="O112" s="14"/>
      <c r="P112" s="14"/>
      <c r="Q112" s="14"/>
      <c r="R112" s="14"/>
      <c r="S112" s="83"/>
      <c r="T112" s="83"/>
      <c r="U112" s="83"/>
      <c r="V112" s="83"/>
      <c r="W112" s="83"/>
      <c r="X112" s="83"/>
      <c r="Y112" s="83"/>
      <c r="Z112" s="83"/>
      <c r="AA112" s="83"/>
    </row>
    <row r="113" spans="2:28">
      <c r="B113" s="15"/>
      <c r="C113" s="17"/>
      <c r="D113" s="17"/>
      <c r="E113" s="84"/>
      <c r="F113" s="84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</row>
    <row r="114" spans="2:28">
      <c r="B114" s="15"/>
      <c r="C114" s="17"/>
      <c r="D114" s="17"/>
      <c r="E114" s="84"/>
      <c r="F114" s="84"/>
      <c r="M114" s="36"/>
      <c r="N114" s="85"/>
      <c r="O114" s="36"/>
      <c r="P114" s="36"/>
      <c r="Q114" s="85"/>
      <c r="R114" s="36"/>
      <c r="S114" s="36"/>
      <c r="T114" s="85"/>
      <c r="U114" s="36"/>
      <c r="V114" s="36"/>
      <c r="W114" s="36"/>
      <c r="X114" s="36"/>
      <c r="Y114" s="36"/>
      <c r="Z114" s="36"/>
      <c r="AA114" s="36"/>
      <c r="AB114" s="86"/>
    </row>
    <row r="115" spans="2:28">
      <c r="B115" s="15"/>
      <c r="C115" s="17"/>
      <c r="D115" s="17"/>
      <c r="E115" s="84"/>
      <c r="F115" s="84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  <c r="AA115" s="87"/>
    </row>
    <row r="116" spans="2:28">
      <c r="B116" s="15"/>
      <c r="C116" s="17"/>
      <c r="D116" s="17"/>
      <c r="E116" s="84"/>
      <c r="F116" s="84"/>
      <c r="M116" s="88"/>
      <c r="N116" s="88"/>
      <c r="O116" s="87"/>
      <c r="P116" s="87"/>
      <c r="Q116" s="87"/>
      <c r="R116" s="87"/>
      <c r="S116" s="87"/>
      <c r="T116" s="87"/>
      <c r="U116" s="87"/>
      <c r="V116" s="87"/>
      <c r="W116" s="89"/>
      <c r="X116" s="87"/>
      <c r="Y116" s="87"/>
      <c r="Z116" s="87"/>
      <c r="AA116" s="87"/>
      <c r="AB116" s="87"/>
    </row>
    <row r="117" spans="2:28">
      <c r="B117" s="15"/>
      <c r="C117" s="17"/>
      <c r="D117" s="17"/>
      <c r="E117" s="84"/>
      <c r="F117" s="84"/>
      <c r="M117" s="88"/>
      <c r="N117" s="88"/>
      <c r="O117" s="87"/>
      <c r="P117" s="87"/>
      <c r="Q117" s="87"/>
      <c r="R117" s="87"/>
      <c r="S117" s="87"/>
      <c r="T117" s="87"/>
      <c r="U117" s="87"/>
      <c r="V117" s="87"/>
      <c r="W117" s="89"/>
      <c r="X117" s="87"/>
      <c r="Y117" s="87"/>
      <c r="Z117" s="87"/>
      <c r="AA117" s="87"/>
      <c r="AB117" s="87"/>
    </row>
    <row r="118" spans="2:28">
      <c r="B118" s="15"/>
      <c r="C118" s="17"/>
      <c r="D118" s="17"/>
      <c r="E118" s="84"/>
      <c r="F118" s="84"/>
      <c r="M118" s="88"/>
      <c r="N118" s="88"/>
      <c r="O118" s="88"/>
      <c r="P118" s="88"/>
      <c r="Q118" s="88"/>
      <c r="R118" s="88"/>
      <c r="S118" s="88"/>
      <c r="T118" s="88"/>
      <c r="U118" s="88"/>
      <c r="Y118" s="87"/>
      <c r="Z118" s="88"/>
      <c r="AA118" s="88"/>
      <c r="AB118" s="88"/>
    </row>
    <row r="119" spans="2:28" ht="15">
      <c r="B119" s="15"/>
      <c r="C119" s="17"/>
      <c r="D119" s="17"/>
      <c r="E119" s="84"/>
      <c r="F119" s="84"/>
      <c r="M119" s="82"/>
      <c r="N119" s="14"/>
      <c r="O119" s="14"/>
      <c r="P119" s="14"/>
      <c r="Q119" s="14"/>
      <c r="R119" s="14"/>
      <c r="S119" s="14"/>
      <c r="T119" s="88"/>
      <c r="U119" s="88"/>
      <c r="Y119" s="87"/>
      <c r="Z119" s="88"/>
      <c r="AA119" s="88"/>
      <c r="AB119" s="88"/>
    </row>
    <row r="120" spans="2:28">
      <c r="B120" s="15"/>
      <c r="C120" s="17"/>
      <c r="D120" s="17"/>
      <c r="E120" s="84"/>
      <c r="F120" s="84"/>
      <c r="M120" s="88"/>
      <c r="N120" s="88"/>
      <c r="O120" s="88"/>
      <c r="P120" s="88"/>
      <c r="Q120" s="88"/>
      <c r="R120" s="88"/>
      <c r="S120" s="88"/>
      <c r="T120" s="88"/>
      <c r="U120" s="88"/>
      <c r="Y120" s="87"/>
    </row>
    <row r="121" spans="2:28" ht="15">
      <c r="B121" s="15"/>
      <c r="C121" s="17"/>
      <c r="D121" s="17"/>
      <c r="E121" s="84"/>
      <c r="F121" s="84"/>
      <c r="M121" s="14"/>
      <c r="N121" s="90"/>
      <c r="O121" s="14"/>
      <c r="P121" s="14"/>
      <c r="Q121" s="91"/>
      <c r="R121" s="91"/>
      <c r="S121" s="14"/>
      <c r="T121" s="14"/>
      <c r="U121" s="82"/>
      <c r="Y121" s="87"/>
      <c r="Z121" s="92"/>
      <c r="AA121" s="92"/>
      <c r="AB121" s="14"/>
    </row>
    <row r="122" spans="2:28" ht="15">
      <c r="B122" s="15"/>
      <c r="C122" s="17"/>
      <c r="D122" s="17"/>
      <c r="E122" s="84"/>
      <c r="F122" s="84"/>
      <c r="M122" s="14"/>
      <c r="N122" s="93"/>
      <c r="O122" s="94"/>
      <c r="P122" s="95"/>
      <c r="Q122" s="91"/>
      <c r="R122" s="91"/>
      <c r="S122" s="14"/>
      <c r="T122" s="14"/>
      <c r="U122" s="82"/>
      <c r="V122" s="14"/>
      <c r="W122" s="14"/>
      <c r="X122" s="14"/>
      <c r="Y122" s="14"/>
      <c r="Z122" s="92"/>
      <c r="AA122" s="92"/>
      <c r="AB122" s="14"/>
    </row>
    <row r="123" spans="2:28" ht="15">
      <c r="B123" s="15"/>
      <c r="C123" s="17"/>
      <c r="D123" s="17"/>
      <c r="E123" s="84"/>
      <c r="F123" s="84"/>
      <c r="M123" s="14"/>
      <c r="N123" s="94"/>
      <c r="O123" s="96"/>
      <c r="P123" s="14"/>
      <c r="Q123" s="91"/>
      <c r="R123" s="91"/>
      <c r="S123" s="14"/>
      <c r="T123" s="14"/>
      <c r="U123" s="82"/>
      <c r="V123" s="14"/>
      <c r="W123" s="14"/>
      <c r="X123" s="14"/>
      <c r="Y123" s="14"/>
      <c r="Z123" s="92"/>
      <c r="AA123" s="92"/>
      <c r="AB123" s="14"/>
    </row>
    <row r="124" spans="2:28">
      <c r="B124" s="15"/>
      <c r="C124" s="17"/>
      <c r="D124" s="17"/>
      <c r="E124" s="84"/>
      <c r="F124" s="84"/>
      <c r="M124" s="43"/>
      <c r="N124" s="43"/>
      <c r="O124" s="43"/>
      <c r="P124" s="43"/>
      <c r="Q124" s="43"/>
      <c r="R124" s="43"/>
      <c r="S124" s="43"/>
      <c r="T124" s="14"/>
      <c r="U124" s="14"/>
      <c r="V124" s="14"/>
      <c r="W124" s="14"/>
      <c r="X124" s="14"/>
      <c r="Y124" s="97"/>
      <c r="Z124" s="97"/>
      <c r="AA124" s="97"/>
      <c r="AB124" s="14"/>
    </row>
    <row r="125" spans="2:28">
      <c r="B125" s="15"/>
      <c r="C125" s="17"/>
      <c r="D125" s="17"/>
      <c r="E125" s="84"/>
      <c r="F125" s="84"/>
      <c r="M125" s="98"/>
      <c r="N125" s="14"/>
      <c r="O125" s="99"/>
      <c r="P125" s="90"/>
      <c r="Q125" s="100"/>
      <c r="R125" s="100"/>
      <c r="S125" s="90"/>
      <c r="T125" s="14"/>
      <c r="U125" s="98"/>
      <c r="V125" s="14"/>
      <c r="W125" s="14"/>
      <c r="X125" s="99"/>
      <c r="Y125" s="90"/>
      <c r="Z125" s="90"/>
      <c r="AA125" s="90"/>
      <c r="AB125" s="14"/>
    </row>
    <row r="126" spans="2:28">
      <c r="B126" s="15"/>
      <c r="C126" s="17"/>
      <c r="D126" s="17"/>
      <c r="E126" s="84"/>
      <c r="F126" s="84"/>
      <c r="M126" s="14"/>
      <c r="N126" s="14"/>
      <c r="O126" s="14"/>
      <c r="P126" s="90"/>
      <c r="Q126" s="101"/>
      <c r="R126" s="101"/>
      <c r="S126" s="90"/>
      <c r="T126" s="14"/>
      <c r="U126" s="98"/>
      <c r="V126" s="14"/>
      <c r="W126" s="14"/>
      <c r="X126" s="14"/>
      <c r="Y126" s="90"/>
      <c r="Z126" s="90"/>
      <c r="AA126" s="90"/>
      <c r="AB126" s="14"/>
    </row>
    <row r="127" spans="2:28">
      <c r="B127" s="17"/>
      <c r="C127" s="17"/>
      <c r="D127" s="17"/>
      <c r="E127" s="84"/>
      <c r="F127" s="102"/>
      <c r="M127" s="88"/>
      <c r="N127" s="88"/>
      <c r="O127" s="14"/>
      <c r="P127" s="90"/>
      <c r="Q127" s="101"/>
      <c r="R127" s="101"/>
      <c r="S127" s="90"/>
      <c r="T127" s="14"/>
      <c r="U127" s="98"/>
      <c r="V127" s="14"/>
      <c r="W127" s="14"/>
      <c r="X127" s="14"/>
      <c r="Y127" s="90"/>
      <c r="Z127" s="90"/>
      <c r="AA127" s="90"/>
      <c r="AB127" s="14"/>
    </row>
    <row r="128" spans="2:28">
      <c r="M128" s="29"/>
      <c r="N128" s="14"/>
      <c r="O128" s="14"/>
      <c r="P128" s="14"/>
      <c r="Q128" s="14"/>
      <c r="R128" s="14"/>
      <c r="S128" s="90"/>
      <c r="T128" s="14"/>
      <c r="U128" s="98"/>
      <c r="V128" s="14"/>
      <c r="W128" s="14"/>
      <c r="X128" s="14"/>
      <c r="Y128" s="90"/>
      <c r="Z128" s="90"/>
      <c r="AA128" s="90"/>
      <c r="AB128" s="14"/>
    </row>
    <row r="129" spans="13:28">
      <c r="M129" s="14"/>
      <c r="N129" s="14"/>
      <c r="O129" s="14"/>
      <c r="P129" s="14"/>
      <c r="Q129" s="101"/>
      <c r="R129" s="101"/>
      <c r="S129" s="90"/>
      <c r="T129" s="14"/>
      <c r="U129" s="98"/>
      <c r="V129" s="14"/>
      <c r="W129" s="14"/>
      <c r="X129" s="14"/>
      <c r="Y129" s="90"/>
      <c r="Z129" s="90"/>
      <c r="AA129" s="90"/>
      <c r="AB129" s="14"/>
    </row>
    <row r="130" spans="13:28">
      <c r="M130" s="14"/>
      <c r="N130" s="14"/>
      <c r="O130" s="14"/>
      <c r="P130" s="14"/>
      <c r="Q130" s="14"/>
      <c r="R130" s="14"/>
      <c r="S130" s="90"/>
      <c r="T130" s="14"/>
      <c r="U130" s="98"/>
      <c r="V130" s="14"/>
      <c r="W130" s="14"/>
      <c r="X130" s="14"/>
      <c r="Y130" s="90"/>
      <c r="Z130" s="90"/>
      <c r="AA130" s="90"/>
      <c r="AB130" s="14"/>
    </row>
    <row r="131" spans="13:28">
      <c r="M131" s="29"/>
      <c r="N131" s="14"/>
      <c r="O131" s="14"/>
      <c r="P131" s="14"/>
      <c r="Q131" s="14"/>
      <c r="R131" s="14"/>
      <c r="S131" s="90"/>
      <c r="T131" s="14"/>
      <c r="U131" s="98"/>
      <c r="V131" s="14"/>
      <c r="W131" s="14"/>
      <c r="X131" s="14"/>
      <c r="Y131" s="90"/>
      <c r="Z131" s="90"/>
      <c r="AA131" s="90"/>
      <c r="AB131" s="14"/>
    </row>
    <row r="132" spans="13:28">
      <c r="M132" s="14"/>
      <c r="N132" s="14"/>
      <c r="O132" s="14"/>
      <c r="P132" s="14"/>
      <c r="Q132" s="14"/>
      <c r="R132" s="14"/>
      <c r="S132" s="90"/>
      <c r="T132" s="14"/>
      <c r="U132" s="98"/>
      <c r="V132" s="14"/>
      <c r="W132" s="14"/>
      <c r="X132" s="14"/>
      <c r="Y132" s="90"/>
      <c r="Z132" s="90"/>
      <c r="AA132" s="90"/>
      <c r="AB132" s="14"/>
    </row>
    <row r="133" spans="13:28">
      <c r="M133" s="14"/>
      <c r="N133" s="14"/>
      <c r="O133" s="14"/>
      <c r="P133" s="14"/>
      <c r="Q133" s="14"/>
      <c r="R133" s="14"/>
      <c r="S133" s="90"/>
      <c r="T133" s="90"/>
      <c r="U133" s="14"/>
      <c r="V133" s="14"/>
      <c r="W133" s="14"/>
      <c r="X133" s="14"/>
      <c r="Y133" s="103"/>
      <c r="Z133" s="103"/>
      <c r="AA133" s="103"/>
      <c r="AB133" s="14"/>
    </row>
    <row r="134" spans="13:28">
      <c r="M134" s="14"/>
      <c r="N134" s="14"/>
      <c r="O134" s="14"/>
      <c r="P134" s="14"/>
      <c r="Q134" s="14"/>
      <c r="R134" s="14"/>
      <c r="S134" s="14"/>
      <c r="T134" s="90"/>
      <c r="U134" s="90"/>
      <c r="V134" s="90"/>
      <c r="W134" s="90"/>
      <c r="X134" s="14"/>
      <c r="Y134" s="14"/>
      <c r="Z134" s="91"/>
      <c r="AA134" s="91"/>
      <c r="AB134" s="14"/>
    </row>
    <row r="135" spans="13:28" ht="15">
      <c r="M135" s="104"/>
    </row>
    <row r="136" spans="13:28">
      <c r="M136" s="14"/>
    </row>
    <row r="137" spans="13:28">
      <c r="M137" s="14"/>
    </row>
    <row r="138" spans="13:28">
      <c r="M138" s="14"/>
    </row>
    <row r="139" spans="13:28">
      <c r="M139" s="43"/>
      <c r="N139" s="43"/>
      <c r="O139" s="43"/>
      <c r="P139" s="43"/>
      <c r="Q139" s="97"/>
      <c r="R139" s="97"/>
      <c r="S139" s="97"/>
      <c r="Y139" s="97"/>
      <c r="Z139" s="97"/>
      <c r="AA139" s="97"/>
    </row>
    <row r="140" spans="13:28">
      <c r="M140" s="98"/>
      <c r="N140" s="14"/>
      <c r="O140" s="105"/>
      <c r="P140" s="14"/>
      <c r="S140" s="90"/>
      <c r="T140" s="31"/>
      <c r="U140" s="98"/>
      <c r="V140" s="14"/>
      <c r="W140" s="14"/>
      <c r="X140" s="99"/>
      <c r="Y140" s="90"/>
      <c r="Z140" s="90"/>
      <c r="AA140" s="90"/>
    </row>
    <row r="141" spans="13:28">
      <c r="M141" s="98"/>
      <c r="N141" s="14"/>
      <c r="O141" s="105"/>
      <c r="P141" s="14"/>
      <c r="S141" s="90"/>
      <c r="T141" s="31"/>
      <c r="U141" s="98"/>
      <c r="V141" s="14"/>
      <c r="W141" s="14"/>
      <c r="Y141" s="90"/>
      <c r="Z141" s="90"/>
      <c r="AA141" s="90"/>
    </row>
    <row r="142" spans="13:28">
      <c r="M142" s="98"/>
      <c r="N142" s="14"/>
      <c r="O142" s="105"/>
      <c r="P142" s="14"/>
      <c r="S142" s="90"/>
      <c r="T142" s="106"/>
      <c r="U142" s="98"/>
      <c r="V142" s="14"/>
      <c r="W142" s="14"/>
      <c r="Y142" s="90"/>
      <c r="Z142" s="90"/>
      <c r="AA142" s="90"/>
    </row>
    <row r="143" spans="13:28">
      <c r="M143" s="98"/>
      <c r="N143" s="14"/>
      <c r="O143" s="105"/>
      <c r="P143" s="14"/>
      <c r="S143" s="90"/>
      <c r="T143" s="106"/>
      <c r="U143" s="98"/>
      <c r="V143" s="14"/>
      <c r="W143" s="14"/>
      <c r="Y143" s="90"/>
      <c r="Z143" s="90"/>
      <c r="AA143" s="90"/>
    </row>
    <row r="144" spans="13:28">
      <c r="T144" s="71"/>
      <c r="U144" s="98"/>
      <c r="V144" s="14"/>
      <c r="W144" s="14"/>
      <c r="Y144" s="90"/>
      <c r="Z144" s="90"/>
      <c r="AA144" s="90"/>
    </row>
    <row r="145" spans="13:28">
      <c r="M145" s="98"/>
      <c r="N145" s="14"/>
      <c r="Q145" s="90"/>
      <c r="R145" s="90"/>
      <c r="S145" s="90"/>
      <c r="T145" s="90"/>
      <c r="U145" s="98"/>
      <c r="V145" s="14"/>
      <c r="W145" s="14"/>
      <c r="Y145" s="90"/>
      <c r="Z145" s="90"/>
      <c r="AA145" s="90"/>
    </row>
    <row r="146" spans="13:28">
      <c r="Y146" s="103"/>
      <c r="Z146" s="103"/>
      <c r="AA146" s="103"/>
    </row>
    <row r="147" spans="13:28">
      <c r="Q147" s="98"/>
      <c r="R147" s="98"/>
      <c r="S147" s="103"/>
      <c r="T147" s="90"/>
      <c r="Z147" s="91"/>
      <c r="AA147" s="107"/>
    </row>
    <row r="148" spans="13:28"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08"/>
      <c r="AA148" s="17"/>
      <c r="AB148" s="17"/>
    </row>
    <row r="149" spans="13:28" ht="15">
      <c r="M149" s="17"/>
      <c r="N149" s="17"/>
      <c r="O149" s="17"/>
      <c r="P149" s="17"/>
      <c r="Q149" s="17"/>
      <c r="R149" s="17"/>
      <c r="S149" s="17"/>
      <c r="T149" s="17"/>
      <c r="U149" s="33"/>
      <c r="V149" s="109"/>
      <c r="W149" s="110"/>
      <c r="Y149" s="111"/>
      <c r="Z149" s="111"/>
      <c r="AA149" s="17"/>
      <c r="AB149" s="17"/>
    </row>
    <row r="150" spans="13:28">
      <c r="M150" s="17"/>
      <c r="N150" s="17"/>
      <c r="O150" s="17"/>
      <c r="P150" s="17"/>
      <c r="Q150" s="17"/>
      <c r="R150" s="17"/>
      <c r="S150" s="17"/>
      <c r="T150" s="17"/>
      <c r="U150" s="112"/>
      <c r="V150" s="23"/>
      <c r="Y150" s="113"/>
      <c r="Z150" s="113"/>
      <c r="AA150" s="17"/>
      <c r="AB150" s="17"/>
    </row>
    <row r="151" spans="13:28">
      <c r="M151" s="17"/>
      <c r="N151" s="17"/>
      <c r="O151" s="17"/>
      <c r="P151" s="17"/>
      <c r="Q151" s="17"/>
      <c r="R151" s="17"/>
      <c r="S151" s="17"/>
      <c r="T151" s="17"/>
      <c r="AA151" s="17"/>
      <c r="AB151" s="17"/>
    </row>
    <row r="152" spans="13:28">
      <c r="M152" s="17"/>
      <c r="N152" s="17"/>
      <c r="O152" s="17"/>
      <c r="P152" s="17"/>
      <c r="Q152" s="17"/>
      <c r="R152" s="17"/>
      <c r="S152" s="17"/>
      <c r="T152" s="17"/>
      <c r="U152" s="40"/>
      <c r="V152" s="34"/>
      <c r="Y152" s="113"/>
      <c r="Z152" s="113"/>
      <c r="AA152" s="17"/>
      <c r="AB152" s="17"/>
    </row>
    <row r="153" spans="13:28">
      <c r="M153" s="17"/>
      <c r="N153" s="17"/>
      <c r="O153" s="17"/>
      <c r="P153" s="17"/>
      <c r="Q153" s="17"/>
      <c r="R153" s="17"/>
      <c r="S153" s="17"/>
      <c r="T153" s="17"/>
      <c r="AA153" s="17"/>
      <c r="AB153" s="17"/>
    </row>
    <row r="154" spans="13:28">
      <c r="M154" s="17"/>
      <c r="N154" s="17"/>
      <c r="O154" s="17"/>
      <c r="P154" s="17"/>
      <c r="Q154" s="17"/>
      <c r="R154" s="17"/>
      <c r="S154" s="17"/>
      <c r="T154" s="17"/>
      <c r="U154" s="114"/>
      <c r="V154" s="115"/>
      <c r="AA154" s="17"/>
      <c r="AB154" s="17"/>
    </row>
    <row r="155" spans="13:28">
      <c r="M155" s="17"/>
      <c r="N155" s="17"/>
      <c r="O155" s="17"/>
      <c r="P155" s="17"/>
      <c r="Q155" s="17"/>
      <c r="R155" s="17"/>
      <c r="S155" s="17"/>
      <c r="T155" s="17"/>
      <c r="AA155" s="17"/>
      <c r="AB155" s="17"/>
    </row>
    <row r="156" spans="13:28">
      <c r="M156" s="17"/>
      <c r="N156" s="17"/>
      <c r="O156" s="17"/>
      <c r="P156" s="17"/>
      <c r="Q156" s="17"/>
      <c r="R156" s="17"/>
      <c r="S156" s="17"/>
      <c r="T156" s="17"/>
      <c r="U156" s="12"/>
      <c r="V156" s="13"/>
      <c r="Y156" s="113"/>
      <c r="Z156" s="113"/>
      <c r="AA156" s="17"/>
      <c r="AB156" s="17"/>
    </row>
    <row r="157" spans="13:28">
      <c r="M157" s="17"/>
      <c r="N157" s="17"/>
      <c r="O157" s="17"/>
      <c r="P157" s="17"/>
      <c r="Q157" s="17"/>
      <c r="R157" s="17"/>
      <c r="S157" s="17"/>
      <c r="T157" s="17"/>
      <c r="U157" s="109"/>
      <c r="V157" s="109"/>
      <c r="Y157" s="116"/>
      <c r="Z157" s="116"/>
      <c r="AA157" s="17"/>
      <c r="AB157" s="17"/>
    </row>
    <row r="158" spans="13:28">
      <c r="M158" s="17"/>
      <c r="N158" s="17"/>
      <c r="O158" s="17"/>
      <c r="P158" s="17"/>
      <c r="Q158" s="17"/>
      <c r="R158" s="17"/>
      <c r="S158" s="17"/>
      <c r="T158" s="17"/>
      <c r="U158" s="66"/>
      <c r="V158" s="66"/>
      <c r="W158" s="66"/>
      <c r="Y158" s="35"/>
      <c r="Z158" s="91"/>
      <c r="AA158" s="17"/>
      <c r="AB158" s="17"/>
    </row>
    <row r="159" spans="13:28">
      <c r="M159" s="17"/>
      <c r="N159" s="17"/>
      <c r="O159" s="17"/>
      <c r="P159" s="17"/>
      <c r="Q159" s="17"/>
      <c r="R159" s="17"/>
      <c r="S159" s="17"/>
      <c r="T159" s="17"/>
      <c r="U159" s="117"/>
      <c r="V159" s="117"/>
      <c r="Y159" s="116"/>
      <c r="Z159" s="116"/>
      <c r="AA159" s="17"/>
      <c r="AB159" s="17"/>
    </row>
    <row r="160" spans="13:28" ht="15">
      <c r="M160" s="17"/>
      <c r="N160" s="17"/>
      <c r="O160" s="17"/>
      <c r="P160" s="17"/>
      <c r="Q160" s="17"/>
      <c r="R160" s="17"/>
      <c r="S160" s="17"/>
      <c r="T160" s="17"/>
      <c r="U160" s="33"/>
      <c r="V160" s="118"/>
      <c r="W160" s="109"/>
      <c r="Y160" s="226"/>
      <c r="Z160" s="226"/>
      <c r="AA160" s="17"/>
      <c r="AB160" s="17"/>
    </row>
    <row r="161" spans="13:28">
      <c r="M161" s="17"/>
      <c r="N161" s="17"/>
      <c r="O161" s="17"/>
      <c r="P161" s="17"/>
      <c r="Q161" s="17"/>
      <c r="R161" s="17"/>
      <c r="S161" s="17"/>
      <c r="T161" s="17"/>
      <c r="U161" s="25"/>
      <c r="V161" s="22"/>
      <c r="X161" s="119"/>
      <c r="Y161" s="113"/>
      <c r="Z161" s="113"/>
      <c r="AA161" s="17"/>
      <c r="AB161" s="17"/>
    </row>
    <row r="162" spans="13:28">
      <c r="M162" s="17"/>
      <c r="N162" s="17"/>
      <c r="O162" s="17"/>
      <c r="P162" s="17"/>
      <c r="Q162" s="17"/>
      <c r="R162" s="17"/>
      <c r="S162" s="17"/>
      <c r="T162" s="17"/>
      <c r="U162" s="25"/>
      <c r="V162" s="22"/>
      <c r="X162" s="119"/>
      <c r="Y162" s="113"/>
      <c r="Z162" s="113"/>
      <c r="AA162" s="17"/>
      <c r="AB162" s="17"/>
    </row>
    <row r="163" spans="13:28">
      <c r="M163" s="17"/>
      <c r="N163" s="17"/>
      <c r="O163" s="17"/>
      <c r="P163" s="17"/>
      <c r="Q163" s="17"/>
      <c r="R163" s="17"/>
      <c r="S163" s="17"/>
      <c r="T163" s="17"/>
      <c r="U163" s="25"/>
      <c r="V163" s="22"/>
      <c r="X163" s="119"/>
      <c r="Y163" s="113"/>
      <c r="Z163" s="113"/>
      <c r="AA163" s="17"/>
      <c r="AB163" s="17"/>
    </row>
    <row r="164" spans="13:28">
      <c r="M164" s="17"/>
      <c r="N164" s="17"/>
      <c r="O164" s="17"/>
      <c r="P164" s="17"/>
      <c r="Q164" s="17"/>
      <c r="R164" s="17"/>
      <c r="S164" s="17"/>
      <c r="T164" s="17"/>
      <c r="U164" s="25"/>
      <c r="V164" s="22"/>
      <c r="X164" s="120"/>
      <c r="Y164" s="113"/>
      <c r="Z164" s="113"/>
      <c r="AA164" s="17"/>
      <c r="AB164" s="17"/>
    </row>
    <row r="165" spans="13:28">
      <c r="M165" s="17"/>
      <c r="N165" s="17"/>
      <c r="O165" s="17"/>
      <c r="P165" s="17"/>
      <c r="Q165" s="17"/>
      <c r="R165" s="17"/>
      <c r="S165" s="17"/>
      <c r="T165" s="17"/>
      <c r="U165" s="25"/>
      <c r="V165" s="22"/>
      <c r="X165" s="121"/>
      <c r="Y165" s="113"/>
      <c r="Z165" s="113"/>
      <c r="AA165" s="17"/>
      <c r="AB165" s="17"/>
    </row>
    <row r="166" spans="13:28">
      <c r="M166" s="17"/>
      <c r="N166" s="17"/>
      <c r="O166" s="17"/>
      <c r="P166" s="17"/>
      <c r="Q166" s="17"/>
      <c r="R166" s="17"/>
      <c r="S166" s="17"/>
      <c r="T166" s="17"/>
      <c r="U166" s="25"/>
      <c r="V166" s="22"/>
      <c r="X166" s="120"/>
      <c r="Y166" s="113"/>
      <c r="Z166" s="113"/>
      <c r="AA166" s="17"/>
      <c r="AB166" s="17"/>
    </row>
    <row r="167" spans="13:28">
      <c r="M167" s="17"/>
      <c r="N167" s="17"/>
      <c r="O167" s="17"/>
      <c r="P167" s="17"/>
      <c r="Q167" s="17"/>
      <c r="R167" s="17"/>
      <c r="S167" s="17"/>
      <c r="T167" s="17"/>
      <c r="U167" s="25"/>
      <c r="V167" s="22"/>
      <c r="X167" s="120"/>
      <c r="Y167" s="113"/>
      <c r="Z167" s="113"/>
      <c r="AA167" s="17"/>
      <c r="AB167" s="17"/>
    </row>
    <row r="168" spans="13:28">
      <c r="M168" s="17"/>
      <c r="N168" s="17"/>
      <c r="O168" s="17"/>
      <c r="P168" s="17"/>
      <c r="Q168" s="17"/>
      <c r="R168" s="17"/>
      <c r="S168" s="17"/>
      <c r="T168" s="17"/>
      <c r="U168" s="25"/>
      <c r="V168" s="22"/>
      <c r="X168" s="120"/>
      <c r="Y168" s="113"/>
      <c r="Z168" s="113"/>
      <c r="AA168" s="17"/>
      <c r="AB168" s="17"/>
    </row>
    <row r="169" spans="13:28">
      <c r="M169" s="17"/>
      <c r="N169" s="17"/>
      <c r="O169" s="17"/>
      <c r="P169" s="17"/>
      <c r="Q169" s="17"/>
      <c r="R169" s="17"/>
      <c r="S169" s="17"/>
      <c r="T169" s="17"/>
      <c r="U169" s="25"/>
      <c r="V169" s="22"/>
      <c r="X169" s="120"/>
      <c r="Y169" s="113"/>
      <c r="Z169" s="113"/>
      <c r="AA169" s="17"/>
      <c r="AB169" s="17"/>
    </row>
    <row r="170" spans="13:28">
      <c r="M170" s="17"/>
      <c r="N170" s="17"/>
      <c r="O170" s="17"/>
      <c r="P170" s="17"/>
      <c r="Q170" s="17"/>
      <c r="R170" s="17"/>
      <c r="S170" s="17"/>
      <c r="T170" s="17"/>
      <c r="U170" s="25"/>
      <c r="V170" s="22"/>
      <c r="X170" s="120"/>
      <c r="Y170" s="113"/>
      <c r="Z170" s="113"/>
      <c r="AA170" s="17"/>
      <c r="AB170" s="17"/>
    </row>
    <row r="171" spans="13:28">
      <c r="M171" s="17"/>
      <c r="N171" s="17"/>
      <c r="O171" s="17"/>
      <c r="P171" s="17"/>
      <c r="Q171" s="17"/>
      <c r="R171" s="17"/>
      <c r="S171" s="17"/>
      <c r="T171" s="17"/>
      <c r="U171" s="25"/>
      <c r="V171" s="22"/>
      <c r="X171" s="120"/>
      <c r="Y171" s="113"/>
      <c r="Z171" s="113"/>
      <c r="AA171" s="17"/>
      <c r="AB171" s="17"/>
    </row>
    <row r="172" spans="13:28">
      <c r="M172" s="17"/>
      <c r="N172" s="17"/>
      <c r="O172" s="17"/>
      <c r="P172" s="17"/>
      <c r="Q172" s="17"/>
      <c r="R172" s="17"/>
      <c r="S172" s="17"/>
      <c r="T172" s="17"/>
      <c r="U172" s="25"/>
      <c r="V172" s="22"/>
      <c r="X172" s="120"/>
      <c r="Y172" s="113"/>
      <c r="Z172" s="113"/>
      <c r="AA172" s="17"/>
      <c r="AB172" s="17"/>
    </row>
    <row r="173" spans="13:28">
      <c r="M173" s="17"/>
      <c r="N173" s="17"/>
      <c r="O173" s="17"/>
      <c r="P173" s="17"/>
      <c r="Q173" s="17"/>
      <c r="R173" s="17"/>
      <c r="S173" s="17"/>
      <c r="T173" s="17"/>
      <c r="U173" s="25"/>
      <c r="V173" s="22"/>
      <c r="X173" s="121"/>
      <c r="Y173" s="113"/>
      <c r="Z173" s="113"/>
      <c r="AA173" s="17"/>
      <c r="AB173" s="17"/>
    </row>
    <row r="174" spans="13:28">
      <c r="M174" s="17"/>
      <c r="N174" s="17"/>
      <c r="O174" s="17"/>
      <c r="P174" s="17"/>
      <c r="Q174" s="17"/>
      <c r="R174" s="17"/>
      <c r="S174" s="17"/>
      <c r="T174" s="122"/>
      <c r="U174" s="25"/>
      <c r="V174" s="22"/>
      <c r="X174" s="121"/>
      <c r="Y174" s="123"/>
      <c r="Z174" s="113"/>
      <c r="AA174" s="17"/>
      <c r="AB174" s="17"/>
    </row>
    <row r="175" spans="13:28">
      <c r="M175" s="17"/>
      <c r="N175" s="17"/>
      <c r="O175" s="17"/>
      <c r="P175" s="17"/>
      <c r="Q175" s="17"/>
      <c r="R175" s="17"/>
      <c r="S175" s="17"/>
      <c r="T175" s="122"/>
      <c r="U175" s="25"/>
      <c r="V175" s="22"/>
      <c r="X175" s="121"/>
      <c r="Y175" s="123"/>
      <c r="Z175" s="113"/>
      <c r="AA175" s="17"/>
      <c r="AB175" s="17"/>
    </row>
    <row r="176" spans="13:28">
      <c r="M176" s="17"/>
      <c r="N176" s="17"/>
      <c r="O176" s="17"/>
      <c r="P176" s="17"/>
      <c r="Q176" s="17"/>
      <c r="R176" s="17"/>
      <c r="S176" s="17"/>
      <c r="T176" s="122"/>
      <c r="U176" s="25"/>
      <c r="V176" s="22"/>
      <c r="X176" s="121"/>
      <c r="Y176" s="113"/>
      <c r="Z176" s="113"/>
      <c r="AA176" s="17"/>
      <c r="AB176" s="17"/>
    </row>
    <row r="177" spans="13:28">
      <c r="M177" s="17"/>
      <c r="N177" s="17"/>
      <c r="O177" s="17"/>
      <c r="P177" s="17"/>
      <c r="Q177" s="17"/>
      <c r="R177" s="17"/>
      <c r="S177" s="17"/>
      <c r="T177" s="17"/>
      <c r="U177" s="25"/>
      <c r="V177" s="23"/>
      <c r="X177" s="121"/>
      <c r="Y177" s="113"/>
      <c r="Z177" s="113"/>
      <c r="AA177" s="17"/>
      <c r="AB177" s="17"/>
    </row>
    <row r="178" spans="13:28">
      <c r="M178" s="17"/>
      <c r="N178" s="17"/>
      <c r="O178" s="17"/>
      <c r="P178" s="17"/>
      <c r="Q178" s="17"/>
      <c r="R178" s="17"/>
      <c r="S178" s="17"/>
      <c r="T178" s="17"/>
      <c r="U178" s="25"/>
      <c r="V178" s="22"/>
      <c r="X178" s="121"/>
      <c r="Y178" s="113"/>
      <c r="Z178" s="113"/>
      <c r="AA178" s="17"/>
      <c r="AB178" s="17"/>
    </row>
    <row r="179" spans="13:28">
      <c r="M179" s="17"/>
      <c r="N179" s="17"/>
      <c r="O179" s="17"/>
      <c r="P179" s="17"/>
      <c r="Q179" s="17"/>
      <c r="R179" s="17"/>
      <c r="S179" s="17"/>
      <c r="T179" s="48"/>
      <c r="U179" s="25"/>
      <c r="V179" s="22"/>
      <c r="X179" s="121"/>
      <c r="Y179" s="113"/>
      <c r="Z179" s="113"/>
      <c r="AA179" s="17"/>
      <c r="AB179" s="17"/>
    </row>
    <row r="180" spans="13:28">
      <c r="M180" s="17"/>
      <c r="N180" s="17"/>
      <c r="O180" s="17"/>
      <c r="P180" s="17"/>
      <c r="Q180" s="17"/>
      <c r="R180" s="17"/>
      <c r="S180" s="17"/>
      <c r="T180" s="48"/>
      <c r="U180" s="25"/>
      <c r="V180" s="22"/>
      <c r="X180" s="121"/>
      <c r="Y180" s="113"/>
      <c r="Z180" s="113"/>
      <c r="AA180" s="17"/>
      <c r="AB180" s="17"/>
    </row>
    <row r="181" spans="13:28">
      <c r="M181" s="17"/>
      <c r="N181" s="17"/>
      <c r="O181" s="17"/>
      <c r="P181" s="17"/>
      <c r="Q181" s="17"/>
      <c r="R181" s="17"/>
      <c r="S181" s="17"/>
      <c r="T181" s="17"/>
      <c r="U181" s="25"/>
      <c r="V181" s="22"/>
      <c r="X181" s="121"/>
      <c r="Y181" s="113"/>
      <c r="Z181" s="113"/>
      <c r="AA181" s="17"/>
      <c r="AB181" s="17"/>
    </row>
    <row r="182" spans="13:28">
      <c r="M182" s="17"/>
      <c r="N182" s="17"/>
      <c r="O182" s="17"/>
      <c r="P182" s="17"/>
      <c r="Q182" s="17"/>
      <c r="R182" s="17"/>
      <c r="S182" s="17"/>
      <c r="T182" s="17"/>
      <c r="U182" s="25"/>
      <c r="V182" s="22"/>
      <c r="X182" s="121"/>
      <c r="Y182" s="113"/>
      <c r="Z182" s="113"/>
      <c r="AA182" s="17"/>
      <c r="AB182" s="17"/>
    </row>
    <row r="183" spans="13:28">
      <c r="M183" s="17"/>
      <c r="N183" s="17"/>
      <c r="O183" s="17"/>
      <c r="P183" s="17"/>
      <c r="Q183" s="17"/>
      <c r="R183" s="17"/>
      <c r="S183" s="17"/>
      <c r="T183" s="28"/>
      <c r="U183" s="25"/>
      <c r="V183" s="22"/>
      <c r="X183" s="121"/>
      <c r="Y183" s="113"/>
      <c r="Z183" s="113"/>
      <c r="AA183" s="17"/>
      <c r="AB183" s="17"/>
    </row>
    <row r="184" spans="13:28">
      <c r="M184" s="17"/>
      <c r="N184" s="17"/>
      <c r="O184" s="17"/>
      <c r="P184" s="17"/>
      <c r="Q184" s="17"/>
      <c r="R184" s="17"/>
      <c r="S184" s="17"/>
      <c r="T184" s="122"/>
      <c r="U184" s="25"/>
      <c r="V184" s="22"/>
      <c r="X184" s="121"/>
      <c r="Y184" s="123"/>
      <c r="Z184" s="113"/>
      <c r="AA184" s="17"/>
      <c r="AB184" s="17"/>
    </row>
    <row r="185" spans="13:28">
      <c r="M185" s="17"/>
      <c r="N185" s="17"/>
      <c r="O185" s="17"/>
      <c r="P185" s="17"/>
      <c r="Q185" s="17"/>
      <c r="R185" s="17"/>
      <c r="S185" s="17"/>
      <c r="T185" s="122"/>
      <c r="U185" s="25"/>
      <c r="V185" s="22"/>
      <c r="X185" s="121"/>
      <c r="Y185" s="123"/>
      <c r="Z185" s="113"/>
      <c r="AA185" s="17"/>
      <c r="AB185" s="17"/>
    </row>
    <row r="186" spans="13:28">
      <c r="M186" s="17"/>
      <c r="N186" s="17"/>
      <c r="O186" s="17"/>
      <c r="P186" s="17"/>
      <c r="Q186" s="17"/>
      <c r="R186" s="17"/>
      <c r="S186" s="17"/>
      <c r="T186" s="122"/>
      <c r="U186" s="25"/>
      <c r="V186" s="22"/>
      <c r="X186" s="121"/>
      <c r="Y186" s="123"/>
      <c r="Z186" s="113"/>
      <c r="AA186" s="17"/>
      <c r="AB186" s="17"/>
    </row>
    <row r="187" spans="13:28">
      <c r="M187" s="17"/>
      <c r="N187" s="17"/>
      <c r="O187" s="17"/>
      <c r="P187" s="17"/>
      <c r="Q187" s="17"/>
      <c r="R187" s="17"/>
      <c r="S187" s="17"/>
      <c r="T187" s="17"/>
      <c r="U187" s="25"/>
      <c r="V187" s="22"/>
      <c r="X187" s="121"/>
      <c r="Y187" s="113"/>
      <c r="Z187" s="113"/>
      <c r="AA187" s="17"/>
      <c r="AB187" s="17"/>
    </row>
    <row r="188" spans="13:28">
      <c r="M188" s="17"/>
      <c r="N188" s="17"/>
      <c r="O188" s="17"/>
      <c r="P188" s="17"/>
      <c r="Q188" s="17"/>
      <c r="R188" s="17"/>
      <c r="S188" s="17"/>
      <c r="T188" s="17"/>
      <c r="U188" s="25"/>
      <c r="V188" s="22"/>
      <c r="X188" s="120"/>
      <c r="Y188" s="113"/>
      <c r="Z188" s="113"/>
      <c r="AA188" s="91"/>
      <c r="AB188" s="17"/>
    </row>
    <row r="189" spans="13:28">
      <c r="M189" s="17"/>
      <c r="N189" s="17"/>
      <c r="O189" s="17"/>
      <c r="P189" s="17"/>
      <c r="Q189" s="17"/>
      <c r="R189" s="17"/>
      <c r="S189" s="17"/>
      <c r="T189" s="17"/>
      <c r="U189" s="25"/>
      <c r="V189" s="22"/>
      <c r="X189" s="120"/>
      <c r="Y189" s="113"/>
      <c r="Z189" s="113"/>
      <c r="AA189" s="17"/>
      <c r="AB189" s="17"/>
    </row>
    <row r="190" spans="13:28">
      <c r="M190" s="17"/>
      <c r="N190" s="17"/>
      <c r="O190" s="17"/>
      <c r="P190" s="17"/>
      <c r="Q190" s="17"/>
      <c r="R190" s="17"/>
      <c r="S190" s="17"/>
      <c r="T190" s="17"/>
      <c r="U190" s="25"/>
      <c r="V190" s="22"/>
      <c r="X190" s="120"/>
      <c r="Y190" s="113"/>
      <c r="Z190" s="113"/>
      <c r="AA190" s="17"/>
      <c r="AB190" s="17"/>
    </row>
    <row r="191" spans="13:28">
      <c r="M191" s="17"/>
      <c r="N191" s="17"/>
      <c r="O191" s="17"/>
      <c r="P191" s="17"/>
      <c r="Q191" s="17"/>
      <c r="R191" s="17"/>
      <c r="S191" s="17"/>
      <c r="T191" s="48"/>
      <c r="U191" s="29"/>
      <c r="X191" s="120"/>
      <c r="Y191" s="113"/>
      <c r="Z191" s="113"/>
      <c r="AA191" s="17"/>
      <c r="AB191" s="17"/>
    </row>
    <row r="192" spans="13:28">
      <c r="M192" s="17"/>
      <c r="N192" s="17"/>
      <c r="O192" s="17"/>
      <c r="P192" s="17"/>
      <c r="Q192" s="17"/>
      <c r="R192" s="17"/>
      <c r="S192" s="17"/>
      <c r="T192" s="17"/>
      <c r="U192" s="25"/>
      <c r="V192" s="22"/>
      <c r="X192" s="120"/>
      <c r="Y192" s="113"/>
      <c r="Z192" s="113"/>
      <c r="AA192" s="17"/>
      <c r="AB192" s="17"/>
    </row>
    <row r="193" spans="13:28">
      <c r="M193" s="17"/>
      <c r="N193" s="17"/>
      <c r="O193" s="17"/>
      <c r="P193" s="17"/>
      <c r="Q193" s="17"/>
      <c r="R193" s="17"/>
      <c r="S193" s="17"/>
      <c r="T193" s="17"/>
      <c r="U193" s="112"/>
      <c r="V193" s="23"/>
      <c r="Y193" s="113"/>
      <c r="Z193" s="113"/>
      <c r="AA193" s="17"/>
      <c r="AB193" s="17"/>
    </row>
    <row r="194" spans="13:28">
      <c r="M194" s="17"/>
      <c r="N194" s="17"/>
      <c r="O194" s="17"/>
      <c r="P194" s="17"/>
      <c r="Q194" s="17"/>
      <c r="R194" s="17"/>
      <c r="S194" s="17"/>
      <c r="T194" s="17"/>
      <c r="U194" s="112"/>
      <c r="V194" s="23"/>
      <c r="Y194" s="113"/>
      <c r="Z194" s="113"/>
      <c r="AA194" s="124"/>
      <c r="AB194" s="17"/>
    </row>
    <row r="195" spans="13:28">
      <c r="M195" s="17"/>
      <c r="N195" s="17"/>
      <c r="O195" s="17"/>
      <c r="P195" s="17"/>
      <c r="Q195" s="17"/>
      <c r="R195" s="17"/>
      <c r="S195" s="17"/>
      <c r="T195" s="17"/>
      <c r="U195" s="117"/>
      <c r="V195" s="117"/>
      <c r="Y195" s="116"/>
      <c r="Z195" s="116"/>
      <c r="AA195" s="17"/>
      <c r="AB195" s="17"/>
    </row>
    <row r="196" spans="13:28">
      <c r="M196" s="17"/>
      <c r="N196" s="17"/>
      <c r="O196" s="17"/>
      <c r="P196" s="17"/>
      <c r="Q196" s="17"/>
      <c r="R196" s="17"/>
      <c r="S196" s="17"/>
      <c r="T196" s="17"/>
      <c r="U196" s="66"/>
      <c r="V196" s="36"/>
      <c r="Y196" s="67"/>
      <c r="Z196" s="91"/>
      <c r="AA196" s="17"/>
      <c r="AB196" s="17"/>
    </row>
    <row r="197" spans="13:28">
      <c r="M197" s="17"/>
      <c r="N197" s="17"/>
      <c r="O197" s="17"/>
      <c r="P197" s="17"/>
      <c r="Q197" s="17"/>
      <c r="R197" s="17"/>
      <c r="S197" s="17"/>
      <c r="T197" s="17"/>
      <c r="U197" s="109"/>
      <c r="V197" s="109"/>
      <c r="W197" s="125"/>
      <c r="Y197" s="126"/>
      <c r="Z197" s="127"/>
      <c r="AA197" s="17"/>
      <c r="AB197" s="17"/>
    </row>
    <row r="198" spans="13:28" ht="15">
      <c r="M198" s="17"/>
      <c r="N198" s="17"/>
      <c r="O198" s="17"/>
      <c r="P198" s="17"/>
      <c r="Q198" s="17"/>
      <c r="R198" s="17"/>
      <c r="S198" s="17"/>
      <c r="T198" s="17"/>
      <c r="U198" s="104"/>
      <c r="W198" s="71"/>
      <c r="X198" s="47"/>
      <c r="Y198" s="126"/>
      <c r="Z198" s="128"/>
      <c r="AA198" s="17"/>
      <c r="AB198" s="17"/>
    </row>
    <row r="199" spans="13:28" ht="15">
      <c r="M199" s="17"/>
      <c r="N199" s="17"/>
      <c r="O199" s="17"/>
      <c r="P199" s="17"/>
      <c r="Q199" s="17"/>
      <c r="R199" s="17"/>
      <c r="S199" s="17"/>
      <c r="T199" s="17"/>
      <c r="U199" s="33"/>
      <c r="V199" s="109"/>
      <c r="W199" s="109"/>
      <c r="Y199" s="226"/>
      <c r="Z199" s="226"/>
      <c r="AA199" s="17"/>
      <c r="AB199" s="17"/>
    </row>
    <row r="200" spans="13:28">
      <c r="M200" s="17"/>
      <c r="N200" s="17"/>
      <c r="O200" s="17"/>
      <c r="P200" s="17"/>
      <c r="Q200" s="17"/>
      <c r="R200" s="17"/>
      <c r="S200" s="17"/>
      <c r="T200" s="17"/>
      <c r="U200" s="112"/>
      <c r="V200" s="23"/>
      <c r="Y200" s="113"/>
      <c r="Z200" s="113"/>
      <c r="AA200" s="17"/>
      <c r="AB200" s="17"/>
    </row>
    <row r="201" spans="13:28">
      <c r="M201" s="17"/>
      <c r="N201" s="17"/>
      <c r="O201" s="17"/>
      <c r="P201" s="17"/>
      <c r="Q201" s="17"/>
      <c r="R201" s="17"/>
      <c r="S201" s="17"/>
      <c r="T201" s="17"/>
      <c r="U201" s="40"/>
      <c r="V201" s="34"/>
      <c r="Y201" s="113"/>
      <c r="Z201" s="113"/>
      <c r="AA201" s="17"/>
      <c r="AB201" s="17"/>
    </row>
    <row r="202" spans="13:28">
      <c r="M202" s="17"/>
      <c r="N202" s="17"/>
      <c r="O202" s="17"/>
      <c r="P202" s="17"/>
      <c r="Q202" s="17"/>
      <c r="R202" s="17"/>
      <c r="S202" s="17"/>
      <c r="T202" s="17"/>
      <c r="U202" s="12"/>
      <c r="V202" s="13"/>
      <c r="Y202" s="113"/>
      <c r="Z202" s="113"/>
      <c r="AA202" s="17"/>
      <c r="AB202" s="17"/>
    </row>
    <row r="203" spans="13:28">
      <c r="M203" s="17"/>
      <c r="N203" s="17"/>
      <c r="O203" s="17"/>
      <c r="P203" s="17"/>
      <c r="Q203" s="17"/>
      <c r="R203" s="17"/>
      <c r="S203" s="17"/>
      <c r="T203" s="17"/>
      <c r="U203" s="109"/>
      <c r="V203" s="109"/>
      <c r="Y203" s="116"/>
      <c r="Z203" s="116"/>
      <c r="AA203" s="17"/>
      <c r="AB203" s="17"/>
    </row>
    <row r="204" spans="13:28">
      <c r="M204" s="17"/>
      <c r="N204" s="17"/>
      <c r="O204" s="17"/>
      <c r="P204" s="17"/>
      <c r="Q204" s="17"/>
      <c r="R204" s="17"/>
      <c r="S204" s="17"/>
      <c r="T204" s="17"/>
      <c r="U204" s="66"/>
      <c r="V204" s="66"/>
      <c r="W204" s="66"/>
      <c r="Y204" s="35"/>
      <c r="Z204" s="91"/>
      <c r="AA204" s="17"/>
      <c r="AB204" s="17"/>
    </row>
    <row r="205" spans="13:28">
      <c r="M205" s="17"/>
      <c r="N205" s="17"/>
      <c r="O205" s="17"/>
      <c r="P205" s="17"/>
      <c r="Q205" s="17"/>
      <c r="R205" s="17"/>
      <c r="S205" s="17"/>
      <c r="T205" s="17"/>
      <c r="U205" s="117"/>
      <c r="V205" s="117"/>
      <c r="Y205" s="116"/>
      <c r="Z205" s="116"/>
      <c r="AA205" s="17"/>
      <c r="AB205" s="17"/>
    </row>
    <row r="206" spans="13:28">
      <c r="M206" s="17"/>
      <c r="N206" s="17"/>
      <c r="O206" s="17"/>
      <c r="P206" s="17"/>
      <c r="Q206" s="17"/>
      <c r="R206" s="17"/>
      <c r="S206" s="17"/>
      <c r="T206" s="17"/>
      <c r="U206" s="109"/>
      <c r="V206" s="109"/>
      <c r="W206" s="109"/>
      <c r="Y206" s="116"/>
      <c r="Z206" s="129"/>
      <c r="AA206" s="17"/>
      <c r="AB206" s="17"/>
    </row>
    <row r="207" spans="13:28" ht="15">
      <c r="M207" s="17"/>
      <c r="N207" s="17"/>
      <c r="O207" s="17"/>
      <c r="P207" s="17"/>
      <c r="Q207" s="17"/>
      <c r="R207" s="17"/>
      <c r="S207" s="17"/>
      <c r="T207" s="17"/>
      <c r="U207" s="37"/>
      <c r="V207" s="118"/>
      <c r="W207" s="109"/>
      <c r="Y207" s="226"/>
      <c r="Z207" s="226"/>
      <c r="AA207" s="17"/>
      <c r="AB207" s="17"/>
    </row>
    <row r="208" spans="13:28">
      <c r="M208" s="17"/>
      <c r="N208" s="17"/>
      <c r="O208" s="17"/>
      <c r="P208" s="17"/>
      <c r="Q208" s="17"/>
      <c r="R208" s="17"/>
      <c r="S208" s="17"/>
      <c r="T208" s="17"/>
      <c r="U208" s="25"/>
      <c r="V208" s="22"/>
      <c r="Y208" s="113"/>
      <c r="Z208" s="113"/>
      <c r="AA208" s="17"/>
      <c r="AB208" s="17"/>
    </row>
    <row r="209" spans="13:28">
      <c r="M209" s="17"/>
      <c r="N209" s="17"/>
      <c r="O209" s="17"/>
      <c r="P209" s="17"/>
      <c r="Q209" s="17"/>
      <c r="R209" s="17"/>
      <c r="S209" s="17"/>
      <c r="T209" s="17"/>
      <c r="U209" s="25"/>
      <c r="V209" s="22"/>
      <c r="Y209" s="113"/>
      <c r="Z209" s="113"/>
      <c r="AA209" s="17"/>
      <c r="AB209" s="17"/>
    </row>
    <row r="210" spans="13:28">
      <c r="M210" s="17"/>
      <c r="N210" s="17"/>
      <c r="O210" s="17"/>
      <c r="P210" s="17"/>
      <c r="Q210" s="17"/>
      <c r="R210" s="17"/>
      <c r="S210" s="17"/>
      <c r="T210" s="17"/>
      <c r="U210" s="42"/>
      <c r="V210" s="22"/>
      <c r="Y210" s="113"/>
      <c r="Z210" s="113"/>
      <c r="AA210" s="17"/>
      <c r="AB210" s="17"/>
    </row>
    <row r="211" spans="13:28">
      <c r="M211" s="17"/>
      <c r="N211" s="17"/>
      <c r="O211" s="17"/>
      <c r="P211" s="17"/>
      <c r="Q211" s="17"/>
      <c r="R211" s="17"/>
      <c r="S211" s="17"/>
      <c r="T211" s="17"/>
      <c r="U211" s="109"/>
      <c r="V211" s="109"/>
      <c r="Y211" s="116"/>
      <c r="Z211" s="116"/>
      <c r="AA211" s="17"/>
      <c r="AB211" s="17"/>
    </row>
    <row r="212" spans="13:28">
      <c r="M212" s="17"/>
      <c r="N212" s="17"/>
      <c r="O212" s="17"/>
      <c r="P212" s="17"/>
      <c r="Q212" s="17"/>
      <c r="R212" s="17"/>
      <c r="S212" s="17"/>
      <c r="T212" s="17"/>
      <c r="U212" s="66"/>
      <c r="V212" s="66"/>
      <c r="W212" s="66"/>
      <c r="Y212" s="35"/>
      <c r="Z212" s="91"/>
      <c r="AA212" s="17"/>
      <c r="AB212" s="17"/>
    </row>
    <row r="213" spans="13:28">
      <c r="M213" s="17"/>
      <c r="N213" s="17"/>
      <c r="O213" s="17"/>
      <c r="P213" s="17"/>
      <c r="Q213" s="17"/>
      <c r="R213" s="17"/>
      <c r="S213" s="17"/>
      <c r="T213" s="17"/>
      <c r="U213" s="109"/>
      <c r="V213" s="109"/>
      <c r="W213" s="109"/>
      <c r="Y213" s="129"/>
      <c r="Z213" s="130"/>
      <c r="AA213" s="17"/>
      <c r="AB213" s="17"/>
    </row>
    <row r="214" spans="13:28">
      <c r="M214" s="17"/>
      <c r="N214" s="17"/>
      <c r="O214" s="17"/>
      <c r="P214" s="17"/>
      <c r="Q214" s="17"/>
      <c r="R214" s="17"/>
      <c r="S214" s="17"/>
      <c r="T214" s="17"/>
      <c r="U214" s="109"/>
      <c r="V214" s="109"/>
      <c r="W214" s="109"/>
      <c r="Y214" s="116"/>
      <c r="Z214" s="129"/>
      <c r="AA214" s="17"/>
      <c r="AB214" s="17"/>
    </row>
    <row r="215" spans="13:28" ht="15">
      <c r="M215" s="17"/>
      <c r="N215" s="17"/>
      <c r="O215" s="17"/>
      <c r="P215" s="17"/>
      <c r="Q215" s="17"/>
      <c r="R215" s="17"/>
      <c r="S215" s="17"/>
      <c r="T215" s="17"/>
      <c r="U215" s="37"/>
      <c r="V215" s="118"/>
      <c r="W215" s="109"/>
      <c r="X215" s="131"/>
      <c r="Y215" s="226"/>
      <c r="Z215" s="226"/>
      <c r="AA215" s="17"/>
      <c r="AB215" s="17"/>
    </row>
    <row r="216" spans="13:28">
      <c r="M216" s="17"/>
      <c r="N216" s="17"/>
      <c r="O216" s="17"/>
      <c r="P216" s="17"/>
      <c r="Q216" s="17"/>
      <c r="R216" s="17"/>
      <c r="S216" s="17"/>
      <c r="T216" s="17"/>
      <c r="U216" s="25"/>
      <c r="V216" s="22"/>
      <c r="Y216" s="113"/>
      <c r="Z216" s="113"/>
      <c r="AA216" s="17"/>
      <c r="AB216" s="17"/>
    </row>
    <row r="217" spans="13:28">
      <c r="M217" s="17"/>
      <c r="N217" s="17"/>
      <c r="O217" s="17"/>
      <c r="P217" s="17"/>
      <c r="Q217" s="17"/>
      <c r="R217" s="17"/>
      <c r="S217" s="17"/>
      <c r="T217" s="17"/>
      <c r="U217" s="25"/>
      <c r="V217" s="22"/>
      <c r="Y217" s="113"/>
      <c r="Z217" s="113"/>
      <c r="AA217" s="17"/>
      <c r="AB217" s="17"/>
    </row>
    <row r="218" spans="13:28">
      <c r="M218" s="17"/>
      <c r="N218" s="17"/>
      <c r="O218" s="17"/>
      <c r="P218" s="17"/>
      <c r="Q218" s="17"/>
      <c r="R218" s="17"/>
      <c r="S218" s="17"/>
      <c r="T218" s="17"/>
      <c r="U218" s="42"/>
      <c r="V218" s="22"/>
      <c r="Y218" s="113"/>
      <c r="Z218" s="113"/>
      <c r="AA218" s="17"/>
      <c r="AB218" s="17"/>
    </row>
    <row r="219" spans="13:28">
      <c r="M219" s="17"/>
      <c r="N219" s="17"/>
      <c r="O219" s="17"/>
      <c r="P219" s="17"/>
      <c r="Q219" s="17"/>
      <c r="R219" s="17"/>
      <c r="S219" s="17"/>
      <c r="T219" s="17"/>
      <c r="U219" s="109"/>
      <c r="V219" s="109"/>
      <c r="Y219" s="116"/>
      <c r="Z219" s="116"/>
      <c r="AA219" s="17"/>
      <c r="AB219" s="17"/>
    </row>
    <row r="220" spans="13:28">
      <c r="M220" s="17"/>
      <c r="N220" s="17"/>
      <c r="O220" s="17"/>
      <c r="P220" s="17"/>
      <c r="Q220" s="17"/>
      <c r="R220" s="17"/>
      <c r="S220" s="17"/>
      <c r="T220" s="17"/>
      <c r="U220" s="66"/>
      <c r="V220" s="66"/>
      <c r="W220" s="66"/>
      <c r="Y220" s="35"/>
      <c r="Z220" s="91"/>
      <c r="AA220" s="17"/>
      <c r="AB220" s="17"/>
    </row>
    <row r="221" spans="13:28">
      <c r="M221" s="17"/>
      <c r="N221" s="17"/>
      <c r="O221" s="17"/>
      <c r="P221" s="17"/>
      <c r="Q221" s="17"/>
      <c r="R221" s="17"/>
      <c r="S221" s="17"/>
      <c r="T221" s="17"/>
      <c r="U221" s="109"/>
      <c r="V221" s="109"/>
      <c r="W221" s="109"/>
      <c r="Y221" s="129"/>
      <c r="Z221" s="130"/>
      <c r="AA221" s="17"/>
      <c r="AB221" s="17"/>
    </row>
    <row r="223" spans="13:28" ht="15">
      <c r="U223" s="37"/>
    </row>
    <row r="224" spans="13:28">
      <c r="U224" s="8"/>
      <c r="V224" s="132"/>
      <c r="Y224" s="113"/>
    </row>
    <row r="225" spans="21:25">
      <c r="U225" s="8"/>
      <c r="V225" s="132"/>
      <c r="Y225" s="113"/>
    </row>
    <row r="226" spans="21:25">
      <c r="U226" s="8"/>
      <c r="V226" s="132"/>
      <c r="Y226" s="31"/>
    </row>
    <row r="227" spans="21:25" ht="15">
      <c r="V227" s="133"/>
    </row>
    <row r="228" spans="21:25">
      <c r="V228" s="132"/>
      <c r="Y228" s="113"/>
    </row>
  </sheetData>
  <sortState xmlns:xlrd2="http://schemas.microsoft.com/office/spreadsheetml/2017/richdata2" ref="B2:AD97">
    <sortCondition ref="C2:C97"/>
    <sortCondition ref="I2:I97"/>
    <sortCondition ref="J2:J97"/>
    <sortCondition ref="B2:B97"/>
  </sortState>
  <mergeCells count="4">
    <mergeCell ref="Y160:Z160"/>
    <mergeCell ref="Y199:Z199"/>
    <mergeCell ref="Y207:Z207"/>
    <mergeCell ref="Y215:Z215"/>
  </mergeCells>
  <conditionalFormatting sqref="F127">
    <cfRule type="cellIs" dxfId="136" priority="22" operator="equal">
      <formula>0</formula>
    </cfRule>
    <cfRule type="cellIs" dxfId="135" priority="23" operator="notEqual">
      <formula>0</formula>
    </cfRule>
  </conditionalFormatting>
  <conditionalFormatting sqref="G110">
    <cfRule type="cellIs" dxfId="134" priority="24" operator="equal">
      <formula>0</formula>
    </cfRule>
    <cfRule type="cellIs" dxfId="133" priority="25" operator="notEqual">
      <formula>0</formula>
    </cfRule>
  </conditionalFormatting>
  <conditionalFormatting sqref="M111">
    <cfRule type="cellIs" dxfId="132" priority="20" operator="equal">
      <formula>0</formula>
    </cfRule>
    <cfRule type="cellIs" dxfId="131" priority="21" operator="notEqual">
      <formula>0</formula>
    </cfRule>
  </conditionalFormatting>
  <conditionalFormatting sqref="T133:T134 Z134 T147 Z147">
    <cfRule type="cellIs" dxfId="130" priority="17" operator="equal">
      <formula>0</formula>
    </cfRule>
    <cfRule type="cellIs" dxfId="129" priority="18" operator="notEqual">
      <formula>0</formula>
    </cfRule>
  </conditionalFormatting>
  <conditionalFormatting sqref="T145">
    <cfRule type="cellIs" dxfId="128" priority="15" operator="equal">
      <formula>0</formula>
    </cfRule>
    <cfRule type="cellIs" dxfId="127" priority="16" operator="notEqual">
      <formula>0</formula>
    </cfRule>
  </conditionalFormatting>
  <conditionalFormatting sqref="U152">
    <cfRule type="duplicateValues" dxfId="126" priority="3" stopIfTrue="1"/>
  </conditionalFormatting>
  <conditionalFormatting sqref="U160:U197">
    <cfRule type="duplicateValues" dxfId="125" priority="10" stopIfTrue="1"/>
  </conditionalFormatting>
  <conditionalFormatting sqref="U229 U156:U159 U149:U150 V224:V228 U198:U223">
    <cfRule type="duplicateValues" dxfId="124" priority="19" stopIfTrue="1"/>
  </conditionalFormatting>
  <conditionalFormatting sqref="Z158">
    <cfRule type="cellIs" dxfId="123" priority="4" operator="equal">
      <formula>0</formula>
    </cfRule>
    <cfRule type="cellIs" dxfId="122" priority="5" operator="notEqual">
      <formula>0</formula>
    </cfRule>
  </conditionalFormatting>
  <conditionalFormatting sqref="Z196:Z197">
    <cfRule type="cellIs" dxfId="121" priority="6" operator="equal">
      <formula>0</formula>
    </cfRule>
    <cfRule type="cellIs" dxfId="120" priority="7" operator="notEqual">
      <formula>0</formula>
    </cfRule>
  </conditionalFormatting>
  <conditionalFormatting sqref="Z204">
    <cfRule type="cellIs" dxfId="119" priority="13" operator="equal">
      <formula>0</formula>
    </cfRule>
    <cfRule type="cellIs" dxfId="118" priority="14" operator="notEqual">
      <formula>0</formula>
    </cfRule>
  </conditionalFormatting>
  <conditionalFormatting sqref="Z212">
    <cfRule type="cellIs" dxfId="117" priority="11" operator="equal">
      <formula>0</formula>
    </cfRule>
    <cfRule type="cellIs" dxfId="116" priority="12" operator="notEqual">
      <formula>0</formula>
    </cfRule>
  </conditionalFormatting>
  <conditionalFormatting sqref="Z220">
    <cfRule type="cellIs" dxfId="115" priority="1" operator="equal">
      <formula>0</formula>
    </cfRule>
    <cfRule type="cellIs" dxfId="114" priority="2" operator="notEqual">
      <formula>0</formula>
    </cfRule>
  </conditionalFormatting>
  <conditionalFormatting sqref="AA188">
    <cfRule type="cellIs" dxfId="113" priority="8" operator="equal">
      <formula>0</formula>
    </cfRule>
    <cfRule type="cellIs" dxfId="112" priority="9" operator="not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6E63E-F5E4-4216-9150-42E83D38D08D}">
  <sheetPr codeName="Hoja21"/>
  <dimension ref="B1:AF231"/>
  <sheetViews>
    <sheetView zoomScale="80" zoomScaleNormal="80" workbookViewId="0">
      <selection activeCell="N1" sqref="N1"/>
    </sheetView>
  </sheetViews>
  <sheetFormatPr baseColWidth="10" defaultColWidth="11.5703125" defaultRowHeight="12.75"/>
  <cols>
    <col min="1" max="1" width="4.42578125" customWidth="1"/>
    <col min="3" max="3" width="69.5703125" customWidth="1"/>
    <col min="4" max="4" width="9.140625" customWidth="1"/>
    <col min="5" max="6" width="14.85546875" style="79" bestFit="1" customWidth="1"/>
    <col min="7" max="7" width="15.85546875" bestFit="1" customWidth="1"/>
    <col min="9" max="9" width="7.140625" customWidth="1"/>
    <col min="10" max="10" width="28.28515625" customWidth="1"/>
    <col min="11" max="11" width="13.140625" customWidth="1"/>
    <col min="12" max="12" width="13.7109375" customWidth="1"/>
    <col min="13" max="13" width="14.42578125" bestFit="1" customWidth="1"/>
    <col min="17" max="17" width="17.140625" customWidth="1"/>
    <col min="18" max="18" width="13.7109375" customWidth="1"/>
    <col min="19" max="20" width="15.28515625" customWidth="1"/>
    <col min="21" max="21" width="14.28515625" customWidth="1"/>
    <col min="23" max="23" width="14.42578125" customWidth="1"/>
    <col min="24" max="24" width="13" customWidth="1"/>
    <col min="25" max="25" width="13.7109375" customWidth="1"/>
    <col min="26" max="26" width="13" customWidth="1"/>
    <col min="31" max="31" width="15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B2" s="68"/>
      <c r="C2" s="73"/>
      <c r="D2" s="68"/>
      <c r="E2" s="54"/>
      <c r="F2" s="54"/>
      <c r="G2" s="135"/>
      <c r="H2" s="53"/>
      <c r="I2" s="70"/>
      <c r="J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2:32">
      <c r="B3" s="68"/>
      <c r="C3" s="73"/>
      <c r="D3" s="68"/>
      <c r="E3" s="54"/>
      <c r="F3" s="54"/>
      <c r="G3" s="135"/>
      <c r="H3" s="53"/>
      <c r="I3" s="70"/>
      <c r="J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2:32">
      <c r="B4" s="68"/>
      <c r="C4" s="73"/>
      <c r="D4" s="68"/>
      <c r="E4" s="54"/>
      <c r="F4" s="54"/>
      <c r="G4" s="135"/>
      <c r="H4" s="53"/>
      <c r="I4" s="70"/>
      <c r="J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2:32">
      <c r="B5" s="68"/>
      <c r="C5" s="73"/>
      <c r="D5" s="68"/>
      <c r="E5" s="54"/>
      <c r="F5" s="54"/>
      <c r="G5" s="135"/>
      <c r="H5" s="53"/>
      <c r="I5" s="70"/>
      <c r="J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2:32">
      <c r="B6" s="68"/>
      <c r="C6" s="73"/>
      <c r="D6" s="68"/>
      <c r="E6" s="54"/>
      <c r="F6" s="54"/>
      <c r="G6" s="135"/>
      <c r="H6" s="53"/>
      <c r="I6" s="70"/>
      <c r="J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2:32">
      <c r="B7" s="68"/>
      <c r="C7" s="73"/>
      <c r="D7" s="68"/>
      <c r="E7" s="54"/>
      <c r="F7" s="54"/>
      <c r="G7" s="135"/>
      <c r="H7" s="53"/>
      <c r="I7" s="70"/>
      <c r="J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2:32">
      <c r="B8" s="68"/>
      <c r="C8" s="73"/>
      <c r="D8" s="68"/>
      <c r="E8" s="54"/>
      <c r="F8" s="54"/>
      <c r="G8" s="135"/>
      <c r="H8" s="53"/>
      <c r="I8" s="70"/>
      <c r="J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2:32">
      <c r="B9" s="68"/>
      <c r="C9" s="73"/>
      <c r="D9" s="68"/>
      <c r="E9" s="54"/>
      <c r="F9" s="54"/>
      <c r="G9" s="135"/>
      <c r="H9" s="53"/>
      <c r="I9" s="70"/>
      <c r="J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2:32">
      <c r="B10" s="68"/>
      <c r="C10" s="73"/>
      <c r="D10" s="68"/>
      <c r="E10" s="54"/>
      <c r="F10" s="54"/>
      <c r="G10" s="135"/>
      <c r="H10" s="53"/>
      <c r="I10" s="70"/>
      <c r="J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2:32">
      <c r="B11" s="68"/>
      <c r="C11" s="73"/>
      <c r="D11" s="68"/>
      <c r="E11" s="54"/>
      <c r="F11" s="54"/>
      <c r="G11" s="135"/>
      <c r="H11" s="53"/>
      <c r="I11" s="70"/>
      <c r="J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2:32">
      <c r="B12" s="68"/>
      <c r="C12" s="73"/>
      <c r="D12" s="68"/>
      <c r="E12" s="54"/>
      <c r="F12" s="54"/>
      <c r="G12" s="135"/>
      <c r="H12" s="53"/>
      <c r="I12" s="72"/>
      <c r="J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2:32">
      <c r="B13" s="68"/>
      <c r="C13" s="73"/>
      <c r="D13" s="68"/>
      <c r="E13" s="54"/>
      <c r="F13" s="54"/>
      <c r="G13" s="135"/>
      <c r="H13" s="53"/>
      <c r="I13" s="70"/>
      <c r="J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2:32">
      <c r="B14" s="68"/>
      <c r="C14" s="73"/>
      <c r="D14" s="68"/>
      <c r="E14" s="54"/>
      <c r="F14" s="54"/>
      <c r="G14" s="135"/>
      <c r="H14" s="53"/>
      <c r="I14" s="70"/>
      <c r="J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2:32">
      <c r="B15" s="68"/>
      <c r="C15" s="73"/>
      <c r="D15" s="68"/>
      <c r="E15" s="54"/>
      <c r="F15" s="54"/>
      <c r="G15" s="135"/>
      <c r="H15" s="53"/>
      <c r="I15" s="70"/>
      <c r="J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2:32">
      <c r="B16" s="68"/>
      <c r="C16" s="73"/>
      <c r="D16" s="68"/>
      <c r="E16" s="54"/>
      <c r="F16" s="54"/>
      <c r="G16" s="135"/>
      <c r="H16" s="53"/>
      <c r="I16" s="70"/>
      <c r="J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2:31">
      <c r="B17" s="68"/>
      <c r="C17" s="73"/>
      <c r="D17" s="68"/>
      <c r="E17" s="54"/>
      <c r="F17" s="54"/>
      <c r="G17" s="135"/>
      <c r="H17" s="53"/>
      <c r="I17" s="70"/>
      <c r="J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</row>
    <row r="18" spans="2:31">
      <c r="B18" s="68"/>
      <c r="C18" s="73"/>
      <c r="D18" s="68"/>
      <c r="E18" s="54"/>
      <c r="F18" s="54"/>
      <c r="G18" s="135"/>
      <c r="H18" s="53"/>
      <c r="I18" s="70"/>
      <c r="J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2:31">
      <c r="B19" s="68"/>
      <c r="C19" s="73"/>
      <c r="D19" s="68"/>
      <c r="E19" s="54"/>
      <c r="F19" s="54"/>
      <c r="G19" s="135"/>
      <c r="H19" s="53"/>
      <c r="I19" s="70"/>
      <c r="J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2:31">
      <c r="B20" s="68"/>
      <c r="C20" s="73"/>
      <c r="D20" s="68"/>
      <c r="E20" s="54"/>
      <c r="F20" s="54"/>
      <c r="G20" s="135"/>
      <c r="H20" s="53"/>
      <c r="I20" s="70"/>
      <c r="J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</row>
    <row r="21" spans="2:31">
      <c r="B21" s="68"/>
      <c r="C21" s="73"/>
      <c r="D21" s="68"/>
      <c r="E21" s="54"/>
      <c r="F21" s="54"/>
      <c r="G21" s="135"/>
      <c r="H21" s="53"/>
      <c r="I21" s="70"/>
      <c r="J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</row>
    <row r="22" spans="2:31">
      <c r="B22" s="68"/>
      <c r="C22" s="73"/>
      <c r="D22" s="68"/>
      <c r="E22" s="54"/>
      <c r="F22" s="54"/>
      <c r="G22" s="135"/>
      <c r="H22" s="53"/>
      <c r="I22" s="70"/>
      <c r="J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</row>
    <row r="23" spans="2:31">
      <c r="B23" s="68"/>
      <c r="C23" s="73"/>
      <c r="D23" s="68"/>
      <c r="E23" s="54"/>
      <c r="F23" s="54"/>
      <c r="G23" s="135"/>
      <c r="H23" s="53"/>
      <c r="I23" s="70"/>
      <c r="J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2:31">
      <c r="B24" s="68"/>
      <c r="C24" s="73"/>
      <c r="D24" s="68"/>
      <c r="E24" s="54"/>
      <c r="F24" s="54"/>
      <c r="G24" s="135"/>
      <c r="H24" s="53"/>
      <c r="I24" s="70"/>
      <c r="J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</row>
    <row r="25" spans="2:31">
      <c r="B25" s="68"/>
      <c r="C25" s="73"/>
      <c r="D25" s="68"/>
      <c r="E25" s="54"/>
      <c r="F25" s="54"/>
      <c r="G25" s="135"/>
      <c r="H25" s="53"/>
      <c r="I25" s="70"/>
      <c r="J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</row>
    <row r="26" spans="2:31">
      <c r="B26" s="68"/>
      <c r="C26" s="73"/>
      <c r="D26" s="68"/>
      <c r="E26" s="54"/>
      <c r="F26" s="54"/>
      <c r="G26" s="135"/>
      <c r="H26" s="53"/>
      <c r="I26" s="70"/>
      <c r="J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</row>
    <row r="27" spans="2:31">
      <c r="B27" s="68"/>
      <c r="C27" s="73"/>
      <c r="D27" s="68"/>
      <c r="E27" s="54"/>
      <c r="F27" s="54"/>
      <c r="G27" s="135"/>
      <c r="H27" s="53"/>
      <c r="I27" s="70"/>
      <c r="J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</row>
    <row r="28" spans="2:31">
      <c r="B28" s="68"/>
      <c r="C28" s="73"/>
      <c r="D28" s="68"/>
      <c r="E28" s="54"/>
      <c r="F28" s="54"/>
      <c r="G28" s="135"/>
      <c r="H28" s="53"/>
      <c r="I28" s="70"/>
      <c r="J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</row>
    <row r="29" spans="2:31">
      <c r="B29" s="68"/>
      <c r="C29" s="73"/>
      <c r="D29" s="68"/>
      <c r="E29" s="54"/>
      <c r="F29" s="54"/>
      <c r="G29" s="135"/>
      <c r="H29" s="53"/>
      <c r="I29" s="70"/>
      <c r="J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</row>
    <row r="30" spans="2:31">
      <c r="B30" s="68"/>
      <c r="C30" s="73"/>
      <c r="D30" s="68"/>
      <c r="E30" s="54"/>
      <c r="F30" s="54"/>
      <c r="G30" s="135"/>
      <c r="H30" s="53"/>
      <c r="I30" s="70"/>
      <c r="J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</row>
    <row r="31" spans="2:31">
      <c r="B31" s="68"/>
      <c r="C31" s="73"/>
      <c r="D31" s="68"/>
      <c r="E31" s="54"/>
      <c r="F31" s="54"/>
      <c r="G31" s="135"/>
      <c r="H31" s="53"/>
      <c r="I31" s="70"/>
      <c r="J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</row>
    <row r="32" spans="2:31">
      <c r="B32" s="68"/>
      <c r="C32" s="73"/>
      <c r="D32" s="68"/>
      <c r="E32" s="54"/>
      <c r="F32" s="54"/>
      <c r="G32" s="135"/>
      <c r="H32" s="53"/>
      <c r="I32" s="70"/>
      <c r="J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</row>
    <row r="33" spans="2:31">
      <c r="B33" s="68"/>
      <c r="C33" s="73"/>
      <c r="D33" s="68"/>
      <c r="E33" s="54"/>
      <c r="F33" s="54"/>
      <c r="G33" s="135"/>
      <c r="H33" s="53"/>
      <c r="I33" s="70"/>
      <c r="J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  <row r="34" spans="2:31">
      <c r="B34" s="68"/>
      <c r="C34" s="73"/>
      <c r="D34" s="68"/>
      <c r="E34" s="54"/>
      <c r="F34" s="54"/>
      <c r="G34" s="135"/>
      <c r="H34" s="53"/>
      <c r="I34" s="70"/>
      <c r="J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</row>
    <row r="35" spans="2:31">
      <c r="B35" s="68"/>
      <c r="C35" s="73"/>
      <c r="D35" s="68"/>
      <c r="E35" s="54"/>
      <c r="F35" s="54"/>
      <c r="G35" s="135"/>
      <c r="H35" s="53"/>
      <c r="I35" s="70"/>
      <c r="J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2:31">
      <c r="B36" s="68"/>
      <c r="C36" s="73"/>
      <c r="D36" s="68"/>
      <c r="E36" s="54"/>
      <c r="F36" s="54"/>
      <c r="G36" s="135"/>
      <c r="H36" s="53"/>
      <c r="I36" s="70"/>
      <c r="J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2:31">
      <c r="B37" s="68"/>
      <c r="C37" s="73"/>
      <c r="D37" s="68"/>
      <c r="E37" s="54"/>
      <c r="F37" s="54"/>
      <c r="G37" s="135"/>
      <c r="H37" s="53"/>
      <c r="I37" s="70"/>
      <c r="J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2:31">
      <c r="B38" s="68"/>
      <c r="C38" s="73"/>
      <c r="D38" s="68"/>
      <c r="E38" s="54"/>
      <c r="F38" s="54"/>
      <c r="G38" s="135"/>
      <c r="H38" s="53"/>
      <c r="I38" s="70"/>
      <c r="J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2:31">
      <c r="B39" s="68"/>
      <c r="C39" s="73"/>
      <c r="D39" s="68"/>
      <c r="E39" s="54"/>
      <c r="F39" s="54"/>
      <c r="G39" s="135"/>
      <c r="H39" s="53"/>
      <c r="I39" s="70"/>
      <c r="J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2:31">
      <c r="B40" s="68"/>
      <c r="C40" s="73"/>
      <c r="D40" s="68"/>
      <c r="E40" s="54"/>
      <c r="F40" s="54"/>
      <c r="G40" s="135"/>
      <c r="H40" s="53"/>
      <c r="I40" s="70"/>
      <c r="J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2:31">
      <c r="B41" s="68"/>
      <c r="C41" s="73"/>
      <c r="D41" s="68"/>
      <c r="E41" s="54"/>
      <c r="F41" s="54"/>
      <c r="G41" s="135"/>
      <c r="H41" s="53"/>
      <c r="I41" s="70"/>
      <c r="J41" s="17"/>
      <c r="M41" s="7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2:31">
      <c r="B42" s="68"/>
      <c r="C42" s="73"/>
      <c r="D42" s="68"/>
      <c r="E42" s="54"/>
      <c r="F42" s="54"/>
      <c r="G42" s="135"/>
      <c r="H42" s="53"/>
      <c r="I42" s="70"/>
      <c r="J42" s="17"/>
      <c r="M42" s="7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</row>
    <row r="43" spans="2:31">
      <c r="B43" s="68"/>
      <c r="C43" s="73"/>
      <c r="D43" s="68"/>
      <c r="E43" s="54"/>
      <c r="F43" s="54"/>
      <c r="G43" s="135"/>
      <c r="H43" s="53"/>
      <c r="I43" s="70"/>
      <c r="J43" s="17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2:31">
      <c r="B44" s="68"/>
      <c r="C44" s="73"/>
      <c r="D44" s="68"/>
      <c r="E44" s="54"/>
      <c r="F44" s="54"/>
      <c r="G44" s="135"/>
      <c r="H44" s="53"/>
      <c r="I44" s="70"/>
      <c r="J44" s="17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2:31" ht="13.9" customHeight="1">
      <c r="B45" s="68"/>
      <c r="C45" s="73"/>
      <c r="D45" s="68"/>
      <c r="E45" s="54"/>
      <c r="F45" s="54"/>
      <c r="G45" s="135"/>
      <c r="H45" s="53"/>
      <c r="I45" s="70"/>
      <c r="J45" s="17"/>
      <c r="M45" s="71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2:31" ht="12.6" customHeight="1">
      <c r="B46" s="74"/>
      <c r="C46" s="75"/>
      <c r="D46" s="74"/>
      <c r="E46" s="56"/>
      <c r="F46" s="56"/>
      <c r="G46" s="56"/>
      <c r="H46" s="76"/>
      <c r="I46" s="70"/>
      <c r="J46" s="17"/>
      <c r="K46" s="17"/>
      <c r="L46" s="29"/>
      <c r="M46" s="77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2:31">
      <c r="B47" s="68"/>
      <c r="C47" s="73"/>
      <c r="D47" s="68"/>
      <c r="E47" s="54"/>
      <c r="F47" s="54"/>
      <c r="G47" s="135"/>
      <c r="H47" s="53"/>
      <c r="I47" s="70"/>
      <c r="J47" s="17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2:31">
      <c r="B48" s="68"/>
      <c r="C48" s="73"/>
      <c r="D48" s="68"/>
      <c r="E48" s="54"/>
      <c r="F48" s="54"/>
      <c r="G48" s="135"/>
      <c r="H48" s="53"/>
      <c r="I48" s="70"/>
      <c r="J48" s="17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2:31">
      <c r="B49" s="68"/>
      <c r="C49" s="73"/>
      <c r="D49" s="68"/>
      <c r="E49" s="54"/>
      <c r="F49" s="54"/>
      <c r="G49" s="135"/>
      <c r="H49" s="53"/>
      <c r="I49" s="70"/>
      <c r="J49" s="17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2:31">
      <c r="B50" s="68"/>
      <c r="C50" s="73"/>
      <c r="D50" s="68"/>
      <c r="E50" s="54"/>
      <c r="F50" s="54"/>
      <c r="G50" s="135"/>
      <c r="H50" s="53"/>
      <c r="I50" s="70"/>
      <c r="J50" s="17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2:31">
      <c r="B51" s="68"/>
      <c r="C51" s="73"/>
      <c r="D51" s="68"/>
      <c r="E51" s="54"/>
      <c r="F51" s="54"/>
      <c r="G51" s="135"/>
      <c r="H51" s="53"/>
      <c r="I51" s="70"/>
      <c r="J51" s="17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2:31">
      <c r="B52" s="68"/>
      <c r="C52" s="73"/>
      <c r="D52" s="68"/>
      <c r="E52" s="54"/>
      <c r="F52" s="54"/>
      <c r="G52" s="135"/>
      <c r="H52" s="53"/>
      <c r="I52" s="70"/>
      <c r="J52" s="17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2:31">
      <c r="B53" s="68"/>
      <c r="C53" s="73"/>
      <c r="D53" s="68"/>
      <c r="E53" s="54"/>
      <c r="F53" s="54"/>
      <c r="G53" s="135"/>
      <c r="H53" s="53"/>
      <c r="I53" s="70"/>
      <c r="J53" s="17"/>
      <c r="M53" s="7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2:31">
      <c r="B54" s="68"/>
      <c r="C54" s="73"/>
      <c r="D54" s="68"/>
      <c r="E54" s="54"/>
      <c r="F54" s="54"/>
      <c r="G54" s="135"/>
      <c r="H54" s="53"/>
      <c r="I54" s="136"/>
      <c r="J54" s="17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2:31">
      <c r="B55" s="68"/>
      <c r="C55" s="73"/>
      <c r="D55" s="68"/>
      <c r="E55" s="54"/>
      <c r="F55" s="54"/>
      <c r="G55" s="135"/>
      <c r="H55" s="53"/>
      <c r="I55" s="136"/>
      <c r="J55" s="17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2:31">
      <c r="B56" s="68"/>
      <c r="C56" s="73"/>
      <c r="D56" s="68"/>
      <c r="E56" s="54"/>
      <c r="F56" s="54"/>
      <c r="G56" s="135"/>
      <c r="H56" s="53"/>
      <c r="I56" s="70"/>
      <c r="J56" s="17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2:31">
      <c r="B57" s="68"/>
      <c r="C57" s="73"/>
      <c r="D57" s="68"/>
      <c r="E57" s="54"/>
      <c r="F57" s="54"/>
      <c r="G57" s="135"/>
      <c r="H57" s="53"/>
      <c r="I57" s="70"/>
      <c r="J57" s="17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2:31">
      <c r="B58" s="68"/>
      <c r="C58" s="73"/>
      <c r="D58" s="68"/>
      <c r="E58" s="54"/>
      <c r="F58" s="54"/>
      <c r="G58" s="135"/>
      <c r="H58" s="53"/>
      <c r="I58" s="70"/>
      <c r="J58" s="17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2:31">
      <c r="B59" s="68"/>
      <c r="C59" s="73"/>
      <c r="D59" s="68"/>
      <c r="E59" s="54"/>
      <c r="F59" s="54"/>
      <c r="G59" s="135"/>
      <c r="H59" s="53"/>
      <c r="I59" s="70"/>
      <c r="J59" s="17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2:31">
      <c r="B60" s="68"/>
      <c r="C60" s="73"/>
      <c r="D60" s="68"/>
      <c r="E60" s="54"/>
      <c r="F60" s="54"/>
      <c r="G60" s="135"/>
      <c r="H60" s="53"/>
      <c r="I60" s="70"/>
      <c r="J60" s="17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2:31">
      <c r="B61" s="68"/>
      <c r="C61" s="73"/>
      <c r="D61" s="68"/>
      <c r="E61" s="54"/>
      <c r="F61" s="54"/>
      <c r="G61" s="135"/>
      <c r="H61" s="53"/>
      <c r="I61" s="70"/>
      <c r="J61" s="17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2:31">
      <c r="B62" s="68"/>
      <c r="C62" s="73"/>
      <c r="D62" s="68"/>
      <c r="E62" s="54"/>
      <c r="F62" s="54"/>
      <c r="G62" s="135"/>
      <c r="H62" s="53"/>
      <c r="I62" s="70"/>
      <c r="J62" s="17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2:31">
      <c r="B63" s="68"/>
      <c r="C63" s="73"/>
      <c r="D63" s="68"/>
      <c r="E63" s="54"/>
      <c r="F63" s="54"/>
      <c r="G63" s="135"/>
      <c r="H63" s="53"/>
      <c r="I63" s="70"/>
      <c r="J63" s="17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2:31">
      <c r="B64" s="68"/>
      <c r="C64" s="73"/>
      <c r="D64" s="68"/>
      <c r="E64" s="54"/>
      <c r="F64" s="54"/>
      <c r="G64" s="135"/>
      <c r="H64" s="53"/>
      <c r="I64" s="70"/>
      <c r="J64" s="17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</row>
    <row r="65" spans="2:31">
      <c r="B65" s="68"/>
      <c r="C65" s="73"/>
      <c r="D65" s="68"/>
      <c r="E65" s="54"/>
      <c r="F65" s="54"/>
      <c r="G65" s="135"/>
      <c r="H65" s="53"/>
      <c r="I65" s="70"/>
      <c r="J65" s="17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</row>
    <row r="66" spans="2:31">
      <c r="B66" s="68"/>
      <c r="C66" s="73"/>
      <c r="D66" s="68"/>
      <c r="E66" s="54"/>
      <c r="F66" s="54"/>
      <c r="G66" s="135"/>
      <c r="H66" s="53"/>
      <c r="I66" s="70"/>
      <c r="J66" s="17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</row>
    <row r="67" spans="2:31">
      <c r="B67" s="68"/>
      <c r="C67" s="73"/>
      <c r="D67" s="68"/>
      <c r="E67" s="54"/>
      <c r="F67" s="54"/>
      <c r="G67" s="135"/>
      <c r="H67" s="53"/>
      <c r="I67" s="70"/>
      <c r="J67" s="17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</row>
    <row r="68" spans="2:31">
      <c r="B68" s="68"/>
      <c r="C68" s="73"/>
      <c r="D68" s="68"/>
      <c r="E68" s="54"/>
      <c r="F68" s="54"/>
      <c r="G68" s="135"/>
      <c r="H68" s="53"/>
      <c r="I68" s="70"/>
      <c r="J68" s="17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</row>
    <row r="69" spans="2:31">
      <c r="B69" s="68"/>
      <c r="C69" s="73"/>
      <c r="D69" s="68"/>
      <c r="E69" s="54"/>
      <c r="F69" s="54"/>
      <c r="G69" s="135"/>
      <c r="H69" s="53"/>
      <c r="I69" s="70"/>
      <c r="J69" s="17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</row>
    <row r="70" spans="2:31">
      <c r="B70" s="68"/>
      <c r="C70" s="73"/>
      <c r="D70" s="68"/>
      <c r="E70" s="54"/>
      <c r="F70" s="54"/>
      <c r="G70" s="135"/>
      <c r="H70" s="53"/>
      <c r="I70" s="70"/>
      <c r="J70" s="17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</row>
    <row r="71" spans="2:31">
      <c r="B71" s="68"/>
      <c r="C71" s="73"/>
      <c r="D71" s="68"/>
      <c r="E71" s="54"/>
      <c r="F71" s="54"/>
      <c r="G71" s="135"/>
      <c r="H71" s="53"/>
      <c r="I71" s="70"/>
      <c r="J71" s="17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</row>
    <row r="72" spans="2:31">
      <c r="B72" s="68"/>
      <c r="C72" s="73"/>
      <c r="D72" s="68"/>
      <c r="E72" s="54"/>
      <c r="F72" s="54"/>
      <c r="G72" s="135"/>
      <c r="H72" s="53"/>
      <c r="I72" s="70"/>
      <c r="J72" s="17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</row>
    <row r="73" spans="2:31">
      <c r="B73" s="68"/>
      <c r="C73" s="73"/>
      <c r="D73" s="68"/>
      <c r="E73" s="54"/>
      <c r="F73" s="54"/>
      <c r="G73" s="135"/>
      <c r="H73" s="53"/>
      <c r="I73" s="70"/>
      <c r="J73" s="17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</row>
    <row r="74" spans="2:31">
      <c r="B74" s="68"/>
      <c r="C74" s="73"/>
      <c r="D74" s="68"/>
      <c r="E74" s="54"/>
      <c r="F74" s="54"/>
      <c r="G74" s="135"/>
      <c r="H74" s="53"/>
      <c r="I74" s="70"/>
      <c r="J74" s="17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</row>
    <row r="75" spans="2:31">
      <c r="B75" s="68"/>
      <c r="C75" s="73"/>
      <c r="D75" s="68"/>
      <c r="E75" s="54"/>
      <c r="F75" s="54"/>
      <c r="G75" s="135"/>
      <c r="H75" s="53"/>
      <c r="I75" s="70"/>
      <c r="J75" s="17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</row>
    <row r="76" spans="2:31">
      <c r="B76" s="68"/>
      <c r="C76" s="73"/>
      <c r="D76" s="68"/>
      <c r="E76" s="54"/>
      <c r="F76" s="54"/>
      <c r="G76" s="135"/>
      <c r="H76" s="53"/>
      <c r="I76" s="70"/>
      <c r="J76" s="17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</row>
    <row r="77" spans="2:31">
      <c r="B77" s="68"/>
      <c r="C77" s="73"/>
      <c r="D77" s="68"/>
      <c r="E77" s="54"/>
      <c r="F77" s="54"/>
      <c r="G77" s="135"/>
      <c r="H77" s="53"/>
      <c r="I77" s="70"/>
      <c r="J77" s="17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</row>
    <row r="78" spans="2:31">
      <c r="B78" s="68"/>
      <c r="C78" s="73"/>
      <c r="D78" s="68"/>
      <c r="E78" s="54"/>
      <c r="F78" s="54"/>
      <c r="G78" s="135"/>
      <c r="H78" s="53"/>
      <c r="I78" s="70"/>
      <c r="J78" s="17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</row>
    <row r="79" spans="2:31">
      <c r="B79" s="68"/>
      <c r="C79" s="73"/>
      <c r="D79" s="68"/>
      <c r="E79" s="54"/>
      <c r="F79" s="54"/>
      <c r="G79" s="135"/>
      <c r="H79" s="53"/>
      <c r="I79" s="70"/>
      <c r="J79" s="17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</row>
    <row r="80" spans="2:31">
      <c r="B80" s="68"/>
      <c r="C80" s="73"/>
      <c r="D80" s="68"/>
      <c r="E80" s="54"/>
      <c r="F80" s="54"/>
      <c r="G80" s="135"/>
      <c r="H80" s="53"/>
      <c r="I80" s="70"/>
      <c r="J80" s="17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</row>
    <row r="81" spans="2:31">
      <c r="B81" s="68"/>
      <c r="C81" s="73"/>
      <c r="D81" s="68"/>
      <c r="E81" s="54"/>
      <c r="F81" s="54"/>
      <c r="G81" s="135"/>
      <c r="H81" s="53"/>
      <c r="I81" s="70"/>
      <c r="J81" s="17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</row>
    <row r="82" spans="2:31">
      <c r="B82" s="68"/>
      <c r="C82" s="73"/>
      <c r="D82" s="68"/>
      <c r="E82" s="54"/>
      <c r="F82" s="54"/>
      <c r="G82" s="135"/>
      <c r="H82" s="53"/>
      <c r="I82" s="70"/>
      <c r="J82" s="17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</row>
    <row r="83" spans="2:31">
      <c r="B83" s="68"/>
      <c r="C83" s="73"/>
      <c r="D83" s="68"/>
      <c r="E83" s="54"/>
      <c r="F83" s="54"/>
      <c r="G83" s="135"/>
      <c r="H83" s="53"/>
      <c r="I83" s="70"/>
      <c r="J83" s="17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</row>
    <row r="84" spans="2:31">
      <c r="B84" s="68"/>
      <c r="C84" s="73"/>
      <c r="D84" s="68"/>
      <c r="E84" s="54"/>
      <c r="F84" s="54"/>
      <c r="G84" s="135"/>
      <c r="H84" s="53"/>
      <c r="I84" s="70"/>
      <c r="J84" s="17"/>
      <c r="M84" s="7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</row>
    <row r="85" spans="2:31">
      <c r="B85" s="68"/>
      <c r="C85" s="73"/>
      <c r="D85" s="68"/>
      <c r="E85" s="54"/>
      <c r="F85" s="54"/>
      <c r="G85" s="135"/>
      <c r="H85" s="53"/>
      <c r="I85" s="70"/>
      <c r="J85" s="17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</row>
    <row r="86" spans="2:31">
      <c r="B86" s="68"/>
      <c r="C86" s="73"/>
      <c r="D86" s="68"/>
      <c r="E86" s="54"/>
      <c r="F86" s="54"/>
      <c r="G86" s="135"/>
      <c r="H86" s="53"/>
      <c r="I86" s="70"/>
      <c r="J86" s="17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</row>
    <row r="87" spans="2:31">
      <c r="B87" s="68"/>
      <c r="C87" s="73"/>
      <c r="D87" s="68"/>
      <c r="E87" s="54"/>
      <c r="F87" s="54"/>
      <c r="G87" s="135"/>
      <c r="H87" s="53"/>
      <c r="I87" s="70"/>
      <c r="J87" s="17"/>
      <c r="M87" s="7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</row>
    <row r="88" spans="2:31">
      <c r="B88" s="68"/>
      <c r="C88" s="73"/>
      <c r="D88" s="68"/>
      <c r="E88" s="54"/>
      <c r="F88" s="54"/>
      <c r="G88" s="135"/>
      <c r="H88" s="53"/>
      <c r="I88" s="70"/>
      <c r="J88" s="17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</row>
    <row r="89" spans="2:31">
      <c r="B89" s="68"/>
      <c r="C89" s="73"/>
      <c r="D89" s="68"/>
      <c r="E89" s="54"/>
      <c r="F89" s="54"/>
      <c r="G89" s="135"/>
      <c r="H89" s="53"/>
      <c r="I89" s="70"/>
      <c r="J89" s="17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</row>
    <row r="90" spans="2:31">
      <c r="B90" s="68"/>
      <c r="C90" s="73"/>
      <c r="D90" s="68"/>
      <c r="E90" s="54"/>
      <c r="F90" s="54"/>
      <c r="G90" s="135"/>
      <c r="H90" s="53"/>
      <c r="I90" s="70"/>
      <c r="J90" s="17"/>
      <c r="M90" s="71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</row>
    <row r="91" spans="2:31">
      <c r="B91" s="68"/>
      <c r="C91" s="73"/>
      <c r="D91" s="68"/>
      <c r="E91" s="54"/>
      <c r="F91" s="54"/>
      <c r="G91" s="135"/>
      <c r="H91" s="53"/>
      <c r="I91" s="70"/>
      <c r="J91" s="17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</row>
    <row r="92" spans="2:31">
      <c r="B92" s="68"/>
      <c r="C92" s="73"/>
      <c r="D92" s="68"/>
      <c r="E92" s="54"/>
      <c r="F92" s="54"/>
      <c r="G92" s="135"/>
      <c r="H92" s="53"/>
      <c r="I92" s="70"/>
      <c r="J92" s="17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</row>
    <row r="93" spans="2:31" ht="12.6" customHeight="1">
      <c r="B93" s="74"/>
      <c r="C93" s="75"/>
      <c r="D93" s="74"/>
      <c r="E93" s="56"/>
      <c r="F93" s="56"/>
      <c r="G93" s="56"/>
      <c r="H93" s="76"/>
      <c r="I93" s="70"/>
      <c r="J93" s="17"/>
      <c r="K93" s="17"/>
      <c r="L93" s="29"/>
      <c r="M93" s="77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</row>
    <row r="94" spans="2:31">
      <c r="B94" s="68"/>
      <c r="C94" s="73"/>
      <c r="D94" s="68"/>
      <c r="E94" s="54"/>
      <c r="F94" s="54"/>
      <c r="G94" s="135"/>
      <c r="H94" s="53"/>
      <c r="I94" s="70"/>
      <c r="J94" s="17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</row>
    <row r="95" spans="2:31">
      <c r="B95" s="68"/>
      <c r="C95" s="73"/>
      <c r="D95" s="68"/>
      <c r="E95" s="54"/>
      <c r="F95" s="54"/>
      <c r="G95" s="135"/>
      <c r="H95" s="53"/>
      <c r="I95" s="70"/>
      <c r="J95" s="17"/>
      <c r="M95" s="7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</row>
    <row r="96" spans="2:31">
      <c r="B96" s="68"/>
      <c r="C96" s="73"/>
      <c r="D96" s="68"/>
      <c r="E96" s="54"/>
      <c r="F96" s="54"/>
      <c r="G96" s="135"/>
      <c r="H96" s="53"/>
      <c r="I96" s="70"/>
      <c r="J96" s="17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</row>
    <row r="97" spans="2:31" ht="12.6" customHeight="1">
      <c r="B97" s="74"/>
      <c r="C97" s="75"/>
      <c r="D97" s="74"/>
      <c r="E97" s="56"/>
      <c r="F97" s="56"/>
      <c r="G97" s="56"/>
      <c r="H97" s="76"/>
      <c r="I97" s="70"/>
      <c r="J97" s="17"/>
      <c r="K97" s="17"/>
      <c r="L97" s="29"/>
      <c r="M97" s="77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2:31">
      <c r="B98" s="68"/>
      <c r="C98" s="73"/>
      <c r="D98" s="68"/>
      <c r="E98" s="54"/>
      <c r="F98" s="54"/>
      <c r="G98" s="135"/>
      <c r="H98" s="53"/>
      <c r="I98" s="70"/>
      <c r="J98" s="17"/>
      <c r="M98" s="71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</row>
    <row r="99" spans="2:31" ht="12.6" customHeight="1">
      <c r="B99" s="68"/>
      <c r="C99" s="73"/>
      <c r="D99" s="68"/>
      <c r="E99" s="54"/>
      <c r="F99" s="54"/>
      <c r="G99" s="135"/>
      <c r="H99" s="53"/>
      <c r="I99" s="70"/>
      <c r="J99" s="17"/>
      <c r="M99" s="71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</row>
    <row r="100" spans="2:31">
      <c r="B100" s="68"/>
      <c r="C100" s="73"/>
      <c r="D100" s="68"/>
      <c r="E100" s="54"/>
      <c r="F100" s="54"/>
      <c r="G100" s="135"/>
      <c r="H100" s="53"/>
      <c r="I100" s="70"/>
      <c r="J100" s="17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</row>
    <row r="101" spans="2:31">
      <c r="B101" s="68"/>
      <c r="C101" s="73"/>
      <c r="D101" s="68"/>
      <c r="E101" s="54"/>
      <c r="F101" s="54"/>
      <c r="G101" s="135"/>
      <c r="H101" s="53"/>
      <c r="I101" s="70"/>
      <c r="J101" s="17"/>
      <c r="M101" s="7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</row>
    <row r="102" spans="2:31">
      <c r="B102" s="68"/>
      <c r="C102" s="73"/>
      <c r="D102" s="68"/>
      <c r="E102" s="54"/>
      <c r="F102" s="54"/>
      <c r="G102" s="135"/>
      <c r="H102" s="53"/>
      <c r="I102" s="70"/>
      <c r="J102" s="17"/>
      <c r="M102" s="7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</row>
    <row r="103" spans="2:31">
      <c r="B103" s="68"/>
      <c r="C103" s="73"/>
      <c r="D103" s="68"/>
      <c r="E103" s="54"/>
      <c r="F103" s="54"/>
      <c r="G103" s="135"/>
      <c r="H103" s="53"/>
      <c r="I103" s="70"/>
      <c r="J103" s="17"/>
      <c r="M103" s="7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</row>
    <row r="104" spans="2:31">
      <c r="B104" s="68"/>
      <c r="C104" s="73"/>
      <c r="D104" s="68"/>
      <c r="E104" s="54"/>
      <c r="F104" s="54"/>
      <c r="G104" s="135"/>
      <c r="H104" s="53"/>
      <c r="I104" s="70"/>
      <c r="J104" s="17"/>
      <c r="M104" s="71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</row>
    <row r="105" spans="2:31">
      <c r="B105" s="68"/>
      <c r="C105" s="73"/>
      <c r="D105" s="68"/>
      <c r="E105" s="54"/>
      <c r="F105" s="54"/>
      <c r="G105" s="135"/>
      <c r="H105" s="53"/>
      <c r="I105" s="70"/>
      <c r="J105" s="17"/>
      <c r="M105" s="71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</row>
    <row r="106" spans="2:31">
      <c r="B106" s="68"/>
      <c r="C106" s="73"/>
      <c r="D106" s="68"/>
      <c r="E106" s="54"/>
      <c r="F106" s="54"/>
      <c r="G106" s="135"/>
      <c r="H106" s="53"/>
      <c r="I106" s="70"/>
      <c r="J106" s="17"/>
      <c r="M106" s="71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</row>
    <row r="107" spans="2:31">
      <c r="B107" s="68"/>
      <c r="C107" s="73"/>
      <c r="D107" s="68"/>
      <c r="E107" s="54"/>
      <c r="F107" s="54"/>
      <c r="G107" s="135"/>
      <c r="H107" s="53"/>
      <c r="I107" s="70"/>
      <c r="J107" s="17"/>
      <c r="M107" s="71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</row>
    <row r="108" spans="2:31" ht="12.6" customHeight="1">
      <c r="B108" s="74"/>
      <c r="C108" s="75"/>
      <c r="D108" s="74"/>
      <c r="E108" s="56"/>
      <c r="F108" s="56"/>
      <c r="G108" s="56"/>
      <c r="H108" s="76"/>
      <c r="I108" s="70"/>
      <c r="J108" s="17"/>
      <c r="K108" s="17"/>
      <c r="L108" s="29"/>
      <c r="M108" s="77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</row>
    <row r="109" spans="2:31" ht="15.75">
      <c r="B109" s="78"/>
      <c r="C109" s="17"/>
      <c r="D109" s="17"/>
      <c r="E109" s="36"/>
      <c r="F109" s="36"/>
      <c r="G109" s="79"/>
      <c r="M109" s="80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</row>
    <row r="110" spans="2:31">
      <c r="M110" s="36"/>
    </row>
    <row r="111" spans="2:31" ht="15">
      <c r="B111" s="2"/>
      <c r="D111" s="2"/>
      <c r="E111" s="81"/>
      <c r="F111" s="81"/>
      <c r="M111" s="82"/>
      <c r="N111" s="14"/>
      <c r="O111" s="14"/>
      <c r="P111" s="14"/>
      <c r="Q111" s="14"/>
      <c r="R111" s="14"/>
      <c r="S111" s="83"/>
      <c r="T111" s="83"/>
      <c r="U111" s="83"/>
      <c r="V111" s="83"/>
      <c r="W111" s="83"/>
      <c r="X111" s="83"/>
      <c r="Y111" s="83"/>
      <c r="Z111" s="83"/>
      <c r="AA111" s="83"/>
    </row>
    <row r="112" spans="2:31">
      <c r="B112" s="15"/>
      <c r="C112" s="17"/>
      <c r="D112" s="17"/>
      <c r="E112" s="84"/>
      <c r="F112" s="84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</row>
    <row r="113" spans="2:28">
      <c r="B113" s="15"/>
      <c r="C113" s="17"/>
      <c r="D113" s="17"/>
      <c r="E113" s="84"/>
      <c r="F113" s="84"/>
      <c r="M113" s="36"/>
      <c r="N113" s="85"/>
      <c r="O113" s="36"/>
      <c r="P113" s="36"/>
      <c r="Q113" s="85"/>
      <c r="R113" s="36"/>
      <c r="S113" s="36"/>
      <c r="T113" s="85"/>
      <c r="U113" s="36"/>
      <c r="V113" s="36"/>
      <c r="W113" s="36"/>
      <c r="X113" s="36"/>
      <c r="Y113" s="36"/>
      <c r="Z113" s="36"/>
      <c r="AA113" s="36"/>
      <c r="AB113" s="86"/>
    </row>
    <row r="114" spans="2:28">
      <c r="B114" s="15"/>
      <c r="C114" s="17"/>
      <c r="D114" s="17"/>
      <c r="E114" s="84"/>
      <c r="F114" s="84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  <c r="AA114" s="87"/>
    </row>
    <row r="115" spans="2:28">
      <c r="B115" s="15"/>
      <c r="C115" s="17"/>
      <c r="D115" s="17"/>
      <c r="E115" s="84"/>
      <c r="F115" s="84"/>
      <c r="M115" s="88"/>
      <c r="N115" s="88"/>
      <c r="O115" s="87"/>
      <c r="P115" s="87"/>
      <c r="Q115" s="87"/>
      <c r="R115" s="87"/>
      <c r="S115" s="87"/>
      <c r="T115" s="87"/>
      <c r="U115" s="87"/>
      <c r="V115" s="87"/>
      <c r="W115" s="89"/>
      <c r="X115" s="87"/>
      <c r="Y115" s="87"/>
      <c r="Z115" s="87"/>
      <c r="AA115" s="87"/>
      <c r="AB115" s="87"/>
    </row>
    <row r="116" spans="2:28">
      <c r="B116" s="15"/>
      <c r="C116" s="17"/>
      <c r="D116" s="17"/>
      <c r="E116" s="84"/>
      <c r="F116" s="84"/>
      <c r="M116" s="88"/>
      <c r="N116" s="88"/>
      <c r="O116" s="87"/>
      <c r="P116" s="87"/>
      <c r="Q116" s="87"/>
      <c r="R116" s="87"/>
      <c r="S116" s="87"/>
      <c r="T116" s="87"/>
      <c r="U116" s="87"/>
      <c r="V116" s="87"/>
      <c r="W116" s="89"/>
      <c r="X116" s="87"/>
      <c r="Y116" s="87"/>
      <c r="Z116" s="87"/>
      <c r="AA116" s="87"/>
      <c r="AB116" s="87"/>
    </row>
    <row r="117" spans="2:28">
      <c r="B117" s="15"/>
      <c r="C117" s="17"/>
      <c r="D117" s="17"/>
      <c r="E117" s="84"/>
      <c r="F117" s="84"/>
      <c r="M117" s="88"/>
      <c r="N117" s="88"/>
      <c r="O117" s="88"/>
      <c r="P117" s="88"/>
      <c r="Q117" s="88"/>
      <c r="R117" s="88"/>
      <c r="S117" s="88"/>
      <c r="T117" s="88"/>
      <c r="U117" s="88"/>
      <c r="Y117" s="87"/>
      <c r="Z117" s="88"/>
      <c r="AA117" s="88"/>
      <c r="AB117" s="88"/>
    </row>
    <row r="118" spans="2:28" ht="15">
      <c r="B118" s="15"/>
      <c r="C118" s="17"/>
      <c r="D118" s="17"/>
      <c r="E118" s="84"/>
      <c r="F118" s="84"/>
      <c r="M118" s="82"/>
      <c r="N118" s="14"/>
      <c r="O118" s="14"/>
      <c r="P118" s="14"/>
      <c r="Q118" s="14"/>
      <c r="R118" s="14"/>
      <c r="S118" s="14"/>
      <c r="T118" s="88"/>
      <c r="U118" s="88"/>
      <c r="Y118" s="87"/>
      <c r="Z118" s="88"/>
      <c r="AA118" s="88"/>
      <c r="AB118" s="88"/>
    </row>
    <row r="119" spans="2:28">
      <c r="B119" s="15"/>
      <c r="C119" s="17"/>
      <c r="D119" s="17"/>
      <c r="E119" s="84"/>
      <c r="F119" s="84"/>
      <c r="M119" s="88"/>
      <c r="N119" s="88"/>
      <c r="O119" s="88"/>
      <c r="P119" s="88"/>
      <c r="Q119" s="88"/>
      <c r="R119" s="88"/>
      <c r="S119" s="88"/>
      <c r="T119" s="88"/>
      <c r="U119" s="88"/>
      <c r="Y119" s="87"/>
    </row>
    <row r="120" spans="2:28" ht="15">
      <c r="B120" s="15"/>
      <c r="C120" s="17"/>
      <c r="D120" s="17"/>
      <c r="E120" s="84"/>
      <c r="F120" s="84"/>
      <c r="M120" s="14"/>
      <c r="N120" s="90"/>
      <c r="O120" s="14"/>
      <c r="P120" s="14"/>
      <c r="Q120" s="91"/>
      <c r="R120" s="91"/>
      <c r="S120" s="14"/>
      <c r="T120" s="14"/>
      <c r="U120" s="82"/>
      <c r="Y120" s="87"/>
      <c r="Z120" s="92"/>
      <c r="AA120" s="92"/>
      <c r="AB120" s="14"/>
    </row>
    <row r="121" spans="2:28" ht="15">
      <c r="B121" s="15"/>
      <c r="C121" s="17"/>
      <c r="D121" s="17"/>
      <c r="E121" s="84"/>
      <c r="F121" s="84"/>
      <c r="M121" s="14"/>
      <c r="N121" s="93"/>
      <c r="O121" s="94"/>
      <c r="P121" s="95"/>
      <c r="Q121" s="91"/>
      <c r="R121" s="91"/>
      <c r="S121" s="14"/>
      <c r="T121" s="14"/>
      <c r="U121" s="82"/>
      <c r="V121" s="14"/>
      <c r="W121" s="14"/>
      <c r="X121" s="14"/>
      <c r="Y121" s="14"/>
      <c r="Z121" s="92"/>
      <c r="AA121" s="92"/>
      <c r="AB121" s="14"/>
    </row>
    <row r="122" spans="2:28" ht="15">
      <c r="B122" s="15"/>
      <c r="C122" s="17"/>
      <c r="D122" s="17"/>
      <c r="E122" s="84"/>
      <c r="F122" s="84"/>
      <c r="M122" s="14"/>
      <c r="N122" s="94"/>
      <c r="O122" s="96"/>
      <c r="P122" s="14"/>
      <c r="Q122" s="91"/>
      <c r="R122" s="91"/>
      <c r="S122" s="14"/>
      <c r="T122" s="14"/>
      <c r="U122" s="82"/>
      <c r="V122" s="14"/>
      <c r="W122" s="14"/>
      <c r="X122" s="14"/>
      <c r="Y122" s="14"/>
      <c r="Z122" s="92"/>
      <c r="AA122" s="92"/>
      <c r="AB122" s="14"/>
    </row>
    <row r="123" spans="2:28">
      <c r="B123" s="15"/>
      <c r="C123" s="17"/>
      <c r="D123" s="17"/>
      <c r="E123" s="84"/>
      <c r="F123" s="84"/>
      <c r="M123" s="43"/>
      <c r="N123" s="43"/>
      <c r="O123" s="43"/>
      <c r="P123" s="43"/>
      <c r="Q123" s="43"/>
      <c r="R123" s="43"/>
      <c r="S123" s="43"/>
      <c r="T123" s="14"/>
      <c r="U123" s="14"/>
      <c r="V123" s="14"/>
      <c r="W123" s="14"/>
      <c r="X123" s="14"/>
      <c r="Y123" s="97"/>
      <c r="Z123" s="97"/>
      <c r="AA123" s="97"/>
      <c r="AB123" s="14"/>
    </row>
    <row r="124" spans="2:28">
      <c r="B124" s="15"/>
      <c r="C124" s="17"/>
      <c r="D124" s="17"/>
      <c r="E124" s="84"/>
      <c r="F124" s="84"/>
      <c r="M124" s="98"/>
      <c r="N124" s="14"/>
      <c r="O124" s="99"/>
      <c r="P124" s="90"/>
      <c r="Q124" s="100"/>
      <c r="R124" s="100"/>
      <c r="S124" s="90"/>
      <c r="T124" s="14"/>
      <c r="U124" s="98"/>
      <c r="V124" s="14"/>
      <c r="W124" s="14"/>
      <c r="X124" s="99"/>
      <c r="Y124" s="90"/>
      <c r="Z124" s="90"/>
      <c r="AA124" s="90"/>
      <c r="AB124" s="14"/>
    </row>
    <row r="125" spans="2:28">
      <c r="B125" s="15"/>
      <c r="C125" s="17"/>
      <c r="D125" s="17"/>
      <c r="E125" s="84"/>
      <c r="F125" s="84"/>
      <c r="M125" s="14"/>
      <c r="N125" s="14"/>
      <c r="O125" s="14"/>
      <c r="P125" s="90"/>
      <c r="Q125" s="101"/>
      <c r="R125" s="101"/>
      <c r="S125" s="90"/>
      <c r="T125" s="14"/>
      <c r="U125" s="98"/>
      <c r="V125" s="14"/>
      <c r="W125" s="14"/>
      <c r="X125" s="14"/>
      <c r="Y125" s="90"/>
      <c r="Z125" s="90"/>
      <c r="AA125" s="90"/>
      <c r="AB125" s="14"/>
    </row>
    <row r="126" spans="2:28">
      <c r="B126" s="17"/>
      <c r="C126" s="17"/>
      <c r="D126" s="17"/>
      <c r="E126" s="84"/>
      <c r="F126" s="102"/>
      <c r="M126" s="88"/>
      <c r="N126" s="88"/>
      <c r="O126" s="14"/>
      <c r="P126" s="90"/>
      <c r="Q126" s="101"/>
      <c r="R126" s="101"/>
      <c r="S126" s="90"/>
      <c r="T126" s="14"/>
      <c r="U126" s="98"/>
      <c r="V126" s="14"/>
      <c r="W126" s="14"/>
      <c r="X126" s="14"/>
      <c r="Y126" s="90"/>
      <c r="Z126" s="90"/>
      <c r="AA126" s="90"/>
      <c r="AB126" s="14"/>
    </row>
    <row r="127" spans="2:28">
      <c r="E127"/>
      <c r="F127"/>
      <c r="M127" s="29"/>
      <c r="N127" s="14"/>
      <c r="O127" s="14"/>
      <c r="P127" s="14"/>
      <c r="Q127" s="14"/>
      <c r="R127" s="14"/>
      <c r="S127" s="90"/>
      <c r="T127" s="14"/>
      <c r="U127" s="98"/>
      <c r="V127" s="14"/>
      <c r="W127" s="14"/>
      <c r="X127" s="14"/>
      <c r="Y127" s="90"/>
      <c r="Z127" s="90"/>
      <c r="AA127" s="90"/>
      <c r="AB127" s="14"/>
    </row>
    <row r="128" spans="2:28">
      <c r="E128"/>
      <c r="F128"/>
      <c r="M128" s="14"/>
      <c r="N128" s="14"/>
      <c r="O128" s="14"/>
      <c r="P128" s="14"/>
      <c r="Q128" s="101"/>
      <c r="R128" s="101"/>
      <c r="S128" s="90"/>
      <c r="T128" s="14"/>
      <c r="U128" s="98"/>
      <c r="V128" s="14"/>
      <c r="W128" s="14"/>
      <c r="X128" s="14"/>
      <c r="Y128" s="90"/>
      <c r="Z128" s="90"/>
      <c r="AA128" s="90"/>
      <c r="AB128" s="14"/>
    </row>
    <row r="129" spans="5:28">
      <c r="E129"/>
      <c r="F129"/>
      <c r="M129" s="14"/>
      <c r="N129" s="14"/>
      <c r="O129" s="14"/>
      <c r="P129" s="14"/>
      <c r="Q129" s="14"/>
      <c r="R129" s="14"/>
      <c r="S129" s="90"/>
      <c r="T129" s="14"/>
      <c r="U129" s="98"/>
      <c r="V129" s="14"/>
      <c r="W129" s="14"/>
      <c r="X129" s="14"/>
      <c r="Y129" s="90"/>
      <c r="Z129" s="90"/>
      <c r="AA129" s="90"/>
      <c r="AB129" s="14"/>
    </row>
    <row r="130" spans="5:28">
      <c r="E130"/>
      <c r="F130"/>
      <c r="M130" s="29"/>
      <c r="N130" s="14"/>
      <c r="O130" s="14"/>
      <c r="P130" s="14"/>
      <c r="Q130" s="14"/>
      <c r="R130" s="14"/>
      <c r="S130" s="90"/>
      <c r="T130" s="14"/>
      <c r="U130" s="98"/>
      <c r="V130" s="14"/>
      <c r="W130" s="14"/>
      <c r="X130" s="14"/>
      <c r="Y130" s="90"/>
      <c r="Z130" s="90"/>
      <c r="AA130" s="90"/>
      <c r="AB130" s="14"/>
    </row>
    <row r="131" spans="5:28">
      <c r="E131"/>
      <c r="F131"/>
      <c r="M131" s="14"/>
      <c r="N131" s="14"/>
      <c r="O131" s="14"/>
      <c r="P131" s="14"/>
      <c r="Q131" s="14"/>
      <c r="R131" s="14"/>
      <c r="S131" s="90"/>
      <c r="T131" s="14"/>
      <c r="U131" s="98"/>
      <c r="V131" s="14"/>
      <c r="W131" s="14"/>
      <c r="X131" s="14"/>
      <c r="Y131" s="90"/>
      <c r="Z131" s="90"/>
      <c r="AA131" s="90"/>
      <c r="AB131" s="14"/>
    </row>
    <row r="132" spans="5:28">
      <c r="E132"/>
      <c r="F132"/>
      <c r="M132" s="14"/>
      <c r="N132" s="14"/>
      <c r="O132" s="14"/>
      <c r="P132" s="14"/>
      <c r="Q132" s="14"/>
      <c r="R132" s="14"/>
      <c r="S132" s="90"/>
      <c r="T132" s="90"/>
      <c r="U132" s="14"/>
      <c r="V132" s="14"/>
      <c r="W132" s="14"/>
      <c r="X132" s="14"/>
      <c r="Y132" s="103"/>
      <c r="Z132" s="103"/>
      <c r="AA132" s="103"/>
      <c r="AB132" s="14"/>
    </row>
    <row r="133" spans="5:28">
      <c r="E133"/>
      <c r="F133"/>
      <c r="M133" s="14"/>
      <c r="N133" s="14"/>
      <c r="O133" s="14"/>
      <c r="P133" s="14"/>
      <c r="Q133" s="14"/>
      <c r="R133" s="14"/>
      <c r="S133" s="14"/>
      <c r="T133" s="90"/>
      <c r="U133" s="90"/>
      <c r="V133" s="90"/>
      <c r="W133" s="90"/>
      <c r="X133" s="14"/>
      <c r="Y133" s="14"/>
      <c r="Z133" s="91"/>
      <c r="AA133" s="91"/>
      <c r="AB133" s="14"/>
    </row>
    <row r="134" spans="5:28" ht="15">
      <c r="E134"/>
      <c r="F134"/>
      <c r="M134" s="104"/>
    </row>
    <row r="135" spans="5:28">
      <c r="E135"/>
      <c r="F135"/>
      <c r="M135" s="14"/>
    </row>
    <row r="136" spans="5:28">
      <c r="E136"/>
      <c r="F136"/>
      <c r="M136" s="14"/>
    </row>
    <row r="137" spans="5:28">
      <c r="E137"/>
      <c r="F137"/>
      <c r="M137" s="14"/>
    </row>
    <row r="138" spans="5:28">
      <c r="E138"/>
      <c r="F138"/>
      <c r="M138" s="43"/>
      <c r="N138" s="43"/>
      <c r="O138" s="43"/>
      <c r="P138" s="43"/>
      <c r="Q138" s="97"/>
      <c r="R138" s="97"/>
      <c r="S138" s="97"/>
      <c r="Y138" s="97"/>
      <c r="Z138" s="97"/>
      <c r="AA138" s="97"/>
    </row>
    <row r="139" spans="5:28">
      <c r="E139"/>
      <c r="F139"/>
      <c r="M139" s="98"/>
      <c r="N139" s="14"/>
      <c r="O139" s="105"/>
      <c r="P139" s="14"/>
      <c r="S139" s="90"/>
      <c r="T139" s="31"/>
      <c r="U139" s="98"/>
      <c r="V139" s="14"/>
      <c r="W139" s="14"/>
      <c r="X139" s="99"/>
      <c r="Y139" s="90"/>
      <c r="Z139" s="90"/>
      <c r="AA139" s="90"/>
    </row>
    <row r="140" spans="5:28">
      <c r="E140"/>
      <c r="F140"/>
      <c r="M140" s="98"/>
      <c r="N140" s="14"/>
      <c r="O140" s="105"/>
      <c r="P140" s="14"/>
      <c r="S140" s="90"/>
      <c r="T140" s="31"/>
      <c r="U140" s="98"/>
      <c r="V140" s="14"/>
      <c r="W140" s="14"/>
      <c r="Y140" s="90"/>
      <c r="Z140" s="90"/>
      <c r="AA140" s="90"/>
    </row>
    <row r="141" spans="5:28">
      <c r="E141"/>
      <c r="F141"/>
      <c r="M141" s="98"/>
      <c r="N141" s="14"/>
      <c r="O141" s="105"/>
      <c r="P141" s="14"/>
      <c r="S141" s="90"/>
      <c r="T141" s="106"/>
      <c r="U141" s="98"/>
      <c r="V141" s="14"/>
      <c r="W141" s="14"/>
      <c r="Y141" s="90"/>
      <c r="Z141" s="90"/>
      <c r="AA141" s="90"/>
    </row>
    <row r="142" spans="5:28">
      <c r="E142"/>
      <c r="F142"/>
      <c r="M142" s="98"/>
      <c r="N142" s="14"/>
      <c r="O142" s="105"/>
      <c r="P142" s="14"/>
      <c r="S142" s="90"/>
      <c r="T142" s="106"/>
      <c r="U142" s="98"/>
      <c r="V142" s="14"/>
      <c r="W142" s="14"/>
      <c r="Y142" s="90"/>
      <c r="Z142" s="90"/>
      <c r="AA142" s="90"/>
    </row>
    <row r="143" spans="5:28">
      <c r="E143"/>
      <c r="F143"/>
      <c r="T143" s="71"/>
      <c r="U143" s="98"/>
      <c r="V143" s="14"/>
      <c r="W143" s="14"/>
      <c r="Y143" s="90"/>
      <c r="Z143" s="90"/>
      <c r="AA143" s="90"/>
    </row>
    <row r="144" spans="5:28">
      <c r="E144"/>
      <c r="F144"/>
      <c r="M144" s="98"/>
      <c r="N144" s="14"/>
      <c r="Q144" s="90"/>
      <c r="R144" s="90"/>
      <c r="S144" s="90"/>
      <c r="T144" s="90"/>
      <c r="U144" s="98"/>
      <c r="V144" s="14"/>
      <c r="W144" s="14"/>
      <c r="Y144" s="90"/>
      <c r="Z144" s="90"/>
      <c r="AA144" s="90"/>
    </row>
    <row r="145" spans="5:28">
      <c r="E145"/>
      <c r="F145"/>
      <c r="Y145" s="103"/>
      <c r="Z145" s="103"/>
      <c r="AA145" s="103"/>
    </row>
    <row r="146" spans="5:28">
      <c r="E146"/>
      <c r="F146"/>
      <c r="Q146" s="98"/>
      <c r="R146" s="98"/>
      <c r="S146" s="103"/>
      <c r="T146" s="90"/>
      <c r="Z146" s="91"/>
      <c r="AA146" s="107"/>
    </row>
    <row r="147" spans="5:28">
      <c r="E147"/>
      <c r="F14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08"/>
      <c r="AA147" s="17"/>
      <c r="AB147" s="17"/>
    </row>
    <row r="148" spans="5:28" ht="15">
      <c r="E148"/>
      <c r="F148"/>
      <c r="M148" s="17"/>
      <c r="N148" s="17"/>
      <c r="O148" s="17"/>
      <c r="P148" s="17"/>
      <c r="Q148" s="17"/>
      <c r="R148" s="17"/>
      <c r="S148" s="17"/>
      <c r="T148" s="17"/>
      <c r="U148" s="33"/>
      <c r="V148" s="109"/>
      <c r="W148" s="110"/>
      <c r="Y148" s="111"/>
      <c r="Z148" s="111"/>
      <c r="AA148" s="17"/>
      <c r="AB148" s="17"/>
    </row>
    <row r="149" spans="5:28">
      <c r="E149"/>
      <c r="F149"/>
      <c r="M149" s="17"/>
      <c r="N149" s="17"/>
      <c r="O149" s="17"/>
      <c r="P149" s="17"/>
      <c r="Q149" s="17"/>
      <c r="R149" s="17"/>
      <c r="S149" s="17"/>
      <c r="T149" s="17"/>
      <c r="U149" s="112"/>
      <c r="V149" s="23"/>
      <c r="Y149" s="113"/>
      <c r="Z149" s="113"/>
      <c r="AA149" s="17"/>
      <c r="AB149" s="17"/>
    </row>
    <row r="150" spans="5:28">
      <c r="E150"/>
      <c r="F150"/>
      <c r="M150" s="17"/>
      <c r="N150" s="17"/>
      <c r="O150" s="17"/>
      <c r="P150" s="17"/>
      <c r="Q150" s="17"/>
      <c r="R150" s="17"/>
      <c r="S150" s="17"/>
      <c r="T150" s="17"/>
      <c r="AA150" s="17"/>
      <c r="AB150" s="17"/>
    </row>
    <row r="151" spans="5:28">
      <c r="E151"/>
      <c r="F151"/>
      <c r="M151" s="17"/>
      <c r="N151" s="17"/>
      <c r="O151" s="17"/>
      <c r="P151" s="17"/>
      <c r="Q151" s="17"/>
      <c r="R151" s="17"/>
      <c r="S151" s="17"/>
      <c r="T151" s="17"/>
      <c r="U151" s="40"/>
      <c r="V151" s="34"/>
      <c r="Y151" s="113"/>
      <c r="Z151" s="113"/>
      <c r="AA151" s="17"/>
      <c r="AB151" s="17"/>
    </row>
    <row r="152" spans="5:28">
      <c r="E152"/>
      <c r="F152"/>
      <c r="M152" s="17"/>
      <c r="N152" s="17"/>
      <c r="O152" s="17"/>
      <c r="P152" s="17"/>
      <c r="Q152" s="17"/>
      <c r="R152" s="17"/>
      <c r="S152" s="17"/>
      <c r="T152" s="17"/>
      <c r="AA152" s="17"/>
      <c r="AB152" s="17"/>
    </row>
    <row r="153" spans="5:28">
      <c r="E153"/>
      <c r="F153"/>
      <c r="M153" s="17"/>
      <c r="N153" s="17"/>
      <c r="O153" s="17"/>
      <c r="P153" s="17"/>
      <c r="Q153" s="17"/>
      <c r="R153" s="17"/>
      <c r="S153" s="17"/>
      <c r="T153" s="17"/>
      <c r="U153" s="114"/>
      <c r="V153" s="115"/>
      <c r="AA153" s="17"/>
      <c r="AB153" s="17"/>
    </row>
    <row r="154" spans="5:28">
      <c r="E154"/>
      <c r="F154"/>
      <c r="M154" s="17"/>
      <c r="N154" s="17"/>
      <c r="O154" s="17"/>
      <c r="P154" s="17"/>
      <c r="Q154" s="17"/>
      <c r="R154" s="17"/>
      <c r="S154" s="17"/>
      <c r="T154" s="17"/>
      <c r="AA154" s="17"/>
      <c r="AB154" s="17"/>
    </row>
    <row r="155" spans="5:28">
      <c r="E155"/>
      <c r="F155"/>
      <c r="M155" s="17"/>
      <c r="N155" s="17"/>
      <c r="O155" s="17"/>
      <c r="P155" s="17"/>
      <c r="Q155" s="17"/>
      <c r="R155" s="17"/>
      <c r="S155" s="17"/>
      <c r="T155" s="17"/>
      <c r="U155" s="12"/>
      <c r="V155" s="13"/>
      <c r="Y155" s="113"/>
      <c r="Z155" s="113"/>
      <c r="AA155" s="17"/>
      <c r="AB155" s="17"/>
    </row>
    <row r="156" spans="5:28">
      <c r="E156"/>
      <c r="F156"/>
      <c r="M156" s="17"/>
      <c r="N156" s="17"/>
      <c r="O156" s="17"/>
      <c r="P156" s="17"/>
      <c r="Q156" s="17"/>
      <c r="R156" s="17"/>
      <c r="S156" s="17"/>
      <c r="T156" s="17"/>
      <c r="U156" s="109"/>
      <c r="V156" s="109"/>
      <c r="Y156" s="116"/>
      <c r="Z156" s="116"/>
      <c r="AA156" s="17"/>
      <c r="AB156" s="17"/>
    </row>
    <row r="157" spans="5:28">
      <c r="E157"/>
      <c r="F157"/>
      <c r="M157" s="17"/>
      <c r="N157" s="17"/>
      <c r="O157" s="17"/>
      <c r="P157" s="17"/>
      <c r="Q157" s="17"/>
      <c r="R157" s="17"/>
      <c r="S157" s="17"/>
      <c r="T157" s="17"/>
      <c r="U157" s="66"/>
      <c r="V157" s="66"/>
      <c r="W157" s="66"/>
      <c r="Y157" s="35"/>
      <c r="Z157" s="91"/>
      <c r="AA157" s="17"/>
      <c r="AB157" s="17"/>
    </row>
    <row r="158" spans="5:28">
      <c r="E158"/>
      <c r="F158"/>
      <c r="M158" s="17"/>
      <c r="N158" s="17"/>
      <c r="O158" s="17"/>
      <c r="P158" s="17"/>
      <c r="Q158" s="17"/>
      <c r="R158" s="17"/>
      <c r="S158" s="17"/>
      <c r="T158" s="17"/>
      <c r="U158" s="117"/>
      <c r="V158" s="117"/>
      <c r="Y158" s="116"/>
      <c r="Z158" s="116"/>
      <c r="AA158" s="17"/>
      <c r="AB158" s="17"/>
    </row>
    <row r="159" spans="5:28" ht="15">
      <c r="E159"/>
      <c r="F159"/>
      <c r="M159" s="17"/>
      <c r="N159" s="17"/>
      <c r="O159" s="17"/>
      <c r="P159" s="17"/>
      <c r="Q159" s="17"/>
      <c r="R159" s="17"/>
      <c r="S159" s="17"/>
      <c r="T159" s="17"/>
      <c r="U159" s="33"/>
      <c r="V159" s="118"/>
      <c r="W159" s="109"/>
      <c r="Y159" s="226"/>
      <c r="Z159" s="226"/>
      <c r="AA159" s="17"/>
      <c r="AB159" s="17"/>
    </row>
    <row r="160" spans="5:28">
      <c r="E160"/>
      <c r="F160"/>
      <c r="M160" s="17"/>
      <c r="N160" s="17"/>
      <c r="O160" s="17"/>
      <c r="P160" s="17"/>
      <c r="Q160" s="17"/>
      <c r="R160" s="17"/>
      <c r="S160" s="17"/>
      <c r="T160" s="17"/>
      <c r="U160" s="25"/>
      <c r="V160" s="22"/>
      <c r="X160" s="119"/>
      <c r="Y160" s="113"/>
      <c r="Z160" s="113"/>
      <c r="AA160" s="17"/>
      <c r="AB160" s="17"/>
    </row>
    <row r="161" spans="5:28">
      <c r="E161"/>
      <c r="F161"/>
      <c r="M161" s="17"/>
      <c r="N161" s="17"/>
      <c r="O161" s="17"/>
      <c r="P161" s="17"/>
      <c r="Q161" s="17"/>
      <c r="R161" s="17"/>
      <c r="S161" s="17"/>
      <c r="T161" s="17"/>
      <c r="U161" s="25"/>
      <c r="V161" s="22"/>
      <c r="X161" s="119"/>
      <c r="Y161" s="113"/>
      <c r="Z161" s="113"/>
      <c r="AA161" s="17"/>
      <c r="AB161" s="17"/>
    </row>
    <row r="162" spans="5:28">
      <c r="E162"/>
      <c r="F162"/>
      <c r="M162" s="17"/>
      <c r="N162" s="17"/>
      <c r="O162" s="17"/>
      <c r="P162" s="17"/>
      <c r="Q162" s="17"/>
      <c r="R162" s="17"/>
      <c r="S162" s="17"/>
      <c r="T162" s="17"/>
      <c r="U162" s="25"/>
      <c r="V162" s="22"/>
      <c r="X162" s="119"/>
      <c r="Y162" s="113"/>
      <c r="Z162" s="113"/>
      <c r="AA162" s="17"/>
      <c r="AB162" s="17"/>
    </row>
    <row r="163" spans="5:28">
      <c r="E163"/>
      <c r="F163"/>
      <c r="M163" s="17"/>
      <c r="N163" s="17"/>
      <c r="O163" s="17"/>
      <c r="P163" s="17"/>
      <c r="Q163" s="17"/>
      <c r="R163" s="17"/>
      <c r="S163" s="17"/>
      <c r="T163" s="17"/>
      <c r="U163" s="25"/>
      <c r="V163" s="22"/>
      <c r="X163" s="120"/>
      <c r="Y163" s="113"/>
      <c r="Z163" s="113"/>
      <c r="AA163" s="17"/>
      <c r="AB163" s="17"/>
    </row>
    <row r="164" spans="5:28">
      <c r="E164"/>
      <c r="F164"/>
      <c r="M164" s="17"/>
      <c r="N164" s="17"/>
      <c r="O164" s="17"/>
      <c r="P164" s="17"/>
      <c r="Q164" s="17"/>
      <c r="R164" s="17"/>
      <c r="S164" s="17"/>
      <c r="T164" s="17"/>
      <c r="U164" s="25"/>
      <c r="V164" s="22"/>
      <c r="X164" s="121"/>
      <c r="Y164" s="113"/>
      <c r="Z164" s="113"/>
      <c r="AA164" s="17"/>
      <c r="AB164" s="17"/>
    </row>
    <row r="165" spans="5:28">
      <c r="E165"/>
      <c r="F165"/>
      <c r="M165" s="17"/>
      <c r="N165" s="17"/>
      <c r="O165" s="17"/>
      <c r="P165" s="17"/>
      <c r="Q165" s="17"/>
      <c r="R165" s="17"/>
      <c r="S165" s="17"/>
      <c r="T165" s="17"/>
      <c r="U165" s="25"/>
      <c r="V165" s="22"/>
      <c r="X165" s="120"/>
      <c r="Y165" s="113"/>
      <c r="Z165" s="113"/>
      <c r="AA165" s="17"/>
      <c r="AB165" s="17"/>
    </row>
    <row r="166" spans="5:28">
      <c r="E166"/>
      <c r="F166"/>
      <c r="M166" s="17"/>
      <c r="N166" s="17"/>
      <c r="O166" s="17"/>
      <c r="P166" s="17"/>
      <c r="Q166" s="17"/>
      <c r="R166" s="17"/>
      <c r="S166" s="17"/>
      <c r="T166" s="17"/>
      <c r="U166" s="25"/>
      <c r="V166" s="22"/>
      <c r="X166" s="120"/>
      <c r="Y166" s="113"/>
      <c r="Z166" s="113"/>
      <c r="AA166" s="17"/>
      <c r="AB166" s="17"/>
    </row>
    <row r="167" spans="5:28">
      <c r="E167"/>
      <c r="F167"/>
      <c r="M167" s="17"/>
      <c r="N167" s="17"/>
      <c r="O167" s="17"/>
      <c r="P167" s="17"/>
      <c r="Q167" s="17"/>
      <c r="R167" s="17"/>
      <c r="S167" s="17"/>
      <c r="T167" s="17"/>
      <c r="U167" s="25"/>
      <c r="V167" s="22"/>
      <c r="X167" s="120"/>
      <c r="Y167" s="113"/>
      <c r="Z167" s="113"/>
      <c r="AA167" s="17"/>
      <c r="AB167" s="17"/>
    </row>
    <row r="168" spans="5:28">
      <c r="E168"/>
      <c r="F168"/>
      <c r="M168" s="17"/>
      <c r="N168" s="17"/>
      <c r="O168" s="17"/>
      <c r="P168" s="17"/>
      <c r="Q168" s="17"/>
      <c r="R168" s="17"/>
      <c r="S168" s="17"/>
      <c r="T168" s="17"/>
      <c r="U168" s="25"/>
      <c r="V168" s="22"/>
      <c r="X168" s="120"/>
      <c r="Y168" s="113"/>
      <c r="Z168" s="113"/>
      <c r="AA168" s="17"/>
      <c r="AB168" s="17"/>
    </row>
    <row r="169" spans="5:28">
      <c r="E169"/>
      <c r="F169"/>
      <c r="M169" s="17"/>
      <c r="N169" s="17"/>
      <c r="O169" s="17"/>
      <c r="P169" s="17"/>
      <c r="Q169" s="17"/>
      <c r="R169" s="17"/>
      <c r="S169" s="17"/>
      <c r="T169" s="17"/>
      <c r="U169" s="25"/>
      <c r="V169" s="22"/>
      <c r="X169" s="120"/>
      <c r="Y169" s="113"/>
      <c r="Z169" s="113"/>
      <c r="AA169" s="17"/>
      <c r="AB169" s="17"/>
    </row>
    <row r="170" spans="5:28">
      <c r="E170"/>
      <c r="F170"/>
      <c r="M170" s="17"/>
      <c r="N170" s="17"/>
      <c r="O170" s="17"/>
      <c r="P170" s="17"/>
      <c r="Q170" s="17"/>
      <c r="R170" s="17"/>
      <c r="S170" s="17"/>
      <c r="T170" s="17"/>
      <c r="U170" s="25"/>
      <c r="V170" s="22"/>
      <c r="X170" s="120"/>
      <c r="Y170" s="113"/>
      <c r="Z170" s="113"/>
      <c r="AA170" s="17"/>
      <c r="AB170" s="17"/>
    </row>
    <row r="171" spans="5:28">
      <c r="E171"/>
      <c r="F171"/>
      <c r="M171" s="17"/>
      <c r="N171" s="17"/>
      <c r="O171" s="17"/>
      <c r="P171" s="17"/>
      <c r="Q171" s="17"/>
      <c r="R171" s="17"/>
      <c r="S171" s="17"/>
      <c r="T171" s="17"/>
      <c r="U171" s="25"/>
      <c r="V171" s="22"/>
      <c r="X171" s="120"/>
      <c r="Y171" s="113"/>
      <c r="Z171" s="113"/>
      <c r="AA171" s="17"/>
      <c r="AB171" s="17"/>
    </row>
    <row r="172" spans="5:28">
      <c r="E172"/>
      <c r="F172"/>
      <c r="M172" s="17"/>
      <c r="N172" s="17"/>
      <c r="O172" s="17"/>
      <c r="P172" s="17"/>
      <c r="Q172" s="17"/>
      <c r="R172" s="17"/>
      <c r="S172" s="17"/>
      <c r="T172" s="17"/>
      <c r="U172" s="25"/>
      <c r="V172" s="22"/>
      <c r="X172" s="121"/>
      <c r="Y172" s="113"/>
      <c r="Z172" s="113"/>
      <c r="AA172" s="17"/>
      <c r="AB172" s="17"/>
    </row>
    <row r="173" spans="5:28">
      <c r="E173"/>
      <c r="F173"/>
      <c r="M173" s="17"/>
      <c r="N173" s="17"/>
      <c r="O173" s="17"/>
      <c r="P173" s="17"/>
      <c r="Q173" s="17"/>
      <c r="R173" s="17"/>
      <c r="S173" s="17"/>
      <c r="T173" s="122"/>
      <c r="U173" s="25"/>
      <c r="V173" s="22"/>
      <c r="X173" s="121"/>
      <c r="Y173" s="123"/>
      <c r="Z173" s="113"/>
      <c r="AA173" s="17"/>
      <c r="AB173" s="17"/>
    </row>
    <row r="174" spans="5:28">
      <c r="E174"/>
      <c r="F174"/>
      <c r="M174" s="17"/>
      <c r="N174" s="17"/>
      <c r="O174" s="17"/>
      <c r="P174" s="17"/>
      <c r="Q174" s="17"/>
      <c r="R174" s="17"/>
      <c r="S174" s="17"/>
      <c r="T174" s="122"/>
      <c r="U174" s="25"/>
      <c r="V174" s="22"/>
      <c r="X174" s="121"/>
      <c r="Y174" s="123"/>
      <c r="Z174" s="113"/>
      <c r="AA174" s="17"/>
      <c r="AB174" s="17"/>
    </row>
    <row r="175" spans="5:28">
      <c r="E175"/>
      <c r="F175"/>
      <c r="M175" s="17"/>
      <c r="N175" s="17"/>
      <c r="O175" s="17"/>
      <c r="P175" s="17"/>
      <c r="Q175" s="17"/>
      <c r="R175" s="17"/>
      <c r="S175" s="17"/>
      <c r="T175" s="122"/>
      <c r="U175" s="25"/>
      <c r="V175" s="22"/>
      <c r="X175" s="121"/>
      <c r="Y175" s="113"/>
      <c r="Z175" s="113"/>
      <c r="AA175" s="17"/>
      <c r="AB175" s="17"/>
    </row>
    <row r="176" spans="5:28">
      <c r="E176"/>
      <c r="F176"/>
      <c r="M176" s="17"/>
      <c r="N176" s="17"/>
      <c r="O176" s="17"/>
      <c r="P176" s="17"/>
      <c r="Q176" s="17"/>
      <c r="R176" s="17"/>
      <c r="S176" s="17"/>
      <c r="T176" s="17"/>
      <c r="U176" s="25"/>
      <c r="V176" s="23"/>
      <c r="X176" s="121"/>
      <c r="Y176" s="113"/>
      <c r="Z176" s="113"/>
      <c r="AA176" s="17"/>
      <c r="AB176" s="17"/>
    </row>
    <row r="177" spans="5:28">
      <c r="E177"/>
      <c r="F177"/>
      <c r="M177" s="17"/>
      <c r="N177" s="17"/>
      <c r="O177" s="17"/>
      <c r="P177" s="17"/>
      <c r="Q177" s="17"/>
      <c r="R177" s="17"/>
      <c r="S177" s="17"/>
      <c r="T177" s="17"/>
      <c r="U177" s="25"/>
      <c r="V177" s="22"/>
      <c r="X177" s="121"/>
      <c r="Y177" s="113"/>
      <c r="Z177" s="113"/>
      <c r="AA177" s="17"/>
      <c r="AB177" s="17"/>
    </row>
    <row r="178" spans="5:28">
      <c r="E178"/>
      <c r="F178"/>
      <c r="M178" s="17"/>
      <c r="N178" s="17"/>
      <c r="O178" s="17"/>
      <c r="P178" s="17"/>
      <c r="Q178" s="17"/>
      <c r="R178" s="17"/>
      <c r="S178" s="17"/>
      <c r="T178" s="48"/>
      <c r="U178" s="25"/>
      <c r="V178" s="22"/>
      <c r="X178" s="121"/>
      <c r="Y178" s="113"/>
      <c r="Z178" s="113"/>
      <c r="AA178" s="17"/>
      <c r="AB178" s="17"/>
    </row>
    <row r="179" spans="5:28">
      <c r="E179"/>
      <c r="F179"/>
      <c r="M179" s="17"/>
      <c r="N179" s="17"/>
      <c r="O179" s="17"/>
      <c r="P179" s="17"/>
      <c r="Q179" s="17"/>
      <c r="R179" s="17"/>
      <c r="S179" s="17"/>
      <c r="T179" s="48"/>
      <c r="U179" s="25"/>
      <c r="V179" s="22"/>
      <c r="X179" s="121"/>
      <c r="Y179" s="113"/>
      <c r="Z179" s="113"/>
      <c r="AA179" s="17"/>
      <c r="AB179" s="17"/>
    </row>
    <row r="180" spans="5:28">
      <c r="E180"/>
      <c r="F180"/>
      <c r="M180" s="17"/>
      <c r="N180" s="17"/>
      <c r="O180" s="17"/>
      <c r="P180" s="17"/>
      <c r="Q180" s="17"/>
      <c r="R180" s="17"/>
      <c r="S180" s="17"/>
      <c r="T180" s="17"/>
      <c r="U180" s="25"/>
      <c r="V180" s="22"/>
      <c r="X180" s="121"/>
      <c r="Y180" s="113"/>
      <c r="Z180" s="113"/>
      <c r="AA180" s="17"/>
      <c r="AB180" s="17"/>
    </row>
    <row r="181" spans="5:28">
      <c r="E181"/>
      <c r="F181"/>
      <c r="M181" s="17"/>
      <c r="N181" s="17"/>
      <c r="O181" s="17"/>
      <c r="P181" s="17"/>
      <c r="Q181" s="17"/>
      <c r="R181" s="17"/>
      <c r="S181" s="17"/>
      <c r="T181" s="17"/>
      <c r="U181" s="25"/>
      <c r="V181" s="22"/>
      <c r="X181" s="121"/>
      <c r="Y181" s="113"/>
      <c r="Z181" s="113"/>
      <c r="AA181" s="17"/>
      <c r="AB181" s="17"/>
    </row>
    <row r="182" spans="5:28">
      <c r="E182"/>
      <c r="F182"/>
      <c r="M182" s="17"/>
      <c r="N182" s="17"/>
      <c r="O182" s="17"/>
      <c r="P182" s="17"/>
      <c r="Q182" s="17"/>
      <c r="R182" s="17"/>
      <c r="S182" s="17"/>
      <c r="T182" s="28"/>
      <c r="U182" s="25"/>
      <c r="V182" s="22"/>
      <c r="X182" s="121"/>
      <c r="Y182" s="113"/>
      <c r="Z182" s="113"/>
      <c r="AA182" s="17"/>
      <c r="AB182" s="17"/>
    </row>
    <row r="183" spans="5:28">
      <c r="E183"/>
      <c r="F183"/>
      <c r="M183" s="17"/>
      <c r="N183" s="17"/>
      <c r="O183" s="17"/>
      <c r="P183" s="17"/>
      <c r="Q183" s="17"/>
      <c r="R183" s="17"/>
      <c r="S183" s="17"/>
      <c r="T183" s="122"/>
      <c r="U183" s="25"/>
      <c r="V183" s="22"/>
      <c r="X183" s="121"/>
      <c r="Y183" s="123"/>
      <c r="Z183" s="113"/>
      <c r="AA183" s="17"/>
      <c r="AB183" s="17"/>
    </row>
    <row r="184" spans="5:28">
      <c r="E184"/>
      <c r="F184"/>
      <c r="M184" s="17"/>
      <c r="N184" s="17"/>
      <c r="O184" s="17"/>
      <c r="P184" s="17"/>
      <c r="Q184" s="17"/>
      <c r="R184" s="17"/>
      <c r="S184" s="17"/>
      <c r="T184" s="122"/>
      <c r="U184" s="25"/>
      <c r="V184" s="22"/>
      <c r="X184" s="121"/>
      <c r="Y184" s="123"/>
      <c r="Z184" s="113"/>
      <c r="AA184" s="17"/>
      <c r="AB184" s="17"/>
    </row>
    <row r="185" spans="5:28">
      <c r="E185"/>
      <c r="F185"/>
      <c r="M185" s="17"/>
      <c r="N185" s="17"/>
      <c r="O185" s="17"/>
      <c r="P185" s="17"/>
      <c r="Q185" s="17"/>
      <c r="R185" s="17"/>
      <c r="S185" s="17"/>
      <c r="T185" s="122"/>
      <c r="U185" s="25"/>
      <c r="V185" s="22"/>
      <c r="X185" s="121"/>
      <c r="Y185" s="123"/>
      <c r="Z185" s="113"/>
      <c r="AA185" s="17"/>
      <c r="AB185" s="17"/>
    </row>
    <row r="186" spans="5:28">
      <c r="E186"/>
      <c r="F186"/>
      <c r="M186" s="17"/>
      <c r="N186" s="17"/>
      <c r="O186" s="17"/>
      <c r="P186" s="17"/>
      <c r="Q186" s="17"/>
      <c r="R186" s="17"/>
      <c r="S186" s="17"/>
      <c r="T186" s="17"/>
      <c r="U186" s="25"/>
      <c r="V186" s="22"/>
      <c r="X186" s="121"/>
      <c r="Y186" s="113"/>
      <c r="Z186" s="113"/>
      <c r="AA186" s="17"/>
      <c r="AB186" s="17"/>
    </row>
    <row r="187" spans="5:28">
      <c r="E187"/>
      <c r="F187"/>
      <c r="M187" s="17"/>
      <c r="N187" s="17"/>
      <c r="O187" s="17"/>
      <c r="P187" s="17"/>
      <c r="Q187" s="17"/>
      <c r="R187" s="17"/>
      <c r="S187" s="17"/>
      <c r="T187" s="17"/>
      <c r="U187" s="25"/>
      <c r="V187" s="22"/>
      <c r="X187" s="120"/>
      <c r="Y187" s="113"/>
      <c r="Z187" s="113"/>
      <c r="AA187" s="91"/>
      <c r="AB187" s="17"/>
    </row>
    <row r="188" spans="5:28">
      <c r="E188"/>
      <c r="F188"/>
      <c r="M188" s="17"/>
      <c r="N188" s="17"/>
      <c r="O188" s="17"/>
      <c r="P188" s="17"/>
      <c r="Q188" s="17"/>
      <c r="R188" s="17"/>
      <c r="S188" s="17"/>
      <c r="T188" s="17"/>
      <c r="U188" s="25"/>
      <c r="V188" s="22"/>
      <c r="X188" s="120"/>
      <c r="Y188" s="113"/>
      <c r="Z188" s="113"/>
      <c r="AA188" s="17"/>
      <c r="AB188" s="17"/>
    </row>
    <row r="189" spans="5:28">
      <c r="E189"/>
      <c r="F189"/>
      <c r="M189" s="17"/>
      <c r="N189" s="17"/>
      <c r="O189" s="17"/>
      <c r="P189" s="17"/>
      <c r="Q189" s="17"/>
      <c r="R189" s="17"/>
      <c r="S189" s="17"/>
      <c r="T189" s="17"/>
      <c r="U189" s="25"/>
      <c r="V189" s="22"/>
      <c r="X189" s="120"/>
      <c r="Y189" s="113"/>
      <c r="Z189" s="113"/>
      <c r="AA189" s="17"/>
      <c r="AB189" s="17"/>
    </row>
    <row r="190" spans="5:28">
      <c r="E190"/>
      <c r="F190"/>
      <c r="M190" s="17"/>
      <c r="N190" s="17"/>
      <c r="O190" s="17"/>
      <c r="P190" s="17"/>
      <c r="Q190" s="17"/>
      <c r="R190" s="17"/>
      <c r="S190" s="17"/>
      <c r="T190" s="48"/>
      <c r="U190" s="29"/>
      <c r="X190" s="120"/>
      <c r="Y190" s="113"/>
      <c r="Z190" s="113"/>
      <c r="AA190" s="17"/>
      <c r="AB190" s="17"/>
    </row>
    <row r="191" spans="5:28">
      <c r="E191"/>
      <c r="F191"/>
      <c r="M191" s="17"/>
      <c r="N191" s="17"/>
      <c r="O191" s="17"/>
      <c r="P191" s="17"/>
      <c r="Q191" s="17"/>
      <c r="R191" s="17"/>
      <c r="S191" s="17"/>
      <c r="T191" s="17"/>
      <c r="U191" s="25"/>
      <c r="V191" s="22"/>
      <c r="X191" s="120"/>
      <c r="Y191" s="113"/>
      <c r="Z191" s="113"/>
      <c r="AA191" s="17"/>
      <c r="AB191" s="17"/>
    </row>
    <row r="192" spans="5:28">
      <c r="E192"/>
      <c r="F192"/>
      <c r="M192" s="17"/>
      <c r="N192" s="17"/>
      <c r="O192" s="17"/>
      <c r="P192" s="17"/>
      <c r="Q192" s="17"/>
      <c r="R192" s="17"/>
      <c r="S192" s="17"/>
      <c r="T192" s="17"/>
      <c r="U192" s="112"/>
      <c r="V192" s="23"/>
      <c r="Y192" s="113"/>
      <c r="Z192" s="113"/>
      <c r="AA192" s="17"/>
      <c r="AB192" s="17"/>
    </row>
    <row r="193" spans="5:28">
      <c r="E193"/>
      <c r="F193"/>
      <c r="M193" s="17"/>
      <c r="N193" s="17"/>
      <c r="O193" s="17"/>
      <c r="P193" s="17"/>
      <c r="Q193" s="17"/>
      <c r="R193" s="17"/>
      <c r="S193" s="17"/>
      <c r="T193" s="17"/>
      <c r="U193" s="112"/>
      <c r="V193" s="23"/>
      <c r="Y193" s="113"/>
      <c r="Z193" s="113"/>
      <c r="AA193" s="124"/>
      <c r="AB193" s="17"/>
    </row>
    <row r="194" spans="5:28">
      <c r="E194"/>
      <c r="F194"/>
      <c r="M194" s="17"/>
      <c r="N194" s="17"/>
      <c r="O194" s="17"/>
      <c r="P194" s="17"/>
      <c r="Q194" s="17"/>
      <c r="R194" s="17"/>
      <c r="S194" s="17"/>
      <c r="T194" s="17"/>
      <c r="U194" s="117"/>
      <c r="V194" s="117"/>
      <c r="Y194" s="116"/>
      <c r="Z194" s="116"/>
      <c r="AA194" s="17"/>
      <c r="AB194" s="17"/>
    </row>
    <row r="195" spans="5:28">
      <c r="E195"/>
      <c r="F195"/>
      <c r="M195" s="17"/>
      <c r="N195" s="17"/>
      <c r="O195" s="17"/>
      <c r="P195" s="17"/>
      <c r="Q195" s="17"/>
      <c r="R195" s="17"/>
      <c r="S195" s="17"/>
      <c r="T195" s="17"/>
      <c r="U195" s="66"/>
      <c r="V195" s="36"/>
      <c r="Y195" s="67"/>
      <c r="Z195" s="91"/>
      <c r="AA195" s="17"/>
      <c r="AB195" s="17"/>
    </row>
    <row r="196" spans="5:28">
      <c r="E196"/>
      <c r="F196"/>
      <c r="M196" s="17"/>
      <c r="N196" s="17"/>
      <c r="O196" s="17"/>
      <c r="P196" s="17"/>
      <c r="Q196" s="17"/>
      <c r="R196" s="17"/>
      <c r="S196" s="17"/>
      <c r="T196" s="17"/>
      <c r="U196" s="109"/>
      <c r="V196" s="109"/>
      <c r="W196" s="125"/>
      <c r="Y196" s="126"/>
      <c r="Z196" s="127"/>
      <c r="AA196" s="17"/>
      <c r="AB196" s="17"/>
    </row>
    <row r="197" spans="5:28" ht="15">
      <c r="E197"/>
      <c r="F197"/>
      <c r="M197" s="17"/>
      <c r="N197" s="17"/>
      <c r="O197" s="17"/>
      <c r="P197" s="17"/>
      <c r="Q197" s="17"/>
      <c r="R197" s="17"/>
      <c r="S197" s="17"/>
      <c r="T197" s="17"/>
      <c r="U197" s="104"/>
      <c r="W197" s="71"/>
      <c r="X197" s="47"/>
      <c r="Y197" s="126"/>
      <c r="Z197" s="128"/>
      <c r="AA197" s="17"/>
      <c r="AB197" s="17"/>
    </row>
    <row r="198" spans="5:28" ht="15">
      <c r="E198"/>
      <c r="F198"/>
      <c r="M198" s="17"/>
      <c r="N198" s="17"/>
      <c r="O198" s="17"/>
      <c r="P198" s="17"/>
      <c r="Q198" s="17"/>
      <c r="R198" s="17"/>
      <c r="S198" s="17"/>
      <c r="T198" s="17"/>
      <c r="U198" s="33"/>
      <c r="V198" s="109"/>
      <c r="W198" s="109"/>
      <c r="Y198" s="226"/>
      <c r="Z198" s="226"/>
      <c r="AA198" s="17"/>
      <c r="AB198" s="17"/>
    </row>
    <row r="199" spans="5:28">
      <c r="E199"/>
      <c r="F199"/>
      <c r="M199" s="17"/>
      <c r="N199" s="17"/>
      <c r="O199" s="17"/>
      <c r="P199" s="17"/>
      <c r="Q199" s="17"/>
      <c r="R199" s="17"/>
      <c r="S199" s="17"/>
      <c r="T199" s="17"/>
      <c r="U199" s="112"/>
      <c r="V199" s="23"/>
      <c r="Y199" s="113"/>
      <c r="Z199" s="113"/>
      <c r="AA199" s="17"/>
      <c r="AB199" s="17"/>
    </row>
    <row r="200" spans="5:28">
      <c r="E200"/>
      <c r="F200"/>
      <c r="M200" s="17"/>
      <c r="N200" s="17"/>
      <c r="O200" s="17"/>
      <c r="P200" s="17"/>
      <c r="Q200" s="17"/>
      <c r="R200" s="17"/>
      <c r="S200" s="17"/>
      <c r="T200" s="17"/>
      <c r="U200" s="40"/>
      <c r="V200" s="34"/>
      <c r="Y200" s="113"/>
      <c r="Z200" s="113"/>
      <c r="AA200" s="17"/>
      <c r="AB200" s="17"/>
    </row>
    <row r="201" spans="5:28">
      <c r="E201"/>
      <c r="F201"/>
      <c r="M201" s="17"/>
      <c r="N201" s="17"/>
      <c r="O201" s="17"/>
      <c r="P201" s="17"/>
      <c r="Q201" s="17"/>
      <c r="R201" s="17"/>
      <c r="S201" s="17"/>
      <c r="T201" s="17"/>
      <c r="U201" s="12"/>
      <c r="V201" s="13"/>
      <c r="Y201" s="113"/>
      <c r="Z201" s="113"/>
      <c r="AA201" s="17"/>
      <c r="AB201" s="17"/>
    </row>
    <row r="202" spans="5:28">
      <c r="E202"/>
      <c r="F202"/>
      <c r="M202" s="17"/>
      <c r="N202" s="17"/>
      <c r="O202" s="17"/>
      <c r="P202" s="17"/>
      <c r="Q202" s="17"/>
      <c r="R202" s="17"/>
      <c r="S202" s="17"/>
      <c r="T202" s="17"/>
      <c r="U202" s="109"/>
      <c r="V202" s="109"/>
      <c r="Y202" s="116"/>
      <c r="Z202" s="116"/>
      <c r="AA202" s="17"/>
      <c r="AB202" s="17"/>
    </row>
    <row r="203" spans="5:28">
      <c r="E203"/>
      <c r="F203"/>
      <c r="M203" s="17"/>
      <c r="N203" s="17"/>
      <c r="O203" s="17"/>
      <c r="P203" s="17"/>
      <c r="Q203" s="17"/>
      <c r="R203" s="17"/>
      <c r="S203" s="17"/>
      <c r="T203" s="17"/>
      <c r="U203" s="66"/>
      <c r="V203" s="66"/>
      <c r="W203" s="66"/>
      <c r="Y203" s="35"/>
      <c r="Z203" s="91"/>
      <c r="AA203" s="17"/>
      <c r="AB203" s="17"/>
    </row>
    <row r="204" spans="5:28">
      <c r="E204"/>
      <c r="F204"/>
      <c r="M204" s="17"/>
      <c r="N204" s="17"/>
      <c r="O204" s="17"/>
      <c r="P204" s="17"/>
      <c r="Q204" s="17"/>
      <c r="R204" s="17"/>
      <c r="S204" s="17"/>
      <c r="T204" s="17"/>
      <c r="U204" s="117"/>
      <c r="V204" s="117"/>
      <c r="Y204" s="116"/>
      <c r="Z204" s="116"/>
      <c r="AA204" s="17"/>
      <c r="AB204" s="17"/>
    </row>
    <row r="205" spans="5:28">
      <c r="E205"/>
      <c r="F205"/>
      <c r="M205" s="17"/>
      <c r="N205" s="17"/>
      <c r="O205" s="17"/>
      <c r="P205" s="17"/>
      <c r="Q205" s="17"/>
      <c r="R205" s="17"/>
      <c r="S205" s="17"/>
      <c r="T205" s="17"/>
      <c r="U205" s="109"/>
      <c r="V205" s="109"/>
      <c r="W205" s="109"/>
      <c r="Y205" s="116"/>
      <c r="Z205" s="129"/>
      <c r="AA205" s="17"/>
      <c r="AB205" s="17"/>
    </row>
    <row r="206" spans="5:28" ht="15">
      <c r="E206"/>
      <c r="F206"/>
      <c r="M206" s="17"/>
      <c r="N206" s="17"/>
      <c r="O206" s="17"/>
      <c r="P206" s="17"/>
      <c r="Q206" s="17"/>
      <c r="R206" s="17"/>
      <c r="S206" s="17"/>
      <c r="T206" s="17"/>
      <c r="U206" s="37"/>
      <c r="V206" s="118"/>
      <c r="W206" s="109"/>
      <c r="Y206" s="226"/>
      <c r="Z206" s="226"/>
      <c r="AA206" s="17"/>
      <c r="AB206" s="17"/>
    </row>
    <row r="207" spans="5:28">
      <c r="E207"/>
      <c r="F207"/>
      <c r="M207" s="17"/>
      <c r="N207" s="17"/>
      <c r="O207" s="17"/>
      <c r="P207" s="17"/>
      <c r="Q207" s="17"/>
      <c r="R207" s="17"/>
      <c r="S207" s="17"/>
      <c r="T207" s="17"/>
      <c r="U207" s="25"/>
      <c r="V207" s="22"/>
      <c r="Y207" s="113"/>
      <c r="Z207" s="113"/>
      <c r="AA207" s="17"/>
      <c r="AB207" s="17"/>
    </row>
    <row r="208" spans="5:28">
      <c r="E208"/>
      <c r="F208"/>
      <c r="M208" s="17"/>
      <c r="N208" s="17"/>
      <c r="O208" s="17"/>
      <c r="P208" s="17"/>
      <c r="Q208" s="17"/>
      <c r="R208" s="17"/>
      <c r="S208" s="17"/>
      <c r="T208" s="17"/>
      <c r="U208" s="25"/>
      <c r="V208" s="22"/>
      <c r="Y208" s="113"/>
      <c r="Z208" s="113"/>
      <c r="AA208" s="17"/>
      <c r="AB208" s="17"/>
    </row>
    <row r="209" spans="5:28">
      <c r="E209"/>
      <c r="F209"/>
      <c r="M209" s="17"/>
      <c r="N209" s="17"/>
      <c r="O209" s="17"/>
      <c r="P209" s="17"/>
      <c r="Q209" s="17"/>
      <c r="R209" s="17"/>
      <c r="S209" s="17"/>
      <c r="T209" s="17"/>
      <c r="U209" s="42"/>
      <c r="V209" s="22"/>
      <c r="Y209" s="113"/>
      <c r="Z209" s="113"/>
      <c r="AA209" s="17"/>
      <c r="AB209" s="17"/>
    </row>
    <row r="210" spans="5:28">
      <c r="E210"/>
      <c r="F210"/>
      <c r="M210" s="17"/>
      <c r="N210" s="17"/>
      <c r="O210" s="17"/>
      <c r="P210" s="17"/>
      <c r="Q210" s="17"/>
      <c r="R210" s="17"/>
      <c r="S210" s="17"/>
      <c r="T210" s="17"/>
      <c r="U210" s="109"/>
      <c r="V210" s="109"/>
      <c r="Y210" s="116"/>
      <c r="Z210" s="116"/>
      <c r="AA210" s="17"/>
      <c r="AB210" s="17"/>
    </row>
    <row r="211" spans="5:28">
      <c r="E211"/>
      <c r="F211"/>
      <c r="M211" s="17"/>
      <c r="N211" s="17"/>
      <c r="O211" s="17"/>
      <c r="P211" s="17"/>
      <c r="Q211" s="17"/>
      <c r="R211" s="17"/>
      <c r="S211" s="17"/>
      <c r="T211" s="17"/>
      <c r="U211" s="66"/>
      <c r="V211" s="66"/>
      <c r="W211" s="66"/>
      <c r="Y211" s="35"/>
      <c r="Z211" s="91"/>
      <c r="AA211" s="17"/>
      <c r="AB211" s="17"/>
    </row>
    <row r="212" spans="5:28">
      <c r="E212"/>
      <c r="F212"/>
      <c r="M212" s="17"/>
      <c r="N212" s="17"/>
      <c r="O212" s="17"/>
      <c r="P212" s="17"/>
      <c r="Q212" s="17"/>
      <c r="R212" s="17"/>
      <c r="S212" s="17"/>
      <c r="T212" s="17"/>
      <c r="U212" s="109"/>
      <c r="V212" s="109"/>
      <c r="W212" s="109"/>
      <c r="Y212" s="129"/>
      <c r="Z212" s="130"/>
      <c r="AA212" s="17"/>
      <c r="AB212" s="17"/>
    </row>
    <row r="213" spans="5:28">
      <c r="E213"/>
      <c r="F213"/>
      <c r="M213" s="17"/>
      <c r="N213" s="17"/>
      <c r="O213" s="17"/>
      <c r="P213" s="17"/>
      <c r="Q213" s="17"/>
      <c r="R213" s="17"/>
      <c r="S213" s="17"/>
      <c r="T213" s="17"/>
      <c r="U213" s="109"/>
      <c r="V213" s="109"/>
      <c r="W213" s="109"/>
      <c r="Y213" s="116"/>
      <c r="Z213" s="129"/>
      <c r="AA213" s="17"/>
      <c r="AB213" s="17"/>
    </row>
    <row r="214" spans="5:28" ht="15">
      <c r="E214"/>
      <c r="F214"/>
      <c r="M214" s="17"/>
      <c r="N214" s="17"/>
      <c r="O214" s="17"/>
      <c r="P214" s="17"/>
      <c r="Q214" s="17"/>
      <c r="R214" s="17"/>
      <c r="S214" s="17"/>
      <c r="T214" s="17"/>
      <c r="U214" s="37"/>
      <c r="V214" s="118"/>
      <c r="W214" s="109"/>
      <c r="X214" s="131"/>
      <c r="Y214" s="226"/>
      <c r="Z214" s="226"/>
      <c r="AA214" s="17"/>
      <c r="AB214" s="17"/>
    </row>
    <row r="215" spans="5:28">
      <c r="E215"/>
      <c r="F215"/>
      <c r="M215" s="17"/>
      <c r="N215" s="17"/>
      <c r="O215" s="17"/>
      <c r="P215" s="17"/>
      <c r="Q215" s="17"/>
      <c r="R215" s="17"/>
      <c r="S215" s="17"/>
      <c r="T215" s="17"/>
      <c r="U215" s="25"/>
      <c r="V215" s="22"/>
      <c r="Y215" s="113"/>
      <c r="Z215" s="113"/>
      <c r="AA215" s="17"/>
      <c r="AB215" s="17"/>
    </row>
    <row r="216" spans="5:28">
      <c r="E216"/>
      <c r="F216"/>
      <c r="M216" s="17"/>
      <c r="N216" s="17"/>
      <c r="O216" s="17"/>
      <c r="P216" s="17"/>
      <c r="Q216" s="17"/>
      <c r="R216" s="17"/>
      <c r="S216" s="17"/>
      <c r="T216" s="17"/>
      <c r="U216" s="25"/>
      <c r="V216" s="22"/>
      <c r="Y216" s="113"/>
      <c r="Z216" s="113"/>
      <c r="AA216" s="17"/>
      <c r="AB216" s="17"/>
    </row>
    <row r="217" spans="5:28">
      <c r="E217"/>
      <c r="F217"/>
      <c r="M217" s="17"/>
      <c r="N217" s="17"/>
      <c r="O217" s="17"/>
      <c r="P217" s="17"/>
      <c r="Q217" s="17"/>
      <c r="R217" s="17"/>
      <c r="S217" s="17"/>
      <c r="T217" s="17"/>
      <c r="U217" s="42"/>
      <c r="V217" s="22"/>
      <c r="Y217" s="113"/>
      <c r="Z217" s="113"/>
      <c r="AA217" s="17"/>
      <c r="AB217" s="17"/>
    </row>
    <row r="218" spans="5:28">
      <c r="E218"/>
      <c r="F218"/>
      <c r="M218" s="17"/>
      <c r="N218" s="17"/>
      <c r="O218" s="17"/>
      <c r="P218" s="17"/>
      <c r="Q218" s="17"/>
      <c r="R218" s="17"/>
      <c r="S218" s="17"/>
      <c r="T218" s="17"/>
      <c r="U218" s="109"/>
      <c r="V218" s="109"/>
      <c r="Y218" s="116"/>
      <c r="Z218" s="116"/>
      <c r="AA218" s="17"/>
      <c r="AB218" s="17"/>
    </row>
    <row r="219" spans="5:28">
      <c r="E219"/>
      <c r="F219"/>
      <c r="M219" s="17"/>
      <c r="N219" s="17"/>
      <c r="O219" s="17"/>
      <c r="P219" s="17"/>
      <c r="Q219" s="17"/>
      <c r="R219" s="17"/>
      <c r="S219" s="17"/>
      <c r="T219" s="17"/>
      <c r="U219" s="66"/>
      <c r="V219" s="66"/>
      <c r="W219" s="66"/>
      <c r="Y219" s="35"/>
      <c r="Z219" s="91"/>
      <c r="AA219" s="17"/>
      <c r="AB219" s="17"/>
    </row>
    <row r="220" spans="5:28">
      <c r="E220"/>
      <c r="F220"/>
      <c r="M220" s="17"/>
      <c r="N220" s="17"/>
      <c r="O220" s="17"/>
      <c r="P220" s="17"/>
      <c r="Q220" s="17"/>
      <c r="R220" s="17"/>
      <c r="S220" s="17"/>
      <c r="T220" s="17"/>
      <c r="U220" s="109"/>
      <c r="V220" s="109"/>
      <c r="W220" s="109"/>
      <c r="Y220" s="129"/>
      <c r="Z220" s="130"/>
      <c r="AA220" s="17"/>
      <c r="AB220" s="17"/>
    </row>
    <row r="221" spans="5:28">
      <c r="E221"/>
      <c r="F221"/>
    </row>
    <row r="222" spans="5:28" ht="15">
      <c r="E222"/>
      <c r="F222"/>
      <c r="U222" s="37"/>
    </row>
    <row r="223" spans="5:28">
      <c r="E223"/>
      <c r="F223"/>
      <c r="U223" s="8"/>
      <c r="V223" s="132"/>
      <c r="Y223" s="113"/>
    </row>
    <row r="224" spans="5:28">
      <c r="E224"/>
      <c r="F224"/>
      <c r="U224" s="8"/>
      <c r="V224" s="132"/>
      <c r="Y224" s="113"/>
    </row>
    <row r="225" spans="5:25">
      <c r="E225"/>
      <c r="F225"/>
      <c r="U225" s="8"/>
      <c r="V225" s="132"/>
      <c r="Y225" s="31"/>
    </row>
    <row r="226" spans="5:25" ht="15">
      <c r="E226"/>
      <c r="F226"/>
      <c r="V226" s="133"/>
    </row>
    <row r="227" spans="5:25">
      <c r="E227"/>
      <c r="F227"/>
      <c r="V227" s="132"/>
      <c r="Y227" s="113"/>
    </row>
    <row r="228" spans="5:25">
      <c r="E228"/>
      <c r="F228"/>
    </row>
    <row r="229" spans="5:25">
      <c r="E229"/>
      <c r="F229"/>
    </row>
    <row r="230" spans="5:25">
      <c r="E230"/>
      <c r="F230"/>
    </row>
    <row r="231" spans="5:25">
      <c r="E231"/>
      <c r="F231"/>
    </row>
  </sheetData>
  <sortState xmlns:xlrd2="http://schemas.microsoft.com/office/spreadsheetml/2017/richdata2" ref="B2:AE88">
    <sortCondition ref="J2:J88"/>
    <sortCondition ref="H2:H88"/>
    <sortCondition ref="C2:C88"/>
    <sortCondition ref="B2:B88"/>
  </sortState>
  <mergeCells count="4">
    <mergeCell ref="Y159:Z159"/>
    <mergeCell ref="Y198:Z198"/>
    <mergeCell ref="Y206:Z206"/>
    <mergeCell ref="Y214:Z214"/>
  </mergeCells>
  <conditionalFormatting sqref="F126">
    <cfRule type="cellIs" dxfId="111" priority="22" operator="equal">
      <formula>0</formula>
    </cfRule>
    <cfRule type="cellIs" dxfId="110" priority="23" operator="notEqual">
      <formula>0</formula>
    </cfRule>
  </conditionalFormatting>
  <conditionalFormatting sqref="G109">
    <cfRule type="cellIs" dxfId="109" priority="24" operator="equal">
      <formula>0</formula>
    </cfRule>
    <cfRule type="cellIs" dxfId="108" priority="25" operator="notEqual">
      <formula>0</formula>
    </cfRule>
  </conditionalFormatting>
  <conditionalFormatting sqref="M110">
    <cfRule type="cellIs" dxfId="107" priority="20" operator="equal">
      <formula>0</formula>
    </cfRule>
    <cfRule type="cellIs" dxfId="106" priority="21" operator="notEqual">
      <formula>0</formula>
    </cfRule>
  </conditionalFormatting>
  <conditionalFormatting sqref="T132:T133 Z133 T146 Z146">
    <cfRule type="cellIs" dxfId="105" priority="17" operator="equal">
      <formula>0</formula>
    </cfRule>
    <cfRule type="cellIs" dxfId="104" priority="18" operator="notEqual">
      <formula>0</formula>
    </cfRule>
  </conditionalFormatting>
  <conditionalFormatting sqref="T144">
    <cfRule type="cellIs" dxfId="103" priority="15" operator="equal">
      <formula>0</formula>
    </cfRule>
    <cfRule type="cellIs" dxfId="102" priority="16" operator="notEqual">
      <formula>0</formula>
    </cfRule>
  </conditionalFormatting>
  <conditionalFormatting sqref="U151">
    <cfRule type="duplicateValues" dxfId="101" priority="3" stopIfTrue="1"/>
  </conditionalFormatting>
  <conditionalFormatting sqref="U159:U196">
    <cfRule type="duplicateValues" dxfId="100" priority="10" stopIfTrue="1"/>
  </conditionalFormatting>
  <conditionalFormatting sqref="U228 U155:U158 U148:U149 V223:V227 U197:U222">
    <cfRule type="duplicateValues" dxfId="99" priority="19" stopIfTrue="1"/>
  </conditionalFormatting>
  <conditionalFormatting sqref="Z157">
    <cfRule type="cellIs" dxfId="98" priority="4" operator="equal">
      <formula>0</formula>
    </cfRule>
    <cfRule type="cellIs" dxfId="97" priority="5" operator="notEqual">
      <formula>0</formula>
    </cfRule>
  </conditionalFormatting>
  <conditionalFormatting sqref="Z195:Z196">
    <cfRule type="cellIs" dxfId="96" priority="6" operator="equal">
      <formula>0</formula>
    </cfRule>
    <cfRule type="cellIs" dxfId="95" priority="7" operator="notEqual">
      <formula>0</formula>
    </cfRule>
  </conditionalFormatting>
  <conditionalFormatting sqref="Z203">
    <cfRule type="cellIs" dxfId="94" priority="13" operator="equal">
      <formula>0</formula>
    </cfRule>
    <cfRule type="cellIs" dxfId="93" priority="14" operator="notEqual">
      <formula>0</formula>
    </cfRule>
  </conditionalFormatting>
  <conditionalFormatting sqref="Z211">
    <cfRule type="cellIs" dxfId="92" priority="11" operator="equal">
      <formula>0</formula>
    </cfRule>
    <cfRule type="cellIs" dxfId="91" priority="12" operator="notEqual">
      <formula>0</formula>
    </cfRule>
  </conditionalFormatting>
  <conditionalFormatting sqref="Z219">
    <cfRule type="cellIs" dxfId="90" priority="1" operator="equal">
      <formula>0</formula>
    </cfRule>
    <cfRule type="cellIs" dxfId="89" priority="2" operator="notEqual">
      <formula>0</formula>
    </cfRule>
  </conditionalFormatting>
  <conditionalFormatting sqref="AA187">
    <cfRule type="cellIs" dxfId="88" priority="8" operator="equal">
      <formula>0</formula>
    </cfRule>
    <cfRule type="cellIs" dxfId="87" priority="9" operator="not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A1D94-28CE-4EE5-9E5C-278DDEAE047F}">
  <sheetPr codeName="Hoja22"/>
  <dimension ref="B1:AF220"/>
  <sheetViews>
    <sheetView zoomScale="70" zoomScaleNormal="70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ColWidth="11.5703125" defaultRowHeight="12.75"/>
  <cols>
    <col min="1" max="1" width="4" customWidth="1"/>
    <col min="2" max="2" width="12" customWidth="1"/>
    <col min="3" max="3" width="54.140625" customWidth="1"/>
    <col min="4" max="4" width="10.42578125" bestFit="1" customWidth="1"/>
    <col min="5" max="6" width="15.42578125" bestFit="1" customWidth="1"/>
    <col min="7" max="7" width="16.7109375" customWidth="1"/>
    <col min="10" max="10" width="12.7109375" customWidth="1"/>
    <col min="11" max="11" width="11.85546875" customWidth="1"/>
    <col min="13" max="13" width="15.28515625" customWidth="1"/>
    <col min="14" max="14" width="12.7109375" bestFit="1" customWidth="1"/>
    <col min="17" max="17" width="14.7109375" customWidth="1"/>
    <col min="18" max="18" width="15.5703125" customWidth="1"/>
    <col min="19" max="19" width="15.42578125" customWidth="1"/>
    <col min="20" max="21" width="15.28515625" customWidth="1"/>
    <col min="22" max="22" width="12.5703125" customWidth="1"/>
    <col min="23" max="24" width="13.140625" customWidth="1"/>
    <col min="25" max="25" width="13.85546875" customWidth="1"/>
    <col min="26" max="26" width="14.28515625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>
      <c r="B2" s="68"/>
      <c r="C2" s="69"/>
      <c r="D2" s="68"/>
      <c r="E2" s="54"/>
      <c r="F2" s="54"/>
      <c r="G2" s="54"/>
      <c r="H2" s="53"/>
      <c r="I2" s="70"/>
      <c r="J2" s="17"/>
      <c r="M2" s="71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</row>
    <row r="3" spans="2:32">
      <c r="B3" s="68"/>
      <c r="C3" s="69"/>
      <c r="D3" s="68"/>
      <c r="E3" s="54"/>
      <c r="F3" s="54"/>
      <c r="G3" s="54"/>
      <c r="H3" s="53"/>
      <c r="I3" s="70"/>
      <c r="J3" s="17"/>
      <c r="M3" s="71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</row>
    <row r="4" spans="2:32">
      <c r="B4" s="68"/>
      <c r="C4" s="69"/>
      <c r="D4" s="68"/>
      <c r="E4" s="54"/>
      <c r="F4" s="54"/>
      <c r="G4" s="54"/>
      <c r="H4" s="53"/>
      <c r="I4" s="70"/>
      <c r="J4" s="17"/>
      <c r="M4" s="71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</row>
    <row r="5" spans="2:32">
      <c r="B5" s="68"/>
      <c r="C5" s="69"/>
      <c r="D5" s="68"/>
      <c r="E5" s="54"/>
      <c r="F5" s="54"/>
      <c r="G5" s="54"/>
      <c r="H5" s="53"/>
      <c r="I5" s="70"/>
      <c r="J5" s="17"/>
      <c r="M5" s="71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</row>
    <row r="6" spans="2:32">
      <c r="B6" s="68"/>
      <c r="C6" s="69"/>
      <c r="D6" s="68"/>
      <c r="E6" s="54"/>
      <c r="F6" s="54"/>
      <c r="G6" s="54"/>
      <c r="H6" s="53"/>
      <c r="I6" s="70"/>
      <c r="J6" s="17"/>
      <c r="M6" s="71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</row>
    <row r="7" spans="2:32">
      <c r="B7" s="68"/>
      <c r="C7" s="69"/>
      <c r="D7" s="68"/>
      <c r="E7" s="54"/>
      <c r="F7" s="54"/>
      <c r="G7" s="54"/>
      <c r="H7" s="53"/>
      <c r="I7" s="72"/>
      <c r="J7" s="17"/>
      <c r="M7" s="71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</row>
    <row r="8" spans="2:32">
      <c r="B8" s="68"/>
      <c r="C8" s="73"/>
      <c r="D8" s="68"/>
      <c r="E8" s="54"/>
      <c r="F8" s="54"/>
      <c r="G8" s="54"/>
      <c r="H8" s="53"/>
      <c r="I8" s="70"/>
      <c r="J8" s="17"/>
      <c r="M8" s="71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</row>
    <row r="9" spans="2:32">
      <c r="B9" s="68"/>
      <c r="C9" s="73"/>
      <c r="D9" s="68"/>
      <c r="E9" s="54"/>
      <c r="F9" s="54"/>
      <c r="G9" s="54"/>
      <c r="H9" s="53"/>
      <c r="I9" s="70"/>
      <c r="J9" s="17"/>
      <c r="M9" s="71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</row>
    <row r="10" spans="2:32">
      <c r="B10" s="68"/>
      <c r="C10" s="73"/>
      <c r="D10" s="68"/>
      <c r="E10" s="54"/>
      <c r="F10" s="54"/>
      <c r="G10" s="54"/>
      <c r="H10" s="53"/>
      <c r="I10" s="70"/>
      <c r="J10" s="17"/>
      <c r="M10" s="71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</row>
    <row r="11" spans="2:32">
      <c r="B11" s="68"/>
      <c r="C11" s="73"/>
      <c r="D11" s="68"/>
      <c r="E11" s="54"/>
      <c r="F11" s="54"/>
      <c r="G11" s="54"/>
      <c r="H11" s="53"/>
      <c r="I11" s="70"/>
      <c r="J11" s="17"/>
      <c r="M11" s="71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</row>
    <row r="12" spans="2:32">
      <c r="B12" s="68"/>
      <c r="C12" s="73"/>
      <c r="D12" s="68"/>
      <c r="E12" s="54"/>
      <c r="F12" s="54"/>
      <c r="G12" s="54"/>
      <c r="H12" s="53"/>
      <c r="I12" s="70"/>
      <c r="J12" s="17"/>
      <c r="M12" s="71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</row>
    <row r="13" spans="2:32">
      <c r="B13" s="68"/>
      <c r="C13" s="73"/>
      <c r="D13" s="68"/>
      <c r="E13" s="54"/>
      <c r="F13" s="54"/>
      <c r="G13" s="54"/>
      <c r="H13" s="53"/>
      <c r="I13" s="70"/>
      <c r="J13" s="17"/>
      <c r="M13" s="71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</row>
    <row r="14" spans="2:32">
      <c r="B14" s="68"/>
      <c r="C14" s="73"/>
      <c r="D14" s="68"/>
      <c r="E14" s="54"/>
      <c r="F14" s="54"/>
      <c r="G14" s="54"/>
      <c r="H14" s="53"/>
      <c r="I14" s="70"/>
      <c r="J14" s="17"/>
      <c r="M14" s="71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</row>
    <row r="15" spans="2:32">
      <c r="B15" s="68"/>
      <c r="C15" s="73"/>
      <c r="D15" s="68"/>
      <c r="E15" s="54"/>
      <c r="F15" s="54"/>
      <c r="G15" s="54"/>
      <c r="H15" s="53"/>
      <c r="I15" s="70"/>
      <c r="J15" s="17"/>
      <c r="M15" s="71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</row>
    <row r="16" spans="2:32">
      <c r="B16" s="68"/>
      <c r="C16" s="73"/>
      <c r="D16" s="68"/>
      <c r="E16" s="54"/>
      <c r="F16" s="54"/>
      <c r="G16" s="54"/>
      <c r="H16" s="53"/>
      <c r="I16" s="70"/>
      <c r="J16" s="17"/>
      <c r="M16" s="71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</row>
    <row r="17" spans="2:31">
      <c r="B17" s="68"/>
      <c r="C17" s="73"/>
      <c r="D17" s="68"/>
      <c r="E17" s="54"/>
      <c r="F17" s="54"/>
      <c r="G17" s="54"/>
      <c r="H17" s="53"/>
      <c r="I17" s="70"/>
      <c r="J17" s="17"/>
      <c r="M17" s="71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</row>
    <row r="18" spans="2:31">
      <c r="B18" s="68"/>
      <c r="C18" s="73"/>
      <c r="D18" s="68"/>
      <c r="E18" s="54"/>
      <c r="F18" s="54"/>
      <c r="G18" s="54"/>
      <c r="H18" s="53"/>
      <c r="I18" s="70"/>
      <c r="J18" s="17"/>
      <c r="M18" s="71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</row>
    <row r="19" spans="2:31">
      <c r="B19" s="68"/>
      <c r="C19" s="73"/>
      <c r="D19" s="68"/>
      <c r="E19" s="54"/>
      <c r="F19" s="54"/>
      <c r="G19" s="54"/>
      <c r="H19" s="53"/>
      <c r="I19" s="70"/>
      <c r="J19" s="17"/>
      <c r="M19" s="71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</row>
    <row r="20" spans="2:31">
      <c r="B20" s="68"/>
      <c r="C20" s="73"/>
      <c r="D20" s="68"/>
      <c r="E20" s="54"/>
      <c r="F20" s="54"/>
      <c r="G20" s="54"/>
      <c r="H20" s="53"/>
      <c r="I20" s="70"/>
      <c r="J20" s="17"/>
      <c r="M20" s="71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</row>
    <row r="21" spans="2:31">
      <c r="B21" s="68"/>
      <c r="C21" s="73"/>
      <c r="D21" s="68"/>
      <c r="E21" s="54"/>
      <c r="F21" s="54"/>
      <c r="G21" s="54"/>
      <c r="H21" s="53"/>
      <c r="I21" s="70"/>
      <c r="J21" s="17"/>
      <c r="M21" s="71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</row>
    <row r="22" spans="2:31">
      <c r="B22" s="68"/>
      <c r="C22" s="73"/>
      <c r="D22" s="68"/>
      <c r="E22" s="54"/>
      <c r="F22" s="54"/>
      <c r="G22" s="54"/>
      <c r="H22" s="53"/>
      <c r="I22" s="70"/>
      <c r="J22" s="17"/>
      <c r="M22" s="71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</row>
    <row r="23" spans="2:31">
      <c r="B23" s="68"/>
      <c r="C23" s="73"/>
      <c r="D23" s="68"/>
      <c r="E23" s="54"/>
      <c r="F23" s="54"/>
      <c r="G23" s="54"/>
      <c r="H23" s="53"/>
      <c r="I23" s="70"/>
      <c r="J23" s="17"/>
      <c r="M23" s="71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</row>
    <row r="24" spans="2:31" ht="12" customHeight="1">
      <c r="B24" s="68"/>
      <c r="C24" s="73"/>
      <c r="D24" s="68"/>
      <c r="E24" s="54"/>
      <c r="F24" s="54"/>
      <c r="G24" s="54"/>
      <c r="H24" s="53"/>
      <c r="I24" s="70"/>
      <c r="J24" s="17"/>
      <c r="M24" s="71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</row>
    <row r="25" spans="2:31">
      <c r="B25" s="68"/>
      <c r="C25" s="73"/>
      <c r="D25" s="68"/>
      <c r="E25" s="54"/>
      <c r="F25" s="54"/>
      <c r="G25" s="54"/>
      <c r="H25" s="53"/>
      <c r="I25" s="70"/>
      <c r="J25" s="17"/>
      <c r="M25" s="71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</row>
    <row r="26" spans="2:31">
      <c r="B26" s="68"/>
      <c r="C26" s="73"/>
      <c r="D26" s="68"/>
      <c r="E26" s="54"/>
      <c r="F26" s="54"/>
      <c r="G26" s="54"/>
      <c r="H26" s="53"/>
      <c r="I26" s="70"/>
      <c r="J26" s="17"/>
      <c r="M26" s="71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</row>
    <row r="27" spans="2:31">
      <c r="B27" s="68"/>
      <c r="C27" s="73"/>
      <c r="D27" s="68"/>
      <c r="E27" s="54"/>
      <c r="F27" s="54"/>
      <c r="G27" s="54"/>
      <c r="H27" s="53"/>
      <c r="I27" s="70"/>
      <c r="J27" s="17"/>
      <c r="M27" s="71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</row>
    <row r="28" spans="2:31">
      <c r="B28" s="68"/>
      <c r="C28" s="73"/>
      <c r="D28" s="68"/>
      <c r="E28" s="54"/>
      <c r="F28" s="54"/>
      <c r="G28" s="54"/>
      <c r="H28" s="53"/>
      <c r="I28" s="70"/>
      <c r="J28" s="17"/>
      <c r="M28" s="71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</row>
    <row r="29" spans="2:31">
      <c r="B29" s="68"/>
      <c r="C29" s="73"/>
      <c r="D29" s="68"/>
      <c r="E29" s="54"/>
      <c r="F29" s="54"/>
      <c r="G29" s="54"/>
      <c r="H29" s="53"/>
      <c r="I29" s="70"/>
      <c r="J29" s="17"/>
      <c r="M29" s="71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</row>
    <row r="30" spans="2:31">
      <c r="B30" s="68"/>
      <c r="C30" s="73"/>
      <c r="D30" s="68"/>
      <c r="E30" s="54"/>
      <c r="F30" s="54"/>
      <c r="G30" s="54"/>
      <c r="H30" s="53"/>
      <c r="I30" s="70"/>
      <c r="J30" s="17"/>
      <c r="M30" s="71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</row>
    <row r="31" spans="2:31">
      <c r="B31" s="68"/>
      <c r="C31" s="73"/>
      <c r="D31" s="68"/>
      <c r="E31" s="54"/>
      <c r="F31" s="54"/>
      <c r="G31" s="54"/>
      <c r="H31" s="53"/>
      <c r="I31" s="70"/>
      <c r="J31" s="17"/>
      <c r="M31" s="71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</row>
    <row r="32" spans="2:31">
      <c r="B32" s="68"/>
      <c r="C32" s="73"/>
      <c r="D32" s="68"/>
      <c r="E32" s="54"/>
      <c r="F32" s="54"/>
      <c r="G32" s="54"/>
      <c r="H32" s="53"/>
      <c r="I32" s="70"/>
      <c r="J32" s="17"/>
      <c r="M32" s="71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</row>
    <row r="33" spans="2:31">
      <c r="B33" s="68"/>
      <c r="C33" s="73"/>
      <c r="D33" s="68"/>
      <c r="E33" s="54"/>
      <c r="F33" s="54"/>
      <c r="G33" s="54"/>
      <c r="H33" s="53"/>
      <c r="I33" s="70"/>
      <c r="J33" s="17"/>
      <c r="M33" s="71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</row>
    <row r="34" spans="2:31">
      <c r="B34" s="68"/>
      <c r="C34" s="73"/>
      <c r="D34" s="68"/>
      <c r="E34" s="54"/>
      <c r="F34" s="54"/>
      <c r="G34" s="54"/>
      <c r="H34" s="53"/>
      <c r="I34" s="70"/>
      <c r="J34" s="17"/>
      <c r="M34" s="71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</row>
    <row r="35" spans="2:31">
      <c r="B35" s="68"/>
      <c r="C35" s="73"/>
      <c r="D35" s="68"/>
      <c r="E35" s="54"/>
      <c r="F35" s="54"/>
      <c r="G35" s="54"/>
      <c r="H35" s="53"/>
      <c r="I35" s="70"/>
      <c r="J35" s="17"/>
      <c r="M35" s="7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</row>
    <row r="36" spans="2:31">
      <c r="B36" s="68"/>
      <c r="C36" s="73"/>
      <c r="D36" s="68"/>
      <c r="E36" s="54"/>
      <c r="F36" s="54"/>
      <c r="G36" s="54"/>
      <c r="H36" s="53"/>
      <c r="I36" s="70"/>
      <c r="J36" s="17"/>
      <c r="M36" s="71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</row>
    <row r="37" spans="2:31">
      <c r="B37" s="68"/>
      <c r="C37" s="73"/>
      <c r="D37" s="68"/>
      <c r="E37" s="54"/>
      <c r="F37" s="54"/>
      <c r="G37" s="54"/>
      <c r="H37" s="53"/>
      <c r="I37" s="70"/>
      <c r="J37" s="17"/>
      <c r="M37" s="71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</row>
    <row r="38" spans="2:31">
      <c r="B38" s="68"/>
      <c r="C38" s="73"/>
      <c r="D38" s="68"/>
      <c r="E38" s="54"/>
      <c r="F38" s="54"/>
      <c r="G38" s="54"/>
      <c r="H38" s="53"/>
      <c r="I38" s="70"/>
      <c r="J38" s="17"/>
      <c r="M38" s="71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</row>
    <row r="39" spans="2:31">
      <c r="B39" s="68"/>
      <c r="C39" s="73"/>
      <c r="D39" s="68"/>
      <c r="E39" s="54"/>
      <c r="F39" s="54"/>
      <c r="G39" s="54"/>
      <c r="H39" s="53"/>
      <c r="I39" s="70"/>
      <c r="J39" s="17"/>
      <c r="M39" s="7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</row>
    <row r="40" spans="2:31">
      <c r="B40" s="68"/>
      <c r="C40" s="73"/>
      <c r="D40" s="68"/>
      <c r="E40" s="54"/>
      <c r="F40" s="54"/>
      <c r="G40" s="54"/>
      <c r="H40" s="53"/>
      <c r="I40" s="70"/>
      <c r="J40" s="17"/>
      <c r="M40" s="7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</row>
    <row r="41" spans="2:31">
      <c r="B41" s="68"/>
      <c r="C41" s="73"/>
      <c r="D41" s="68"/>
      <c r="E41" s="54"/>
      <c r="F41" s="54"/>
      <c r="G41" s="54"/>
      <c r="H41" s="53"/>
      <c r="I41" s="70"/>
      <c r="J41" s="17"/>
      <c r="M41" s="7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</row>
    <row r="42" spans="2:31" ht="12.6" customHeight="1">
      <c r="B42" s="74"/>
      <c r="C42" s="75"/>
      <c r="D42" s="74"/>
      <c r="E42" s="56"/>
      <c r="F42" s="56"/>
      <c r="G42" s="56"/>
      <c r="H42" s="76"/>
      <c r="I42" s="70"/>
      <c r="J42" s="17"/>
      <c r="K42" s="17"/>
      <c r="L42" s="29"/>
      <c r="M42" s="77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2:31">
      <c r="B43" s="68"/>
      <c r="C43" s="73"/>
      <c r="D43" s="68"/>
      <c r="E43" s="54"/>
      <c r="F43" s="54"/>
      <c r="G43" s="54"/>
      <c r="H43" s="53"/>
      <c r="I43" s="70"/>
      <c r="J43" s="17"/>
      <c r="M43" s="7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</row>
    <row r="44" spans="2:31">
      <c r="B44" s="68"/>
      <c r="C44" s="69"/>
      <c r="D44" s="68"/>
      <c r="E44" s="54"/>
      <c r="F44" s="54"/>
      <c r="G44" s="54"/>
      <c r="H44" s="53"/>
      <c r="I44" s="70"/>
      <c r="J44" s="17"/>
      <c r="M44" s="7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</row>
    <row r="45" spans="2:31">
      <c r="B45" s="68"/>
      <c r="C45" s="69"/>
      <c r="D45" s="68"/>
      <c r="E45" s="54"/>
      <c r="F45" s="54"/>
      <c r="G45" s="54"/>
      <c r="H45" s="53"/>
      <c r="I45" s="70"/>
      <c r="J45" s="17"/>
      <c r="M45" s="71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</row>
    <row r="46" spans="2:31">
      <c r="B46" s="68"/>
      <c r="C46" s="69"/>
      <c r="D46" s="68"/>
      <c r="E46" s="54"/>
      <c r="F46" s="54"/>
      <c r="G46" s="54"/>
      <c r="H46" s="53"/>
      <c r="I46" s="70"/>
      <c r="J46" s="17"/>
      <c r="M46" s="71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</row>
    <row r="47" spans="2:31">
      <c r="B47" s="68"/>
      <c r="C47" s="69"/>
      <c r="D47" s="68"/>
      <c r="E47" s="54"/>
      <c r="F47" s="54"/>
      <c r="G47" s="54"/>
      <c r="H47" s="53"/>
      <c r="I47" s="70"/>
      <c r="J47" s="17"/>
      <c r="M47" s="71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</row>
    <row r="48" spans="2:31">
      <c r="B48" s="68"/>
      <c r="C48" s="73"/>
      <c r="D48" s="68"/>
      <c r="E48" s="54"/>
      <c r="F48" s="54"/>
      <c r="G48" s="54"/>
      <c r="H48" s="53"/>
      <c r="I48" s="70"/>
      <c r="J48" s="17"/>
      <c r="M48" s="71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</row>
    <row r="49" spans="2:31">
      <c r="B49" s="68"/>
      <c r="C49" s="73"/>
      <c r="D49" s="68"/>
      <c r="E49" s="54"/>
      <c r="F49" s="54"/>
      <c r="G49" s="54"/>
      <c r="H49" s="53"/>
      <c r="I49" s="70"/>
      <c r="J49" s="17"/>
      <c r="M49" s="71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</row>
    <row r="50" spans="2:31">
      <c r="B50" s="68"/>
      <c r="C50" s="73"/>
      <c r="D50" s="68"/>
      <c r="E50" s="54"/>
      <c r="F50" s="54"/>
      <c r="G50" s="54"/>
      <c r="H50" s="53"/>
      <c r="I50" s="70"/>
      <c r="J50" s="17"/>
      <c r="M50" s="7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</row>
    <row r="51" spans="2:31">
      <c r="B51" s="68"/>
      <c r="C51" s="73"/>
      <c r="D51" s="68"/>
      <c r="E51" s="54"/>
      <c r="F51" s="54"/>
      <c r="G51" s="54"/>
      <c r="H51" s="53"/>
      <c r="I51" s="70"/>
      <c r="J51" s="17"/>
      <c r="M51" s="7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</row>
    <row r="52" spans="2:31">
      <c r="B52" s="68"/>
      <c r="C52" s="73"/>
      <c r="D52" s="68"/>
      <c r="E52" s="54"/>
      <c r="F52" s="54"/>
      <c r="G52" s="54"/>
      <c r="H52" s="53"/>
      <c r="I52" s="70"/>
      <c r="J52" s="17"/>
      <c r="M52" s="7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</row>
    <row r="53" spans="2:31">
      <c r="B53" s="68"/>
      <c r="C53" s="69"/>
      <c r="D53" s="68"/>
      <c r="E53" s="54"/>
      <c r="F53" s="54"/>
      <c r="G53" s="54"/>
      <c r="H53" s="53"/>
      <c r="I53" s="70"/>
      <c r="J53" s="17"/>
      <c r="M53" s="7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</row>
    <row r="54" spans="2:31">
      <c r="B54" s="68"/>
      <c r="C54" s="69"/>
      <c r="D54" s="68"/>
      <c r="E54" s="54"/>
      <c r="F54" s="54"/>
      <c r="G54" s="54"/>
      <c r="H54" s="53"/>
      <c r="I54" s="70"/>
      <c r="J54" s="17"/>
      <c r="M54" s="7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</row>
    <row r="55" spans="2:31">
      <c r="B55" s="68"/>
      <c r="C55" s="69"/>
      <c r="D55" s="68"/>
      <c r="E55" s="54"/>
      <c r="F55" s="54"/>
      <c r="G55" s="54"/>
      <c r="H55" s="53"/>
      <c r="I55" s="70"/>
      <c r="J55" s="17"/>
      <c r="M55" s="7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</row>
    <row r="56" spans="2:31">
      <c r="B56" s="68"/>
      <c r="C56" s="69"/>
      <c r="D56" s="68"/>
      <c r="E56" s="54"/>
      <c r="F56" s="54"/>
      <c r="G56" s="54"/>
      <c r="H56" s="53"/>
      <c r="I56" s="70"/>
      <c r="J56" s="17"/>
      <c r="M56" s="7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</row>
    <row r="57" spans="2:31">
      <c r="B57" s="68"/>
      <c r="C57" s="69"/>
      <c r="D57" s="68"/>
      <c r="E57" s="54"/>
      <c r="F57" s="54"/>
      <c r="G57" s="54"/>
      <c r="H57" s="53"/>
      <c r="I57" s="70"/>
      <c r="J57" s="17"/>
      <c r="M57" s="7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</row>
    <row r="58" spans="2:31">
      <c r="B58" s="68"/>
      <c r="C58" s="69"/>
      <c r="D58" s="68"/>
      <c r="E58" s="54"/>
      <c r="F58" s="54"/>
      <c r="G58" s="54"/>
      <c r="H58" s="53"/>
      <c r="I58" s="70"/>
      <c r="J58" s="17"/>
      <c r="M58" s="7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</row>
    <row r="59" spans="2:31">
      <c r="B59" s="68"/>
      <c r="C59" s="69"/>
      <c r="D59" s="68"/>
      <c r="E59" s="54"/>
      <c r="F59" s="54"/>
      <c r="G59" s="54"/>
      <c r="H59" s="53"/>
      <c r="I59" s="70"/>
      <c r="J59" s="17"/>
      <c r="M59" s="7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</row>
    <row r="60" spans="2:31">
      <c r="B60" s="68"/>
      <c r="C60" s="69"/>
      <c r="D60" s="68"/>
      <c r="E60" s="54"/>
      <c r="F60" s="54"/>
      <c r="G60" s="54"/>
      <c r="H60" s="53"/>
      <c r="I60" s="70"/>
      <c r="J60" s="17"/>
      <c r="M60" s="7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</row>
    <row r="61" spans="2:31">
      <c r="B61" s="68"/>
      <c r="C61" s="69"/>
      <c r="D61" s="68"/>
      <c r="E61" s="54"/>
      <c r="F61" s="54"/>
      <c r="G61" s="54"/>
      <c r="H61" s="53"/>
      <c r="I61" s="70"/>
      <c r="J61" s="17"/>
      <c r="M61" s="7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</row>
    <row r="62" spans="2:31">
      <c r="B62" s="68"/>
      <c r="C62" s="69"/>
      <c r="D62" s="68"/>
      <c r="E62" s="54"/>
      <c r="F62" s="54"/>
      <c r="G62" s="54"/>
      <c r="H62" s="53"/>
      <c r="I62" s="70"/>
      <c r="J62" s="17"/>
      <c r="M62" s="7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</row>
    <row r="63" spans="2:31">
      <c r="B63" s="68"/>
      <c r="C63" s="69"/>
      <c r="D63" s="68"/>
      <c r="E63" s="54"/>
      <c r="F63" s="54"/>
      <c r="G63" s="54"/>
      <c r="H63" s="53"/>
      <c r="I63" s="70"/>
      <c r="J63" s="17"/>
      <c r="M63" s="7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</row>
    <row r="64" spans="2:31">
      <c r="B64" s="68"/>
      <c r="C64" s="69"/>
      <c r="D64" s="68"/>
      <c r="E64" s="54"/>
      <c r="F64" s="54"/>
      <c r="G64" s="54"/>
      <c r="H64" s="53"/>
      <c r="I64" s="70"/>
      <c r="J64" s="17"/>
      <c r="M64" s="7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</row>
    <row r="65" spans="2:31">
      <c r="B65" s="68"/>
      <c r="C65" s="69"/>
      <c r="D65" s="68"/>
      <c r="E65" s="54"/>
      <c r="F65" s="54"/>
      <c r="G65" s="54"/>
      <c r="H65" s="53"/>
      <c r="I65" s="70"/>
      <c r="J65" s="17"/>
      <c r="M65" s="71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</row>
    <row r="66" spans="2:31">
      <c r="B66" s="68"/>
      <c r="C66" s="69"/>
      <c r="D66" s="68"/>
      <c r="E66" s="54"/>
      <c r="F66" s="54"/>
      <c r="G66" s="54"/>
      <c r="H66" s="53"/>
      <c r="I66" s="70"/>
      <c r="J66" s="17"/>
      <c r="M66" s="7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</row>
    <row r="67" spans="2:31">
      <c r="B67" s="68"/>
      <c r="C67" s="69"/>
      <c r="D67" s="68"/>
      <c r="E67" s="54"/>
      <c r="F67" s="54"/>
      <c r="G67" s="54"/>
      <c r="H67" s="53"/>
      <c r="I67" s="70"/>
      <c r="J67" s="17"/>
      <c r="M67" s="7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</row>
    <row r="68" spans="2:31">
      <c r="B68" s="68"/>
      <c r="C68" s="69"/>
      <c r="D68" s="68"/>
      <c r="E68" s="54"/>
      <c r="F68" s="54"/>
      <c r="G68" s="54"/>
      <c r="H68" s="53"/>
      <c r="I68" s="70"/>
      <c r="J68" s="17"/>
      <c r="M68" s="7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</row>
    <row r="69" spans="2:31">
      <c r="B69" s="68"/>
      <c r="C69" s="69"/>
      <c r="D69" s="68"/>
      <c r="E69" s="54"/>
      <c r="F69" s="54"/>
      <c r="G69" s="54"/>
      <c r="H69" s="53"/>
      <c r="I69" s="70"/>
      <c r="J69" s="17"/>
      <c r="K69" s="17"/>
      <c r="M69" s="7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</row>
    <row r="70" spans="2:31">
      <c r="B70" s="68"/>
      <c r="C70" s="69"/>
      <c r="D70" s="68"/>
      <c r="E70" s="54"/>
      <c r="F70" s="54"/>
      <c r="G70" s="54"/>
      <c r="H70" s="53"/>
      <c r="I70" s="70"/>
      <c r="J70" s="17"/>
      <c r="K70" s="61"/>
      <c r="M70" s="7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</row>
    <row r="71" spans="2:31">
      <c r="B71" s="68"/>
      <c r="C71" s="69"/>
      <c r="D71" s="68"/>
      <c r="E71" s="54"/>
      <c r="F71" s="54"/>
      <c r="G71" s="54"/>
      <c r="H71" s="53"/>
      <c r="I71" s="70"/>
      <c r="J71" s="17"/>
      <c r="K71" s="61"/>
      <c r="M71" s="7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</row>
    <row r="72" spans="2:31">
      <c r="B72" s="68"/>
      <c r="C72" s="69"/>
      <c r="D72" s="68"/>
      <c r="E72" s="54"/>
      <c r="F72" s="54"/>
      <c r="G72" s="54"/>
      <c r="H72" s="53"/>
      <c r="I72" s="70"/>
      <c r="J72" s="17"/>
      <c r="K72" s="17"/>
      <c r="M72" s="7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</row>
    <row r="73" spans="2:31">
      <c r="B73" s="68"/>
      <c r="C73" s="69"/>
      <c r="D73" s="68"/>
      <c r="E73" s="54"/>
      <c r="F73" s="54"/>
      <c r="G73" s="54"/>
      <c r="H73" s="53"/>
      <c r="I73" s="70"/>
      <c r="J73" s="17"/>
      <c r="M73" s="7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</row>
    <row r="74" spans="2:31">
      <c r="B74" s="68"/>
      <c r="C74" s="69"/>
      <c r="D74" s="68"/>
      <c r="E74" s="54"/>
      <c r="F74" s="54"/>
      <c r="G74" s="54"/>
      <c r="H74" s="53"/>
      <c r="I74" s="70"/>
      <c r="J74" s="17"/>
      <c r="M74" s="7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</row>
    <row r="75" spans="2:31">
      <c r="B75" s="68"/>
      <c r="C75" s="73"/>
      <c r="D75" s="68"/>
      <c r="E75" s="54"/>
      <c r="F75" s="54"/>
      <c r="G75" s="54"/>
      <c r="H75" s="53"/>
      <c r="I75" s="70"/>
      <c r="J75" s="17"/>
      <c r="M75" s="7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</row>
    <row r="76" spans="2:31">
      <c r="B76" s="68"/>
      <c r="C76" s="73"/>
      <c r="D76" s="68"/>
      <c r="E76" s="54"/>
      <c r="F76" s="54"/>
      <c r="G76" s="54"/>
      <c r="H76" s="53"/>
      <c r="I76" s="70"/>
      <c r="J76" s="17"/>
      <c r="M76" s="7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</row>
    <row r="77" spans="2:31">
      <c r="B77" s="68"/>
      <c r="C77" s="73"/>
      <c r="D77" s="68"/>
      <c r="E77" s="54"/>
      <c r="F77" s="54"/>
      <c r="G77" s="54"/>
      <c r="H77" s="53"/>
      <c r="I77" s="70"/>
      <c r="J77" s="17"/>
      <c r="M77" s="7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</row>
    <row r="78" spans="2:31">
      <c r="B78" s="68"/>
      <c r="C78" s="73"/>
      <c r="D78" s="68"/>
      <c r="E78" s="54"/>
      <c r="F78" s="54"/>
      <c r="G78" s="54"/>
      <c r="H78" s="53"/>
      <c r="I78" s="70"/>
      <c r="J78" s="17"/>
      <c r="M78" s="7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</row>
    <row r="79" spans="2:31">
      <c r="B79" s="68"/>
      <c r="C79" s="69"/>
      <c r="D79" s="68"/>
      <c r="E79" s="54"/>
      <c r="F79" s="54"/>
      <c r="G79" s="54"/>
      <c r="H79" s="53"/>
      <c r="I79" s="70"/>
      <c r="J79" s="17"/>
      <c r="M79" s="7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</row>
    <row r="80" spans="2:31">
      <c r="B80" s="68"/>
      <c r="C80" s="69"/>
      <c r="D80" s="68"/>
      <c r="E80" s="54"/>
      <c r="F80" s="54"/>
      <c r="G80" s="54"/>
      <c r="H80" s="53"/>
      <c r="I80" s="70"/>
      <c r="J80" s="17"/>
      <c r="M80" s="71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</row>
    <row r="81" spans="2:31">
      <c r="B81" s="68"/>
      <c r="C81" s="69"/>
      <c r="D81" s="68"/>
      <c r="E81" s="54"/>
      <c r="F81" s="54"/>
      <c r="G81" s="54"/>
      <c r="H81" s="53"/>
      <c r="I81" s="70"/>
      <c r="J81" s="17"/>
      <c r="M81" s="71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</row>
    <row r="82" spans="2:31">
      <c r="B82" s="68"/>
      <c r="C82" s="69"/>
      <c r="D82" s="68"/>
      <c r="E82" s="54"/>
      <c r="F82" s="54"/>
      <c r="G82" s="54"/>
      <c r="H82" s="53"/>
      <c r="I82" s="70"/>
      <c r="J82" s="17"/>
      <c r="M82" s="7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</row>
    <row r="83" spans="2:31">
      <c r="B83" s="68"/>
      <c r="C83" s="69"/>
      <c r="D83" s="68"/>
      <c r="E83" s="54"/>
      <c r="F83" s="54"/>
      <c r="G83" s="54"/>
      <c r="H83" s="53"/>
      <c r="I83" s="70"/>
      <c r="J83" s="17"/>
      <c r="K83" s="61"/>
      <c r="M83" s="7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</row>
    <row r="84" spans="2:31" ht="12.6" customHeight="1">
      <c r="B84" s="74"/>
      <c r="C84" s="75"/>
      <c r="D84" s="74"/>
      <c r="E84" s="56"/>
      <c r="F84" s="56"/>
      <c r="G84" s="56"/>
      <c r="H84" s="76"/>
      <c r="I84" s="70"/>
      <c r="J84" s="17"/>
      <c r="K84" s="17"/>
      <c r="L84" s="29"/>
      <c r="M84" s="77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2:31">
      <c r="B85" s="68"/>
      <c r="C85" s="69"/>
      <c r="D85" s="68"/>
      <c r="E85" s="54"/>
      <c r="F85" s="54"/>
      <c r="G85" s="54"/>
      <c r="H85" s="53"/>
      <c r="I85" s="70"/>
      <c r="J85" s="17"/>
      <c r="M85" s="7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</row>
    <row r="86" spans="2:31">
      <c r="B86" s="68"/>
      <c r="C86" s="69"/>
      <c r="D86" s="68"/>
      <c r="E86" s="54"/>
      <c r="F86" s="54"/>
      <c r="G86" s="54"/>
      <c r="H86" s="53"/>
      <c r="I86" s="70"/>
      <c r="J86" s="17"/>
      <c r="M86" s="7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</row>
    <row r="87" spans="2:31">
      <c r="B87" s="68"/>
      <c r="C87" s="69"/>
      <c r="D87" s="68"/>
      <c r="E87" s="54"/>
      <c r="F87" s="54"/>
      <c r="G87" s="54"/>
      <c r="H87" s="53"/>
      <c r="I87" s="70"/>
      <c r="J87" s="17"/>
      <c r="M87" s="7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</row>
    <row r="88" spans="2:31">
      <c r="B88" s="68"/>
      <c r="C88" s="69"/>
      <c r="D88" s="68"/>
      <c r="E88" s="54"/>
      <c r="F88" s="54"/>
      <c r="G88" s="54"/>
      <c r="H88" s="53"/>
      <c r="I88" s="70"/>
      <c r="J88" s="17"/>
      <c r="M88" s="7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</row>
    <row r="89" spans="2:31">
      <c r="B89" s="68"/>
      <c r="C89" s="69"/>
      <c r="D89" s="68"/>
      <c r="E89" s="54"/>
      <c r="F89" s="54"/>
      <c r="G89" s="54"/>
      <c r="H89" s="53"/>
      <c r="I89" s="70"/>
      <c r="J89" s="17"/>
      <c r="M89" s="71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</row>
    <row r="90" spans="2:31" ht="12.6" customHeight="1">
      <c r="B90" s="74"/>
      <c r="C90" s="75"/>
      <c r="D90" s="74"/>
      <c r="E90" s="56"/>
      <c r="F90" s="56"/>
      <c r="G90" s="56"/>
      <c r="H90" s="76"/>
      <c r="I90" s="70"/>
      <c r="J90" s="17"/>
      <c r="K90" s="17"/>
      <c r="L90" s="29"/>
      <c r="M90" s="77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2:31">
      <c r="B91" s="68"/>
      <c r="C91" s="73"/>
      <c r="D91" s="68"/>
      <c r="E91" s="54"/>
      <c r="F91" s="54"/>
      <c r="G91" s="54"/>
      <c r="H91" s="53"/>
      <c r="I91" s="70"/>
      <c r="J91" s="17"/>
      <c r="M91" s="71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</row>
    <row r="92" spans="2:31">
      <c r="B92" s="68"/>
      <c r="C92" s="73"/>
      <c r="D92" s="68"/>
      <c r="E92" s="54"/>
      <c r="F92" s="54"/>
      <c r="G92" s="54"/>
      <c r="H92" s="53"/>
      <c r="I92" s="70"/>
      <c r="J92" s="17"/>
      <c r="K92" s="61"/>
      <c r="M92" s="7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</row>
    <row r="93" spans="2:31">
      <c r="B93" s="68"/>
      <c r="C93" s="73"/>
      <c r="D93" s="68"/>
      <c r="E93" s="54"/>
      <c r="F93" s="54"/>
      <c r="G93" s="54"/>
      <c r="H93" s="53"/>
      <c r="I93" s="70"/>
      <c r="J93" s="17"/>
      <c r="M93" s="71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</row>
    <row r="94" spans="2:31">
      <c r="B94" s="68"/>
      <c r="C94" s="73"/>
      <c r="D94" s="68"/>
      <c r="E94" s="54"/>
      <c r="F94" s="54"/>
      <c r="G94" s="54"/>
      <c r="H94" s="53"/>
      <c r="I94" s="70"/>
      <c r="J94" s="17"/>
      <c r="M94" s="7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</row>
    <row r="95" spans="2:31">
      <c r="B95" s="68"/>
      <c r="C95" s="73"/>
      <c r="D95" s="68"/>
      <c r="E95" s="54"/>
      <c r="F95" s="54"/>
      <c r="G95" s="54"/>
      <c r="H95" s="53"/>
      <c r="I95" s="70"/>
      <c r="J95" s="17"/>
      <c r="M95" s="7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</row>
    <row r="96" spans="2:31">
      <c r="B96" s="68"/>
      <c r="C96" s="73"/>
      <c r="D96" s="68"/>
      <c r="E96" s="54"/>
      <c r="F96" s="54"/>
      <c r="G96" s="54"/>
      <c r="H96" s="53"/>
      <c r="I96" s="70"/>
      <c r="J96" s="17"/>
      <c r="M96" s="7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</row>
    <row r="97" spans="2:31">
      <c r="B97" s="68"/>
      <c r="C97" s="73"/>
      <c r="D97" s="68"/>
      <c r="E97" s="54"/>
      <c r="F97" s="54"/>
      <c r="G97" s="54"/>
      <c r="H97" s="53"/>
      <c r="I97" s="70"/>
      <c r="J97" s="17"/>
      <c r="M97" s="7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</row>
    <row r="98" spans="2:31">
      <c r="B98" s="68"/>
      <c r="C98" s="73"/>
      <c r="D98" s="68"/>
      <c r="E98" s="54"/>
      <c r="F98" s="54"/>
      <c r="G98" s="54"/>
      <c r="H98" s="53"/>
      <c r="I98" s="70"/>
      <c r="J98" s="17"/>
      <c r="M98" s="71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</row>
    <row r="99" spans="2:31">
      <c r="B99" s="68"/>
      <c r="C99" s="73"/>
      <c r="D99" s="68"/>
      <c r="E99" s="54"/>
      <c r="F99" s="54"/>
      <c r="G99" s="54"/>
      <c r="H99" s="53"/>
      <c r="I99" s="70"/>
      <c r="J99" s="17"/>
      <c r="M99" s="71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</row>
    <row r="100" spans="2:31">
      <c r="B100" s="68"/>
      <c r="C100" s="73"/>
      <c r="D100" s="68"/>
      <c r="E100" s="54"/>
      <c r="F100" s="54"/>
      <c r="G100" s="54"/>
      <c r="H100" s="53"/>
      <c r="I100" s="70"/>
      <c r="J100" s="17"/>
      <c r="M100" s="7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</row>
    <row r="101" spans="2:31" ht="12.6" customHeight="1">
      <c r="B101" s="74"/>
      <c r="C101" s="75"/>
      <c r="D101" s="74"/>
      <c r="E101" s="56"/>
      <c r="F101" s="56"/>
      <c r="G101" s="56"/>
      <c r="H101" s="76"/>
      <c r="I101" s="70"/>
      <c r="J101" s="17"/>
      <c r="K101" s="17"/>
      <c r="L101" s="29"/>
      <c r="M101" s="77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2:31" ht="15.75">
      <c r="B102" s="78"/>
      <c r="C102" s="17"/>
      <c r="D102" s="17"/>
      <c r="E102" s="36"/>
      <c r="F102" s="36"/>
      <c r="G102" s="79"/>
      <c r="M102" s="80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</row>
    <row r="103" spans="2:31">
      <c r="E103" s="79"/>
      <c r="F103" s="79"/>
      <c r="M103" s="36"/>
    </row>
    <row r="104" spans="2:31" ht="15">
      <c r="B104" s="2"/>
      <c r="D104" s="2"/>
      <c r="E104" s="81"/>
      <c r="F104" s="81"/>
      <c r="M104" s="82"/>
      <c r="N104" s="14"/>
      <c r="O104" s="14"/>
      <c r="P104" s="14"/>
      <c r="Q104" s="14"/>
      <c r="R104" s="14"/>
      <c r="S104" s="83"/>
      <c r="T104" s="83"/>
      <c r="U104" s="83"/>
      <c r="V104" s="83"/>
      <c r="W104" s="83"/>
      <c r="X104" s="83"/>
      <c r="Y104" s="83"/>
      <c r="Z104" s="83"/>
      <c r="AA104" s="83"/>
    </row>
    <row r="105" spans="2:31">
      <c r="B105" s="15"/>
      <c r="C105" s="17"/>
      <c r="D105" s="17"/>
      <c r="E105" s="84"/>
      <c r="F105" s="84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</row>
    <row r="106" spans="2:31">
      <c r="B106" s="15"/>
      <c r="C106" s="17"/>
      <c r="D106" s="17"/>
      <c r="E106" s="84"/>
      <c r="F106" s="84"/>
      <c r="M106" s="36"/>
      <c r="N106" s="85"/>
      <c r="O106" s="36"/>
      <c r="P106" s="36"/>
      <c r="Q106" s="85"/>
      <c r="R106" s="36"/>
      <c r="S106" s="36"/>
      <c r="T106" s="85"/>
      <c r="U106" s="36"/>
      <c r="V106" s="36"/>
      <c r="W106" s="36"/>
      <c r="X106" s="36"/>
      <c r="Y106" s="36"/>
      <c r="Z106" s="36"/>
      <c r="AA106" s="36"/>
      <c r="AB106" s="86"/>
    </row>
    <row r="107" spans="2:31">
      <c r="B107" s="15"/>
      <c r="C107" s="17"/>
      <c r="D107" s="17"/>
      <c r="E107" s="84"/>
      <c r="F107" s="84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</row>
    <row r="108" spans="2:31">
      <c r="B108" s="15"/>
      <c r="C108" s="17"/>
      <c r="D108" s="17"/>
      <c r="E108" s="84"/>
      <c r="F108" s="84"/>
      <c r="M108" s="88"/>
      <c r="N108" s="88"/>
      <c r="O108" s="87"/>
      <c r="P108" s="87"/>
      <c r="Q108" s="87"/>
      <c r="R108" s="87"/>
      <c r="S108" s="87"/>
      <c r="T108" s="87"/>
      <c r="U108" s="87"/>
      <c r="V108" s="87"/>
      <c r="W108" s="89"/>
      <c r="X108" s="87"/>
      <c r="Y108" s="87"/>
      <c r="Z108" s="87"/>
      <c r="AA108" s="87"/>
      <c r="AB108" s="87"/>
    </row>
    <row r="109" spans="2:31">
      <c r="B109" s="15"/>
      <c r="C109" s="17"/>
      <c r="D109" s="17"/>
      <c r="E109" s="84"/>
      <c r="F109" s="84"/>
      <c r="M109" s="88"/>
      <c r="N109" s="88"/>
      <c r="O109" s="87"/>
      <c r="P109" s="87"/>
      <c r="Q109" s="87"/>
      <c r="R109" s="87"/>
      <c r="S109" s="87"/>
      <c r="T109" s="87"/>
      <c r="U109" s="87"/>
      <c r="V109" s="87"/>
      <c r="W109" s="89"/>
      <c r="X109" s="87"/>
      <c r="Y109" s="87"/>
      <c r="Z109" s="87"/>
      <c r="AA109" s="87"/>
      <c r="AB109" s="87"/>
    </row>
    <row r="110" spans="2:31">
      <c r="B110" s="15"/>
      <c r="C110" s="17"/>
      <c r="D110" s="17"/>
      <c r="E110" s="84"/>
      <c r="F110" s="84"/>
      <c r="M110" s="88"/>
      <c r="N110" s="88"/>
      <c r="O110" s="88"/>
      <c r="P110" s="88"/>
      <c r="Q110" s="88"/>
      <c r="R110" s="88"/>
      <c r="S110" s="88"/>
      <c r="T110" s="88"/>
      <c r="U110" s="88"/>
      <c r="Y110" s="87"/>
      <c r="Z110" s="88"/>
      <c r="AA110" s="88"/>
      <c r="AB110" s="88"/>
    </row>
    <row r="111" spans="2:31" ht="15">
      <c r="B111" s="15"/>
      <c r="C111" s="17"/>
      <c r="D111" s="17"/>
      <c r="E111" s="84"/>
      <c r="F111" s="84"/>
      <c r="M111" s="82"/>
      <c r="N111" s="14"/>
      <c r="O111" s="14"/>
      <c r="P111" s="14"/>
      <c r="Q111" s="14"/>
      <c r="R111" s="14"/>
      <c r="S111" s="14"/>
      <c r="T111" s="88"/>
      <c r="U111" s="88"/>
      <c r="Y111" s="87"/>
      <c r="Z111" s="88"/>
      <c r="AA111" s="88"/>
      <c r="AB111" s="88"/>
    </row>
    <row r="112" spans="2:31">
      <c r="B112" s="15"/>
      <c r="C112" s="17"/>
      <c r="D112" s="17"/>
      <c r="E112" s="84"/>
      <c r="F112" s="84"/>
      <c r="M112" s="88"/>
      <c r="N112" s="88"/>
      <c r="O112" s="88"/>
      <c r="P112" s="88"/>
      <c r="Q112" s="88"/>
      <c r="R112" s="88"/>
      <c r="S112" s="88"/>
      <c r="T112" s="88"/>
      <c r="U112" s="88"/>
      <c r="Y112" s="87"/>
    </row>
    <row r="113" spans="2:28" ht="15">
      <c r="B113" s="15"/>
      <c r="C113" s="17"/>
      <c r="D113" s="17"/>
      <c r="E113" s="84"/>
      <c r="F113" s="84"/>
      <c r="M113" s="14"/>
      <c r="N113" s="90"/>
      <c r="O113" s="14"/>
      <c r="P113" s="14"/>
      <c r="Q113" s="91"/>
      <c r="R113" s="91"/>
      <c r="S113" s="14"/>
      <c r="T113" s="14"/>
      <c r="U113" s="82"/>
      <c r="Y113" s="87"/>
      <c r="Z113" s="92"/>
      <c r="AA113" s="92"/>
      <c r="AB113" s="14"/>
    </row>
    <row r="114" spans="2:28" ht="15">
      <c r="B114" s="15"/>
      <c r="C114" s="17"/>
      <c r="D114" s="17"/>
      <c r="E114" s="84"/>
      <c r="F114" s="84"/>
      <c r="M114" s="14"/>
      <c r="N114" s="93"/>
      <c r="O114" s="94"/>
      <c r="P114" s="95"/>
      <c r="Q114" s="91"/>
      <c r="R114" s="91"/>
      <c r="S114" s="14"/>
      <c r="T114" s="14"/>
      <c r="U114" s="82"/>
      <c r="V114" s="14"/>
      <c r="W114" s="14"/>
      <c r="X114" s="14"/>
      <c r="Y114" s="14"/>
      <c r="Z114" s="92"/>
      <c r="AA114" s="92"/>
      <c r="AB114" s="14"/>
    </row>
    <row r="115" spans="2:28" ht="15">
      <c r="B115" s="15"/>
      <c r="C115" s="17"/>
      <c r="D115" s="17"/>
      <c r="E115" s="84"/>
      <c r="F115" s="84"/>
      <c r="M115" s="14"/>
      <c r="N115" s="94"/>
      <c r="O115" s="96"/>
      <c r="P115" s="14"/>
      <c r="Q115" s="91"/>
      <c r="R115" s="91"/>
      <c r="S115" s="14"/>
      <c r="T115" s="14"/>
      <c r="U115" s="82"/>
      <c r="V115" s="14"/>
      <c r="W115" s="14"/>
      <c r="X115" s="14"/>
      <c r="Y115" s="14"/>
      <c r="Z115" s="92"/>
      <c r="AA115" s="92"/>
      <c r="AB115" s="14"/>
    </row>
    <row r="116" spans="2:28">
      <c r="B116" s="15"/>
      <c r="C116" s="17"/>
      <c r="D116" s="17"/>
      <c r="E116" s="84"/>
      <c r="F116" s="84"/>
      <c r="M116" s="43"/>
      <c r="N116" s="43"/>
      <c r="O116" s="43"/>
      <c r="P116" s="43"/>
      <c r="Q116" s="43"/>
      <c r="R116" s="43"/>
      <c r="S116" s="43"/>
      <c r="T116" s="14"/>
      <c r="U116" s="14"/>
      <c r="V116" s="14"/>
      <c r="W116" s="14"/>
      <c r="X116" s="14"/>
      <c r="Y116" s="97"/>
      <c r="Z116" s="97"/>
      <c r="AA116" s="97"/>
      <c r="AB116" s="14"/>
    </row>
    <row r="117" spans="2:28">
      <c r="B117" s="15"/>
      <c r="C117" s="17"/>
      <c r="D117" s="17"/>
      <c r="E117" s="84"/>
      <c r="F117" s="84"/>
      <c r="M117" s="98"/>
      <c r="N117" s="14"/>
      <c r="O117" s="99"/>
      <c r="P117" s="90"/>
      <c r="Q117" s="100"/>
      <c r="R117" s="100"/>
      <c r="S117" s="90"/>
      <c r="T117" s="14"/>
      <c r="U117" s="98"/>
      <c r="V117" s="14"/>
      <c r="W117" s="14"/>
      <c r="X117" s="99"/>
      <c r="Y117" s="90"/>
      <c r="Z117" s="90"/>
      <c r="AA117" s="90"/>
      <c r="AB117" s="14"/>
    </row>
    <row r="118" spans="2:28">
      <c r="B118" s="15"/>
      <c r="C118" s="17"/>
      <c r="D118" s="17"/>
      <c r="E118" s="84"/>
      <c r="F118" s="84"/>
      <c r="M118" s="14"/>
      <c r="N118" s="14"/>
      <c r="O118" s="14"/>
      <c r="P118" s="90"/>
      <c r="Q118" s="101"/>
      <c r="R118" s="101"/>
      <c r="S118" s="90"/>
      <c r="T118" s="14"/>
      <c r="U118" s="98"/>
      <c r="V118" s="14"/>
      <c r="W118" s="14"/>
      <c r="X118" s="14"/>
      <c r="Y118" s="90"/>
      <c r="Z118" s="90"/>
      <c r="AA118" s="90"/>
      <c r="AB118" s="14"/>
    </row>
    <row r="119" spans="2:28">
      <c r="B119" s="17"/>
      <c r="C119" s="17"/>
      <c r="D119" s="17"/>
      <c r="E119" s="84"/>
      <c r="F119" s="102"/>
      <c r="M119" s="88"/>
      <c r="N119" s="88"/>
      <c r="O119" s="14"/>
      <c r="P119" s="90"/>
      <c r="Q119" s="101"/>
      <c r="R119" s="101"/>
      <c r="S119" s="90"/>
      <c r="T119" s="14"/>
      <c r="U119" s="98"/>
      <c r="V119" s="14"/>
      <c r="W119" s="14"/>
      <c r="X119" s="14"/>
      <c r="Y119" s="90"/>
      <c r="Z119" s="90"/>
      <c r="AA119" s="90"/>
      <c r="AB119" s="14"/>
    </row>
    <row r="120" spans="2:28">
      <c r="M120" s="29"/>
      <c r="N120" s="14"/>
      <c r="O120" s="14"/>
      <c r="P120" s="14"/>
      <c r="Q120" s="14"/>
      <c r="R120" s="14"/>
      <c r="S120" s="90"/>
      <c r="T120" s="14"/>
      <c r="U120" s="98"/>
      <c r="V120" s="14"/>
      <c r="W120" s="14"/>
      <c r="X120" s="14"/>
      <c r="Y120" s="90"/>
      <c r="Z120" s="90"/>
      <c r="AA120" s="90"/>
      <c r="AB120" s="14"/>
    </row>
    <row r="121" spans="2:28">
      <c r="M121" s="14"/>
      <c r="N121" s="14"/>
      <c r="O121" s="14"/>
      <c r="P121" s="14"/>
      <c r="Q121" s="101"/>
      <c r="R121" s="101"/>
      <c r="S121" s="90"/>
      <c r="T121" s="14"/>
      <c r="U121" s="98"/>
      <c r="V121" s="14"/>
      <c r="W121" s="14"/>
      <c r="X121" s="14"/>
      <c r="Y121" s="90"/>
      <c r="Z121" s="90"/>
      <c r="AA121" s="90"/>
      <c r="AB121" s="14"/>
    </row>
    <row r="122" spans="2:28">
      <c r="M122" s="14"/>
      <c r="N122" s="14"/>
      <c r="O122" s="14"/>
      <c r="P122" s="14"/>
      <c r="Q122" s="14"/>
      <c r="R122" s="14"/>
      <c r="S122" s="90"/>
      <c r="T122" s="14"/>
      <c r="U122" s="98"/>
      <c r="V122" s="14"/>
      <c r="W122" s="14"/>
      <c r="X122" s="14"/>
      <c r="Y122" s="90"/>
      <c r="Z122" s="90"/>
      <c r="AA122" s="90"/>
      <c r="AB122" s="14"/>
    </row>
    <row r="123" spans="2:28">
      <c r="M123" s="29"/>
      <c r="N123" s="14"/>
      <c r="O123" s="14"/>
      <c r="P123" s="14"/>
      <c r="Q123" s="14"/>
      <c r="R123" s="14"/>
      <c r="S123" s="90"/>
      <c r="T123" s="14"/>
      <c r="U123" s="98"/>
      <c r="V123" s="14"/>
      <c r="W123" s="14"/>
      <c r="X123" s="14"/>
      <c r="Y123" s="90"/>
      <c r="Z123" s="90"/>
      <c r="AA123" s="90"/>
      <c r="AB123" s="14"/>
    </row>
    <row r="124" spans="2:28">
      <c r="M124" s="14"/>
      <c r="N124" s="14"/>
      <c r="O124" s="14"/>
      <c r="P124" s="14"/>
      <c r="Q124" s="14"/>
      <c r="R124" s="14"/>
      <c r="S124" s="90"/>
      <c r="T124" s="14"/>
      <c r="U124" s="98"/>
      <c r="V124" s="14"/>
      <c r="W124" s="14"/>
      <c r="X124" s="14"/>
      <c r="Y124" s="90"/>
      <c r="Z124" s="90"/>
      <c r="AA124" s="90"/>
      <c r="AB124" s="14"/>
    </row>
    <row r="125" spans="2:28">
      <c r="M125" s="14"/>
      <c r="N125" s="14"/>
      <c r="O125" s="14"/>
      <c r="P125" s="14"/>
      <c r="Q125" s="14"/>
      <c r="R125" s="14"/>
      <c r="S125" s="90"/>
      <c r="T125" s="90"/>
      <c r="U125" s="14"/>
      <c r="V125" s="14"/>
      <c r="W125" s="14"/>
      <c r="X125" s="14"/>
      <c r="Y125" s="103"/>
      <c r="Z125" s="103"/>
      <c r="AA125" s="103"/>
      <c r="AB125" s="14"/>
    </row>
    <row r="126" spans="2:28">
      <c r="M126" s="14"/>
      <c r="N126" s="14"/>
      <c r="O126" s="14"/>
      <c r="P126" s="14"/>
      <c r="Q126" s="14"/>
      <c r="R126" s="14"/>
      <c r="S126" s="14"/>
      <c r="T126" s="90"/>
      <c r="U126" s="90"/>
      <c r="V126" s="90"/>
      <c r="W126" s="90"/>
      <c r="X126" s="14"/>
      <c r="Y126" s="14"/>
      <c r="Z126" s="91"/>
      <c r="AA126" s="91"/>
      <c r="AB126" s="14"/>
    </row>
    <row r="127" spans="2:28" ht="15">
      <c r="M127" s="104"/>
    </row>
    <row r="128" spans="2:28">
      <c r="M128" s="14"/>
    </row>
    <row r="129" spans="13:28">
      <c r="M129" s="14"/>
    </row>
    <row r="130" spans="13:28">
      <c r="M130" s="14"/>
    </row>
    <row r="131" spans="13:28">
      <c r="M131" s="43"/>
      <c r="N131" s="43"/>
      <c r="O131" s="43"/>
      <c r="P131" s="43"/>
      <c r="Q131" s="97"/>
      <c r="R131" s="97"/>
      <c r="S131" s="97"/>
      <c r="Y131" s="97"/>
      <c r="Z131" s="97"/>
      <c r="AA131" s="97"/>
    </row>
    <row r="132" spans="13:28">
      <c r="M132" s="98"/>
      <c r="N132" s="14"/>
      <c r="O132" s="105"/>
      <c r="P132" s="14"/>
      <c r="S132" s="90"/>
      <c r="T132" s="31"/>
      <c r="U132" s="98"/>
      <c r="V132" s="14"/>
      <c r="W132" s="14"/>
      <c r="X132" s="99"/>
      <c r="Y132" s="90"/>
      <c r="Z132" s="90"/>
      <c r="AA132" s="90"/>
    </row>
    <row r="133" spans="13:28">
      <c r="M133" s="98"/>
      <c r="N133" s="14"/>
      <c r="O133" s="105"/>
      <c r="P133" s="14"/>
      <c r="S133" s="90"/>
      <c r="T133" s="31"/>
      <c r="U133" s="98"/>
      <c r="V133" s="14"/>
      <c r="W133" s="14"/>
      <c r="Y133" s="90"/>
      <c r="Z133" s="90"/>
      <c r="AA133" s="90"/>
    </row>
    <row r="134" spans="13:28">
      <c r="M134" s="98"/>
      <c r="N134" s="14"/>
      <c r="O134" s="105"/>
      <c r="P134" s="14"/>
      <c r="S134" s="90"/>
      <c r="T134" s="106"/>
      <c r="U134" s="98"/>
      <c r="V134" s="14"/>
      <c r="W134" s="14"/>
      <c r="Y134" s="90"/>
      <c r="Z134" s="90"/>
      <c r="AA134" s="90"/>
    </row>
    <row r="135" spans="13:28">
      <c r="M135" s="98"/>
      <c r="N135" s="14"/>
      <c r="O135" s="105"/>
      <c r="P135" s="14"/>
      <c r="S135" s="90"/>
      <c r="T135" s="106"/>
      <c r="U135" s="98"/>
      <c r="V135" s="14"/>
      <c r="W135" s="14"/>
      <c r="Y135" s="90"/>
      <c r="Z135" s="90"/>
      <c r="AA135" s="90"/>
    </row>
    <row r="136" spans="13:28">
      <c r="T136" s="71"/>
      <c r="U136" s="98"/>
      <c r="V136" s="14"/>
      <c r="W136" s="14"/>
      <c r="Y136" s="90"/>
      <c r="Z136" s="90"/>
      <c r="AA136" s="90"/>
    </row>
    <row r="137" spans="13:28">
      <c r="M137" s="98"/>
      <c r="N137" s="14"/>
      <c r="Q137" s="90"/>
      <c r="R137" s="90"/>
      <c r="S137" s="90"/>
      <c r="T137" s="90"/>
      <c r="U137" s="98"/>
      <c r="V137" s="14"/>
      <c r="W137" s="14"/>
      <c r="Y137" s="90"/>
      <c r="Z137" s="90"/>
      <c r="AA137" s="90"/>
    </row>
    <row r="138" spans="13:28">
      <c r="Y138" s="103"/>
      <c r="Z138" s="103"/>
      <c r="AA138" s="103"/>
    </row>
    <row r="139" spans="13:28">
      <c r="Q139" s="98"/>
      <c r="R139" s="98"/>
      <c r="S139" s="103"/>
      <c r="T139" s="90"/>
      <c r="Z139" s="91"/>
      <c r="AA139" s="107"/>
    </row>
    <row r="140" spans="13:28"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08"/>
      <c r="AA140" s="17"/>
      <c r="AB140" s="17"/>
    </row>
    <row r="141" spans="13:28" ht="15">
      <c r="M141" s="17"/>
      <c r="N141" s="17"/>
      <c r="O141" s="17"/>
      <c r="P141" s="17"/>
      <c r="Q141" s="17"/>
      <c r="R141" s="17"/>
      <c r="S141" s="17"/>
      <c r="T141" s="17"/>
      <c r="U141" s="33"/>
      <c r="V141" s="109"/>
      <c r="W141" s="110"/>
      <c r="Y141" s="111"/>
      <c r="Z141" s="111"/>
      <c r="AA141" s="17"/>
      <c r="AB141" s="17"/>
    </row>
    <row r="142" spans="13:28">
      <c r="M142" s="17"/>
      <c r="N142" s="17"/>
      <c r="O142" s="17"/>
      <c r="P142" s="17"/>
      <c r="Q142" s="17"/>
      <c r="R142" s="17"/>
      <c r="S142" s="17"/>
      <c r="T142" s="17"/>
      <c r="U142" s="112"/>
      <c r="V142" s="23"/>
      <c r="Y142" s="113"/>
      <c r="Z142" s="113"/>
      <c r="AA142" s="17"/>
      <c r="AB142" s="17"/>
    </row>
    <row r="143" spans="13:28">
      <c r="M143" s="17"/>
      <c r="N143" s="17"/>
      <c r="O143" s="17"/>
      <c r="P143" s="17"/>
      <c r="Q143" s="17"/>
      <c r="R143" s="17"/>
      <c r="S143" s="17"/>
      <c r="T143" s="17"/>
      <c r="AA143" s="17"/>
      <c r="AB143" s="17"/>
    </row>
    <row r="144" spans="13:28">
      <c r="M144" s="17"/>
      <c r="N144" s="17"/>
      <c r="O144" s="17"/>
      <c r="P144" s="17"/>
      <c r="Q144" s="17"/>
      <c r="R144" s="17"/>
      <c r="S144" s="17"/>
      <c r="T144" s="17"/>
      <c r="U144" s="40"/>
      <c r="V144" s="34"/>
      <c r="Y144" s="113"/>
      <c r="Z144" s="113"/>
      <c r="AA144" s="17"/>
      <c r="AB144" s="17"/>
    </row>
    <row r="145" spans="13:28">
      <c r="M145" s="17"/>
      <c r="N145" s="17"/>
      <c r="O145" s="17"/>
      <c r="P145" s="17"/>
      <c r="Q145" s="17"/>
      <c r="R145" s="17"/>
      <c r="S145" s="17"/>
      <c r="T145" s="17"/>
      <c r="AA145" s="17"/>
      <c r="AB145" s="17"/>
    </row>
    <row r="146" spans="13:28">
      <c r="M146" s="17"/>
      <c r="N146" s="17"/>
      <c r="O146" s="17"/>
      <c r="P146" s="17"/>
      <c r="Q146" s="17"/>
      <c r="R146" s="17"/>
      <c r="S146" s="17"/>
      <c r="T146" s="17"/>
      <c r="U146" s="114"/>
      <c r="V146" s="115"/>
      <c r="AA146" s="17"/>
      <c r="AB146" s="17"/>
    </row>
    <row r="147" spans="13:28">
      <c r="M147" s="17"/>
      <c r="N147" s="17"/>
      <c r="O147" s="17"/>
      <c r="P147" s="17"/>
      <c r="Q147" s="17"/>
      <c r="R147" s="17"/>
      <c r="S147" s="17"/>
      <c r="T147" s="17"/>
      <c r="AA147" s="17"/>
      <c r="AB147" s="17"/>
    </row>
    <row r="148" spans="13:28">
      <c r="M148" s="17"/>
      <c r="N148" s="17"/>
      <c r="O148" s="17"/>
      <c r="P148" s="17"/>
      <c r="Q148" s="17"/>
      <c r="R148" s="17"/>
      <c r="S148" s="17"/>
      <c r="T148" s="17"/>
      <c r="U148" s="12"/>
      <c r="V148" s="13"/>
      <c r="Y148" s="113"/>
      <c r="Z148" s="113"/>
      <c r="AA148" s="17"/>
      <c r="AB148" s="17"/>
    </row>
    <row r="149" spans="13:28">
      <c r="M149" s="17"/>
      <c r="N149" s="17"/>
      <c r="O149" s="17"/>
      <c r="P149" s="17"/>
      <c r="Q149" s="17"/>
      <c r="R149" s="17"/>
      <c r="S149" s="17"/>
      <c r="T149" s="17"/>
      <c r="U149" s="109"/>
      <c r="V149" s="109"/>
      <c r="Y149" s="116"/>
      <c r="Z149" s="116"/>
      <c r="AA149" s="17"/>
      <c r="AB149" s="17"/>
    </row>
    <row r="150" spans="13:28">
      <c r="M150" s="17"/>
      <c r="N150" s="17"/>
      <c r="O150" s="17"/>
      <c r="P150" s="17"/>
      <c r="Q150" s="17"/>
      <c r="R150" s="17"/>
      <c r="S150" s="17"/>
      <c r="T150" s="17"/>
      <c r="U150" s="66"/>
      <c r="V150" s="66"/>
      <c r="W150" s="66"/>
      <c r="Y150" s="35"/>
      <c r="Z150" s="91"/>
      <c r="AA150" s="17"/>
      <c r="AB150" s="17"/>
    </row>
    <row r="151" spans="13:28">
      <c r="M151" s="17"/>
      <c r="N151" s="17"/>
      <c r="O151" s="17"/>
      <c r="P151" s="17"/>
      <c r="Q151" s="17"/>
      <c r="R151" s="17"/>
      <c r="S151" s="17"/>
      <c r="T151" s="17"/>
      <c r="U151" s="117"/>
      <c r="V151" s="117"/>
      <c r="Y151" s="116"/>
      <c r="Z151" s="116"/>
      <c r="AA151" s="17"/>
      <c r="AB151" s="17"/>
    </row>
    <row r="152" spans="13:28" ht="15">
      <c r="M152" s="17"/>
      <c r="N152" s="17"/>
      <c r="O152" s="17"/>
      <c r="P152" s="17"/>
      <c r="Q152" s="17"/>
      <c r="R152" s="17"/>
      <c r="S152" s="17"/>
      <c r="T152" s="17"/>
      <c r="U152" s="33"/>
      <c r="V152" s="118"/>
      <c r="W152" s="109"/>
      <c r="Y152" s="226"/>
      <c r="Z152" s="226"/>
      <c r="AA152" s="17"/>
      <c r="AB152" s="17"/>
    </row>
    <row r="153" spans="13:28">
      <c r="M153" s="17"/>
      <c r="N153" s="17"/>
      <c r="O153" s="17"/>
      <c r="P153" s="17"/>
      <c r="Q153" s="17"/>
      <c r="R153" s="17"/>
      <c r="S153" s="17"/>
      <c r="T153" s="17"/>
      <c r="U153" s="25"/>
      <c r="V153" s="22"/>
      <c r="X153" s="119"/>
      <c r="Y153" s="113"/>
      <c r="Z153" s="113"/>
      <c r="AA153" s="17"/>
      <c r="AB153" s="17"/>
    </row>
    <row r="154" spans="13:28">
      <c r="M154" s="17"/>
      <c r="N154" s="17"/>
      <c r="O154" s="17"/>
      <c r="P154" s="17"/>
      <c r="Q154" s="17"/>
      <c r="R154" s="17"/>
      <c r="S154" s="17"/>
      <c r="T154" s="17"/>
      <c r="U154" s="25"/>
      <c r="V154" s="22"/>
      <c r="X154" s="119"/>
      <c r="Y154" s="113"/>
      <c r="Z154" s="113"/>
      <c r="AA154" s="17"/>
      <c r="AB154" s="17"/>
    </row>
    <row r="155" spans="13:28">
      <c r="M155" s="17"/>
      <c r="N155" s="17"/>
      <c r="O155" s="17"/>
      <c r="P155" s="17"/>
      <c r="Q155" s="17"/>
      <c r="R155" s="17"/>
      <c r="S155" s="17"/>
      <c r="T155" s="17"/>
      <c r="U155" s="25"/>
      <c r="V155" s="22"/>
      <c r="X155" s="119"/>
      <c r="Y155" s="113"/>
      <c r="Z155" s="113"/>
      <c r="AA155" s="17"/>
      <c r="AB155" s="17"/>
    </row>
    <row r="156" spans="13:28">
      <c r="M156" s="17"/>
      <c r="N156" s="17"/>
      <c r="O156" s="17"/>
      <c r="P156" s="17"/>
      <c r="Q156" s="17"/>
      <c r="R156" s="17"/>
      <c r="S156" s="17"/>
      <c r="T156" s="17"/>
      <c r="U156" s="25"/>
      <c r="V156" s="22"/>
      <c r="X156" s="120"/>
      <c r="Y156" s="113"/>
      <c r="Z156" s="113"/>
      <c r="AA156" s="17"/>
      <c r="AB156" s="17"/>
    </row>
    <row r="157" spans="13:28">
      <c r="M157" s="17"/>
      <c r="N157" s="17"/>
      <c r="O157" s="17"/>
      <c r="P157" s="17"/>
      <c r="Q157" s="17"/>
      <c r="R157" s="17"/>
      <c r="S157" s="17"/>
      <c r="T157" s="17"/>
      <c r="U157" s="25"/>
      <c r="V157" s="22"/>
      <c r="X157" s="121"/>
      <c r="Y157" s="113"/>
      <c r="Z157" s="113"/>
      <c r="AA157" s="17"/>
      <c r="AB157" s="17"/>
    </row>
    <row r="158" spans="13:28">
      <c r="M158" s="17"/>
      <c r="N158" s="17"/>
      <c r="O158" s="17"/>
      <c r="P158" s="17"/>
      <c r="Q158" s="17"/>
      <c r="R158" s="17"/>
      <c r="S158" s="17"/>
      <c r="T158" s="17"/>
      <c r="U158" s="25"/>
      <c r="V158" s="22"/>
      <c r="X158" s="120"/>
      <c r="Y158" s="113"/>
      <c r="Z158" s="113"/>
      <c r="AA158" s="17"/>
      <c r="AB158" s="17"/>
    </row>
    <row r="159" spans="13:28">
      <c r="M159" s="17"/>
      <c r="N159" s="17"/>
      <c r="O159" s="17"/>
      <c r="P159" s="17"/>
      <c r="Q159" s="17"/>
      <c r="R159" s="17"/>
      <c r="S159" s="17"/>
      <c r="T159" s="17"/>
      <c r="U159" s="25"/>
      <c r="V159" s="22"/>
      <c r="X159" s="120"/>
      <c r="Y159" s="113"/>
      <c r="Z159" s="113"/>
      <c r="AA159" s="17"/>
      <c r="AB159" s="17"/>
    </row>
    <row r="160" spans="13:28">
      <c r="M160" s="17"/>
      <c r="N160" s="17"/>
      <c r="O160" s="17"/>
      <c r="P160" s="17"/>
      <c r="Q160" s="17"/>
      <c r="R160" s="17"/>
      <c r="S160" s="17"/>
      <c r="T160" s="17"/>
      <c r="U160" s="25"/>
      <c r="V160" s="22"/>
      <c r="X160" s="120"/>
      <c r="Y160" s="113"/>
      <c r="Z160" s="113"/>
      <c r="AA160" s="17"/>
      <c r="AB160" s="17"/>
    </row>
    <row r="161" spans="13:28">
      <c r="M161" s="17"/>
      <c r="N161" s="17"/>
      <c r="O161" s="17"/>
      <c r="P161" s="17"/>
      <c r="Q161" s="17"/>
      <c r="R161" s="17"/>
      <c r="S161" s="17"/>
      <c r="T161" s="17"/>
      <c r="U161" s="25"/>
      <c r="V161" s="22"/>
      <c r="X161" s="120"/>
      <c r="Y161" s="113"/>
      <c r="Z161" s="113"/>
      <c r="AA161" s="17"/>
      <c r="AB161" s="17"/>
    </row>
    <row r="162" spans="13:28">
      <c r="M162" s="17"/>
      <c r="N162" s="17"/>
      <c r="O162" s="17"/>
      <c r="P162" s="17"/>
      <c r="Q162" s="17"/>
      <c r="R162" s="17"/>
      <c r="S162" s="17"/>
      <c r="T162" s="17"/>
      <c r="U162" s="25"/>
      <c r="V162" s="22"/>
      <c r="X162" s="120"/>
      <c r="Y162" s="113"/>
      <c r="Z162" s="113"/>
      <c r="AA162" s="17"/>
      <c r="AB162" s="17"/>
    </row>
    <row r="163" spans="13:28">
      <c r="M163" s="17"/>
      <c r="N163" s="17"/>
      <c r="O163" s="17"/>
      <c r="P163" s="17"/>
      <c r="Q163" s="17"/>
      <c r="R163" s="17"/>
      <c r="S163" s="17"/>
      <c r="T163" s="17"/>
      <c r="U163" s="25"/>
      <c r="V163" s="22"/>
      <c r="X163" s="120"/>
      <c r="Y163" s="113"/>
      <c r="Z163" s="113"/>
      <c r="AA163" s="17"/>
      <c r="AB163" s="17"/>
    </row>
    <row r="164" spans="13:28">
      <c r="M164" s="17"/>
      <c r="N164" s="17"/>
      <c r="O164" s="17"/>
      <c r="P164" s="17"/>
      <c r="Q164" s="17"/>
      <c r="R164" s="17"/>
      <c r="S164" s="17"/>
      <c r="T164" s="17"/>
      <c r="U164" s="25"/>
      <c r="V164" s="22"/>
      <c r="X164" s="120"/>
      <c r="Y164" s="113"/>
      <c r="Z164" s="113"/>
      <c r="AA164" s="17"/>
      <c r="AB164" s="17"/>
    </row>
    <row r="165" spans="13:28">
      <c r="M165" s="17"/>
      <c r="N165" s="17"/>
      <c r="O165" s="17"/>
      <c r="P165" s="17"/>
      <c r="Q165" s="17"/>
      <c r="R165" s="17"/>
      <c r="S165" s="17"/>
      <c r="T165" s="17"/>
      <c r="U165" s="25"/>
      <c r="V165" s="22"/>
      <c r="X165" s="121"/>
      <c r="Y165" s="113"/>
      <c r="Z165" s="113"/>
      <c r="AA165" s="17"/>
      <c r="AB165" s="17"/>
    </row>
    <row r="166" spans="13:28">
      <c r="M166" s="17"/>
      <c r="N166" s="17"/>
      <c r="O166" s="17"/>
      <c r="P166" s="17"/>
      <c r="Q166" s="17"/>
      <c r="R166" s="17"/>
      <c r="S166" s="17"/>
      <c r="T166" s="122"/>
      <c r="U166" s="25"/>
      <c r="V166" s="22"/>
      <c r="X166" s="121"/>
      <c r="Y166" s="123"/>
      <c r="Z166" s="113"/>
      <c r="AA166" s="17"/>
      <c r="AB166" s="17"/>
    </row>
    <row r="167" spans="13:28">
      <c r="M167" s="17"/>
      <c r="N167" s="17"/>
      <c r="O167" s="17"/>
      <c r="P167" s="17"/>
      <c r="Q167" s="17"/>
      <c r="R167" s="17"/>
      <c r="S167" s="17"/>
      <c r="T167" s="122"/>
      <c r="U167" s="25"/>
      <c r="V167" s="22"/>
      <c r="X167" s="121"/>
      <c r="Y167" s="123"/>
      <c r="Z167" s="113"/>
      <c r="AA167" s="17"/>
      <c r="AB167" s="17"/>
    </row>
    <row r="168" spans="13:28">
      <c r="M168" s="17"/>
      <c r="N168" s="17"/>
      <c r="O168" s="17"/>
      <c r="P168" s="17"/>
      <c r="Q168" s="17"/>
      <c r="R168" s="17"/>
      <c r="S168" s="17"/>
      <c r="T168" s="122"/>
      <c r="U168" s="25"/>
      <c r="V168" s="22"/>
      <c r="X168" s="121"/>
      <c r="Y168" s="113"/>
      <c r="Z168" s="113"/>
      <c r="AA168" s="17"/>
      <c r="AB168" s="17"/>
    </row>
    <row r="169" spans="13:28">
      <c r="M169" s="17"/>
      <c r="N169" s="17"/>
      <c r="O169" s="17"/>
      <c r="P169" s="17"/>
      <c r="Q169" s="17"/>
      <c r="R169" s="17"/>
      <c r="S169" s="17"/>
      <c r="T169" s="17"/>
      <c r="U169" s="25"/>
      <c r="V169" s="23"/>
      <c r="X169" s="121"/>
      <c r="Y169" s="113"/>
      <c r="Z169" s="113"/>
      <c r="AA169" s="17"/>
      <c r="AB169" s="17"/>
    </row>
    <row r="170" spans="13:28">
      <c r="M170" s="17"/>
      <c r="N170" s="17"/>
      <c r="O170" s="17"/>
      <c r="P170" s="17"/>
      <c r="Q170" s="17"/>
      <c r="R170" s="17"/>
      <c r="S170" s="17"/>
      <c r="T170" s="17"/>
      <c r="U170" s="25"/>
      <c r="V170" s="22"/>
      <c r="X170" s="121"/>
      <c r="Y170" s="113"/>
      <c r="Z170" s="113"/>
      <c r="AA170" s="17"/>
      <c r="AB170" s="17"/>
    </row>
    <row r="171" spans="13:28">
      <c r="M171" s="17"/>
      <c r="N171" s="17"/>
      <c r="O171" s="17"/>
      <c r="P171" s="17"/>
      <c r="Q171" s="17"/>
      <c r="R171" s="17"/>
      <c r="S171" s="17"/>
      <c r="T171" s="48"/>
      <c r="U171" s="25"/>
      <c r="V171" s="22"/>
      <c r="X171" s="121"/>
      <c r="Y171" s="113"/>
      <c r="Z171" s="113"/>
      <c r="AA171" s="17"/>
      <c r="AB171" s="17"/>
    </row>
    <row r="172" spans="13:28">
      <c r="M172" s="17"/>
      <c r="N172" s="17"/>
      <c r="O172" s="17"/>
      <c r="P172" s="17"/>
      <c r="Q172" s="17"/>
      <c r="R172" s="17"/>
      <c r="S172" s="17"/>
      <c r="T172" s="48"/>
      <c r="U172" s="25"/>
      <c r="V172" s="22"/>
      <c r="X172" s="121"/>
      <c r="Y172" s="113"/>
      <c r="Z172" s="113"/>
      <c r="AA172" s="17"/>
      <c r="AB172" s="17"/>
    </row>
    <row r="173" spans="13:28">
      <c r="M173" s="17"/>
      <c r="N173" s="17"/>
      <c r="O173" s="17"/>
      <c r="P173" s="17"/>
      <c r="Q173" s="17"/>
      <c r="R173" s="17"/>
      <c r="S173" s="17"/>
      <c r="T173" s="17"/>
      <c r="U173" s="25"/>
      <c r="V173" s="22"/>
      <c r="X173" s="121"/>
      <c r="Y173" s="113"/>
      <c r="Z173" s="113"/>
      <c r="AA173" s="17"/>
      <c r="AB173" s="17"/>
    </row>
    <row r="174" spans="13:28">
      <c r="M174" s="17"/>
      <c r="N174" s="17"/>
      <c r="O174" s="17"/>
      <c r="P174" s="17"/>
      <c r="Q174" s="17"/>
      <c r="R174" s="17"/>
      <c r="S174" s="17"/>
      <c r="T174" s="17"/>
      <c r="U174" s="25"/>
      <c r="V174" s="22"/>
      <c r="X174" s="121"/>
      <c r="Y174" s="113"/>
      <c r="Z174" s="113"/>
      <c r="AA174" s="17"/>
      <c r="AB174" s="17"/>
    </row>
    <row r="175" spans="13:28">
      <c r="M175" s="17"/>
      <c r="N175" s="17"/>
      <c r="O175" s="17"/>
      <c r="P175" s="17"/>
      <c r="Q175" s="17"/>
      <c r="R175" s="17"/>
      <c r="S175" s="17"/>
      <c r="T175" s="28"/>
      <c r="U175" s="25"/>
      <c r="V175" s="22"/>
      <c r="X175" s="121"/>
      <c r="Y175" s="113"/>
      <c r="Z175" s="113"/>
      <c r="AA175" s="17"/>
      <c r="AB175" s="17"/>
    </row>
    <row r="176" spans="13:28">
      <c r="M176" s="17"/>
      <c r="N176" s="17"/>
      <c r="O176" s="17"/>
      <c r="P176" s="17"/>
      <c r="Q176" s="17"/>
      <c r="R176" s="17"/>
      <c r="S176" s="17"/>
      <c r="T176" s="122"/>
      <c r="U176" s="25"/>
      <c r="V176" s="22"/>
      <c r="X176" s="121"/>
      <c r="Y176" s="123"/>
      <c r="Z176" s="113"/>
      <c r="AA176" s="17"/>
      <c r="AB176" s="17"/>
    </row>
    <row r="177" spans="13:28">
      <c r="M177" s="17"/>
      <c r="N177" s="17"/>
      <c r="O177" s="17"/>
      <c r="P177" s="17"/>
      <c r="Q177" s="17"/>
      <c r="R177" s="17"/>
      <c r="S177" s="17"/>
      <c r="T177" s="122"/>
      <c r="U177" s="25"/>
      <c r="V177" s="22"/>
      <c r="X177" s="121"/>
      <c r="Y177" s="123"/>
      <c r="Z177" s="113"/>
      <c r="AA177" s="17"/>
      <c r="AB177" s="17"/>
    </row>
    <row r="178" spans="13:28">
      <c r="M178" s="17"/>
      <c r="N178" s="17"/>
      <c r="O178" s="17"/>
      <c r="P178" s="17"/>
      <c r="Q178" s="17"/>
      <c r="R178" s="17"/>
      <c r="S178" s="17"/>
      <c r="T178" s="122"/>
      <c r="U178" s="25"/>
      <c r="V178" s="22"/>
      <c r="X178" s="121"/>
      <c r="Y178" s="123"/>
      <c r="Z178" s="113"/>
      <c r="AA178" s="17"/>
      <c r="AB178" s="17"/>
    </row>
    <row r="179" spans="13:28">
      <c r="M179" s="17"/>
      <c r="N179" s="17"/>
      <c r="O179" s="17"/>
      <c r="P179" s="17"/>
      <c r="Q179" s="17"/>
      <c r="R179" s="17"/>
      <c r="S179" s="17"/>
      <c r="T179" s="17"/>
      <c r="U179" s="25"/>
      <c r="V179" s="22"/>
      <c r="X179" s="121"/>
      <c r="Y179" s="113"/>
      <c r="Z179" s="113"/>
      <c r="AA179" s="17"/>
      <c r="AB179" s="17"/>
    </row>
    <row r="180" spans="13:28">
      <c r="M180" s="17"/>
      <c r="N180" s="17"/>
      <c r="O180" s="17"/>
      <c r="P180" s="17"/>
      <c r="Q180" s="17"/>
      <c r="R180" s="17"/>
      <c r="S180" s="17"/>
      <c r="T180" s="17"/>
      <c r="U180" s="25"/>
      <c r="V180" s="22"/>
      <c r="X180" s="120"/>
      <c r="Y180" s="113"/>
      <c r="Z180" s="113"/>
      <c r="AA180" s="91"/>
      <c r="AB180" s="17"/>
    </row>
    <row r="181" spans="13:28">
      <c r="M181" s="17"/>
      <c r="N181" s="17"/>
      <c r="O181" s="17"/>
      <c r="P181" s="17"/>
      <c r="Q181" s="17"/>
      <c r="R181" s="17"/>
      <c r="S181" s="17"/>
      <c r="T181" s="17"/>
      <c r="U181" s="25"/>
      <c r="V181" s="22"/>
      <c r="X181" s="120"/>
      <c r="Y181" s="113"/>
      <c r="Z181" s="113"/>
      <c r="AA181" s="17"/>
      <c r="AB181" s="17"/>
    </row>
    <row r="182" spans="13:28">
      <c r="M182" s="17"/>
      <c r="N182" s="17"/>
      <c r="O182" s="17"/>
      <c r="P182" s="17"/>
      <c r="Q182" s="17"/>
      <c r="R182" s="17"/>
      <c r="S182" s="17"/>
      <c r="T182" s="17"/>
      <c r="U182" s="25"/>
      <c r="V182" s="22"/>
      <c r="X182" s="120"/>
      <c r="Y182" s="113"/>
      <c r="Z182" s="113"/>
      <c r="AA182" s="17"/>
      <c r="AB182" s="17"/>
    </row>
    <row r="183" spans="13:28">
      <c r="M183" s="17"/>
      <c r="N183" s="17"/>
      <c r="O183" s="17"/>
      <c r="P183" s="17"/>
      <c r="Q183" s="17"/>
      <c r="R183" s="17"/>
      <c r="S183" s="17"/>
      <c r="T183" s="48"/>
      <c r="U183" s="29"/>
      <c r="X183" s="120"/>
      <c r="Y183" s="113"/>
      <c r="Z183" s="113"/>
      <c r="AA183" s="17"/>
      <c r="AB183" s="17"/>
    </row>
    <row r="184" spans="13:28">
      <c r="M184" s="17"/>
      <c r="N184" s="17"/>
      <c r="O184" s="17"/>
      <c r="P184" s="17"/>
      <c r="Q184" s="17"/>
      <c r="R184" s="17"/>
      <c r="S184" s="17"/>
      <c r="T184" s="17"/>
      <c r="U184" s="25"/>
      <c r="V184" s="22"/>
      <c r="X184" s="120"/>
      <c r="Y184" s="113"/>
      <c r="Z184" s="113"/>
      <c r="AA184" s="17"/>
      <c r="AB184" s="17"/>
    </row>
    <row r="185" spans="13:28">
      <c r="M185" s="17"/>
      <c r="N185" s="17"/>
      <c r="O185" s="17"/>
      <c r="P185" s="17"/>
      <c r="Q185" s="17"/>
      <c r="R185" s="17"/>
      <c r="S185" s="17"/>
      <c r="T185" s="17"/>
      <c r="U185" s="112"/>
      <c r="V185" s="23"/>
      <c r="Y185" s="113"/>
      <c r="Z185" s="113"/>
      <c r="AA185" s="17"/>
      <c r="AB185" s="17"/>
    </row>
    <row r="186" spans="13:28">
      <c r="M186" s="17"/>
      <c r="N186" s="17"/>
      <c r="O186" s="17"/>
      <c r="P186" s="17"/>
      <c r="Q186" s="17"/>
      <c r="R186" s="17"/>
      <c r="S186" s="17"/>
      <c r="T186" s="17"/>
      <c r="U186" s="112"/>
      <c r="V186" s="23"/>
      <c r="Y186" s="113"/>
      <c r="Z186" s="113"/>
      <c r="AA186" s="124"/>
      <c r="AB186" s="17"/>
    </row>
    <row r="187" spans="13:28">
      <c r="M187" s="17"/>
      <c r="N187" s="17"/>
      <c r="O187" s="17"/>
      <c r="P187" s="17"/>
      <c r="Q187" s="17"/>
      <c r="R187" s="17"/>
      <c r="S187" s="17"/>
      <c r="T187" s="17"/>
      <c r="U187" s="117"/>
      <c r="V187" s="117"/>
      <c r="Y187" s="116"/>
      <c r="Z187" s="116"/>
      <c r="AA187" s="17"/>
      <c r="AB187" s="17"/>
    </row>
    <row r="188" spans="13:28">
      <c r="M188" s="17"/>
      <c r="N188" s="17"/>
      <c r="O188" s="17"/>
      <c r="P188" s="17"/>
      <c r="Q188" s="17"/>
      <c r="R188" s="17"/>
      <c r="S188" s="17"/>
      <c r="T188" s="17"/>
      <c r="U188" s="66"/>
      <c r="V188" s="36"/>
      <c r="Y188" s="67"/>
      <c r="Z188" s="91"/>
      <c r="AA188" s="17"/>
      <c r="AB188" s="17"/>
    </row>
    <row r="189" spans="13:28">
      <c r="M189" s="17"/>
      <c r="N189" s="17"/>
      <c r="O189" s="17"/>
      <c r="P189" s="17"/>
      <c r="Q189" s="17"/>
      <c r="R189" s="17"/>
      <c r="S189" s="17"/>
      <c r="T189" s="17"/>
      <c r="U189" s="109"/>
      <c r="V189" s="109"/>
      <c r="W189" s="125"/>
      <c r="Y189" s="126"/>
      <c r="Z189" s="127"/>
      <c r="AA189" s="17"/>
      <c r="AB189" s="17"/>
    </row>
    <row r="190" spans="13:28" ht="15">
      <c r="M190" s="17"/>
      <c r="N190" s="17"/>
      <c r="O190" s="17"/>
      <c r="P190" s="17"/>
      <c r="Q190" s="17"/>
      <c r="R190" s="17"/>
      <c r="S190" s="17"/>
      <c r="T190" s="17"/>
      <c r="U190" s="104"/>
      <c r="W190" s="71"/>
      <c r="X190" s="47"/>
      <c r="Y190" s="126"/>
      <c r="Z190" s="128"/>
      <c r="AA190" s="17"/>
      <c r="AB190" s="17"/>
    </row>
    <row r="191" spans="13:28" ht="15">
      <c r="M191" s="17"/>
      <c r="N191" s="17"/>
      <c r="O191" s="17"/>
      <c r="P191" s="17"/>
      <c r="Q191" s="17"/>
      <c r="R191" s="17"/>
      <c r="S191" s="17"/>
      <c r="T191" s="17"/>
      <c r="U191" s="33"/>
      <c r="V191" s="109"/>
      <c r="W191" s="109"/>
      <c r="Y191" s="226"/>
      <c r="Z191" s="226"/>
      <c r="AA191" s="17"/>
      <c r="AB191" s="17"/>
    </row>
    <row r="192" spans="13:28">
      <c r="M192" s="17"/>
      <c r="N192" s="17"/>
      <c r="O192" s="17"/>
      <c r="P192" s="17"/>
      <c r="Q192" s="17"/>
      <c r="R192" s="17"/>
      <c r="S192" s="17"/>
      <c r="T192" s="17"/>
      <c r="U192" s="112"/>
      <c r="V192" s="23"/>
      <c r="Y192" s="113"/>
      <c r="Z192" s="113"/>
      <c r="AA192" s="17"/>
      <c r="AB192" s="17"/>
    </row>
    <row r="193" spans="13:28">
      <c r="M193" s="17"/>
      <c r="N193" s="17"/>
      <c r="O193" s="17"/>
      <c r="P193" s="17"/>
      <c r="Q193" s="17"/>
      <c r="R193" s="17"/>
      <c r="S193" s="17"/>
      <c r="T193" s="17"/>
      <c r="U193" s="40"/>
      <c r="V193" s="34"/>
      <c r="Y193" s="113"/>
      <c r="Z193" s="113"/>
      <c r="AA193" s="17"/>
      <c r="AB193" s="17"/>
    </row>
    <row r="194" spans="13:28">
      <c r="M194" s="17"/>
      <c r="N194" s="17"/>
      <c r="O194" s="17"/>
      <c r="P194" s="17"/>
      <c r="Q194" s="17"/>
      <c r="R194" s="17"/>
      <c r="S194" s="17"/>
      <c r="T194" s="17"/>
      <c r="U194" s="12"/>
      <c r="V194" s="13"/>
      <c r="Y194" s="113"/>
      <c r="Z194" s="113"/>
      <c r="AA194" s="17"/>
      <c r="AB194" s="17"/>
    </row>
    <row r="195" spans="13:28">
      <c r="M195" s="17"/>
      <c r="N195" s="17"/>
      <c r="O195" s="17"/>
      <c r="P195" s="17"/>
      <c r="Q195" s="17"/>
      <c r="R195" s="17"/>
      <c r="S195" s="17"/>
      <c r="T195" s="17"/>
      <c r="U195" s="109"/>
      <c r="V195" s="109"/>
      <c r="Y195" s="116"/>
      <c r="Z195" s="116"/>
      <c r="AA195" s="17"/>
      <c r="AB195" s="17"/>
    </row>
    <row r="196" spans="13:28">
      <c r="M196" s="17"/>
      <c r="N196" s="17"/>
      <c r="O196" s="17"/>
      <c r="P196" s="17"/>
      <c r="Q196" s="17"/>
      <c r="R196" s="17"/>
      <c r="S196" s="17"/>
      <c r="T196" s="17"/>
      <c r="U196" s="66"/>
      <c r="V196" s="66"/>
      <c r="W196" s="66"/>
      <c r="Y196" s="35"/>
      <c r="Z196" s="91"/>
      <c r="AA196" s="17"/>
      <c r="AB196" s="17"/>
    </row>
    <row r="197" spans="13:28">
      <c r="M197" s="17"/>
      <c r="N197" s="17"/>
      <c r="O197" s="17"/>
      <c r="P197" s="17"/>
      <c r="Q197" s="17"/>
      <c r="R197" s="17"/>
      <c r="S197" s="17"/>
      <c r="T197" s="17"/>
      <c r="U197" s="117"/>
      <c r="V197" s="117"/>
      <c r="Y197" s="116"/>
      <c r="Z197" s="116"/>
      <c r="AA197" s="17"/>
      <c r="AB197" s="17"/>
    </row>
    <row r="198" spans="13:28">
      <c r="M198" s="17"/>
      <c r="N198" s="17"/>
      <c r="O198" s="17"/>
      <c r="P198" s="17"/>
      <c r="Q198" s="17"/>
      <c r="R198" s="17"/>
      <c r="S198" s="17"/>
      <c r="T198" s="17"/>
      <c r="U198" s="109"/>
      <c r="V198" s="109"/>
      <c r="W198" s="109"/>
      <c r="Y198" s="116"/>
      <c r="Z198" s="129"/>
      <c r="AA198" s="17"/>
      <c r="AB198" s="17"/>
    </row>
    <row r="199" spans="13:28" ht="15">
      <c r="M199" s="17"/>
      <c r="N199" s="17"/>
      <c r="O199" s="17"/>
      <c r="P199" s="17"/>
      <c r="Q199" s="17"/>
      <c r="R199" s="17"/>
      <c r="S199" s="17"/>
      <c r="T199" s="17"/>
      <c r="U199" s="37"/>
      <c r="V199" s="118"/>
      <c r="W199" s="109"/>
      <c r="Y199" s="226"/>
      <c r="Z199" s="226"/>
      <c r="AA199" s="17"/>
      <c r="AB199" s="17"/>
    </row>
    <row r="200" spans="13:28">
      <c r="M200" s="17"/>
      <c r="N200" s="17"/>
      <c r="O200" s="17"/>
      <c r="P200" s="17"/>
      <c r="Q200" s="17"/>
      <c r="R200" s="17"/>
      <c r="S200" s="17"/>
      <c r="T200" s="17"/>
      <c r="U200" s="25"/>
      <c r="V200" s="22"/>
      <c r="Y200" s="113"/>
      <c r="Z200" s="113"/>
      <c r="AA200" s="17"/>
      <c r="AB200" s="17"/>
    </row>
    <row r="201" spans="13:28">
      <c r="M201" s="17"/>
      <c r="N201" s="17"/>
      <c r="O201" s="17"/>
      <c r="P201" s="17"/>
      <c r="Q201" s="17"/>
      <c r="R201" s="17"/>
      <c r="S201" s="17"/>
      <c r="T201" s="17"/>
      <c r="U201" s="25"/>
      <c r="V201" s="22"/>
      <c r="Y201" s="113"/>
      <c r="Z201" s="113"/>
      <c r="AA201" s="17"/>
      <c r="AB201" s="17"/>
    </row>
    <row r="202" spans="13:28">
      <c r="M202" s="17"/>
      <c r="N202" s="17"/>
      <c r="O202" s="17"/>
      <c r="P202" s="17"/>
      <c r="Q202" s="17"/>
      <c r="R202" s="17"/>
      <c r="S202" s="17"/>
      <c r="T202" s="17"/>
      <c r="U202" s="42"/>
      <c r="V202" s="22"/>
      <c r="Y202" s="113"/>
      <c r="Z202" s="113"/>
      <c r="AA202" s="17"/>
      <c r="AB202" s="17"/>
    </row>
    <row r="203" spans="13:28">
      <c r="M203" s="17"/>
      <c r="N203" s="17"/>
      <c r="O203" s="17"/>
      <c r="P203" s="17"/>
      <c r="Q203" s="17"/>
      <c r="R203" s="17"/>
      <c r="S203" s="17"/>
      <c r="T203" s="17"/>
      <c r="U203" s="109"/>
      <c r="V203" s="109"/>
      <c r="Y203" s="116"/>
      <c r="Z203" s="116"/>
      <c r="AA203" s="17"/>
      <c r="AB203" s="17"/>
    </row>
    <row r="204" spans="13:28">
      <c r="M204" s="17"/>
      <c r="N204" s="17"/>
      <c r="O204" s="17"/>
      <c r="P204" s="17"/>
      <c r="Q204" s="17"/>
      <c r="R204" s="17"/>
      <c r="S204" s="17"/>
      <c r="T204" s="17"/>
      <c r="U204" s="66"/>
      <c r="V204" s="66"/>
      <c r="W204" s="66"/>
      <c r="Y204" s="35"/>
      <c r="Z204" s="91"/>
      <c r="AA204" s="17"/>
      <c r="AB204" s="17"/>
    </row>
    <row r="205" spans="13:28">
      <c r="M205" s="17"/>
      <c r="N205" s="17"/>
      <c r="O205" s="17"/>
      <c r="P205" s="17"/>
      <c r="Q205" s="17"/>
      <c r="R205" s="17"/>
      <c r="S205" s="17"/>
      <c r="T205" s="17"/>
      <c r="U205" s="109"/>
      <c r="V205" s="109"/>
      <c r="W205" s="109"/>
      <c r="Y205" s="129"/>
      <c r="Z205" s="130"/>
      <c r="AA205" s="17"/>
      <c r="AB205" s="17"/>
    </row>
    <row r="206" spans="13:28">
      <c r="M206" s="17"/>
      <c r="N206" s="17"/>
      <c r="O206" s="17"/>
      <c r="P206" s="17"/>
      <c r="Q206" s="17"/>
      <c r="R206" s="17"/>
      <c r="S206" s="17"/>
      <c r="T206" s="17"/>
      <c r="U206" s="109"/>
      <c r="V206" s="109"/>
      <c r="W206" s="109"/>
      <c r="Y206" s="116"/>
      <c r="Z206" s="129"/>
      <c r="AA206" s="17"/>
      <c r="AB206" s="17"/>
    </row>
    <row r="207" spans="13:28" ht="15">
      <c r="M207" s="17"/>
      <c r="N207" s="17"/>
      <c r="O207" s="17"/>
      <c r="P207" s="17"/>
      <c r="Q207" s="17"/>
      <c r="R207" s="17"/>
      <c r="S207" s="17"/>
      <c r="T207" s="17"/>
      <c r="U207" s="37"/>
      <c r="V207" s="118"/>
      <c r="W207" s="109"/>
      <c r="X207" s="131"/>
      <c r="Y207" s="226"/>
      <c r="Z207" s="226"/>
      <c r="AA207" s="17"/>
      <c r="AB207" s="17"/>
    </row>
    <row r="208" spans="13:28">
      <c r="M208" s="17"/>
      <c r="N208" s="17"/>
      <c r="O208" s="17"/>
      <c r="P208" s="17"/>
      <c r="Q208" s="17"/>
      <c r="R208" s="17"/>
      <c r="S208" s="17"/>
      <c r="T208" s="17"/>
      <c r="U208" s="25"/>
      <c r="V208" s="22"/>
      <c r="Y208" s="113"/>
      <c r="Z208" s="113"/>
      <c r="AA208" s="17"/>
      <c r="AB208" s="17"/>
    </row>
    <row r="209" spans="13:28">
      <c r="M209" s="17"/>
      <c r="N209" s="17"/>
      <c r="O209" s="17"/>
      <c r="P209" s="17"/>
      <c r="Q209" s="17"/>
      <c r="R209" s="17"/>
      <c r="S209" s="17"/>
      <c r="T209" s="17"/>
      <c r="U209" s="25"/>
      <c r="V209" s="22"/>
      <c r="Y209" s="113"/>
      <c r="Z209" s="113"/>
      <c r="AA209" s="17"/>
      <c r="AB209" s="17"/>
    </row>
    <row r="210" spans="13:28">
      <c r="M210" s="17"/>
      <c r="N210" s="17"/>
      <c r="O210" s="17"/>
      <c r="P210" s="17"/>
      <c r="Q210" s="17"/>
      <c r="R210" s="17"/>
      <c r="S210" s="17"/>
      <c r="T210" s="17"/>
      <c r="U210" s="42"/>
      <c r="V210" s="22"/>
      <c r="Y210" s="113"/>
      <c r="Z210" s="113"/>
      <c r="AA210" s="17"/>
      <c r="AB210" s="17"/>
    </row>
    <row r="211" spans="13:28">
      <c r="M211" s="17"/>
      <c r="N211" s="17"/>
      <c r="O211" s="17"/>
      <c r="P211" s="17"/>
      <c r="Q211" s="17"/>
      <c r="R211" s="17"/>
      <c r="S211" s="17"/>
      <c r="T211" s="17"/>
      <c r="U211" s="109"/>
      <c r="V211" s="109"/>
      <c r="Y211" s="116"/>
      <c r="Z211" s="116"/>
      <c r="AA211" s="17"/>
      <c r="AB211" s="17"/>
    </row>
    <row r="212" spans="13:28">
      <c r="M212" s="17"/>
      <c r="N212" s="17"/>
      <c r="O212" s="17"/>
      <c r="P212" s="17"/>
      <c r="Q212" s="17"/>
      <c r="R212" s="17"/>
      <c r="S212" s="17"/>
      <c r="T212" s="17"/>
      <c r="U212" s="66"/>
      <c r="V212" s="66"/>
      <c r="W212" s="66"/>
      <c r="Y212" s="35"/>
      <c r="Z212" s="91"/>
      <c r="AA212" s="17"/>
      <c r="AB212" s="17"/>
    </row>
    <row r="213" spans="13:28">
      <c r="M213" s="17"/>
      <c r="N213" s="17"/>
      <c r="O213" s="17"/>
      <c r="P213" s="17"/>
      <c r="Q213" s="17"/>
      <c r="R213" s="17"/>
      <c r="S213" s="17"/>
      <c r="T213" s="17"/>
      <c r="U213" s="109"/>
      <c r="V213" s="109"/>
      <c r="W213" s="109"/>
      <c r="Y213" s="129"/>
      <c r="Z213" s="130"/>
      <c r="AA213" s="17"/>
      <c r="AB213" s="17"/>
    </row>
    <row r="215" spans="13:28" ht="15">
      <c r="U215" s="37"/>
    </row>
    <row r="216" spans="13:28">
      <c r="U216" s="8"/>
      <c r="V216" s="132"/>
      <c r="Y216" s="113"/>
    </row>
    <row r="217" spans="13:28">
      <c r="U217" s="8"/>
      <c r="V217" s="132"/>
      <c r="Y217" s="113"/>
    </row>
    <row r="218" spans="13:28">
      <c r="U218" s="8"/>
      <c r="V218" s="132"/>
      <c r="Y218" s="31"/>
    </row>
    <row r="219" spans="13:28" ht="15">
      <c r="V219" s="133"/>
    </row>
    <row r="220" spans="13:28">
      <c r="V220" s="132"/>
      <c r="Y220" s="113"/>
    </row>
  </sheetData>
  <sortState xmlns:xlrd2="http://schemas.microsoft.com/office/spreadsheetml/2017/richdata2" ref="B2:AE91">
    <sortCondition ref="J2:J91"/>
    <sortCondition ref="H2:H91"/>
    <sortCondition ref="C2:C91"/>
    <sortCondition ref="B2:B91"/>
  </sortState>
  <mergeCells count="4">
    <mergeCell ref="Y152:Z152"/>
    <mergeCell ref="Y191:Z191"/>
    <mergeCell ref="Y199:Z199"/>
    <mergeCell ref="Y207:Z207"/>
  </mergeCells>
  <conditionalFormatting sqref="F119">
    <cfRule type="cellIs" dxfId="86" priority="22" operator="equal">
      <formula>0</formula>
    </cfRule>
    <cfRule type="cellIs" dxfId="85" priority="23" operator="notEqual">
      <formula>0</formula>
    </cfRule>
  </conditionalFormatting>
  <conditionalFormatting sqref="G102">
    <cfRule type="cellIs" dxfId="84" priority="24" operator="equal">
      <formula>0</formula>
    </cfRule>
    <cfRule type="cellIs" dxfId="83" priority="25" operator="notEqual">
      <formula>0</formula>
    </cfRule>
  </conditionalFormatting>
  <conditionalFormatting sqref="M103">
    <cfRule type="cellIs" dxfId="82" priority="20" operator="equal">
      <formula>0</formula>
    </cfRule>
    <cfRule type="cellIs" dxfId="81" priority="21" operator="notEqual">
      <formula>0</formula>
    </cfRule>
  </conditionalFormatting>
  <conditionalFormatting sqref="T125:T126 Z126 T139 Z139">
    <cfRule type="cellIs" dxfId="80" priority="17" operator="equal">
      <formula>0</formula>
    </cfRule>
    <cfRule type="cellIs" dxfId="79" priority="18" operator="notEqual">
      <formula>0</formula>
    </cfRule>
  </conditionalFormatting>
  <conditionalFormatting sqref="T137">
    <cfRule type="cellIs" dxfId="78" priority="15" operator="equal">
      <formula>0</formula>
    </cfRule>
    <cfRule type="cellIs" dxfId="77" priority="16" operator="notEqual">
      <formula>0</formula>
    </cfRule>
  </conditionalFormatting>
  <conditionalFormatting sqref="U144">
    <cfRule type="duplicateValues" dxfId="76" priority="3" stopIfTrue="1"/>
  </conditionalFormatting>
  <conditionalFormatting sqref="U148:U151 U141:U142 V216:V220 U190:U215">
    <cfRule type="duplicateValues" dxfId="75" priority="19" stopIfTrue="1"/>
  </conditionalFormatting>
  <conditionalFormatting sqref="U152:U189">
    <cfRule type="duplicateValues" dxfId="74" priority="10" stopIfTrue="1"/>
  </conditionalFormatting>
  <conditionalFormatting sqref="Z150">
    <cfRule type="cellIs" dxfId="73" priority="4" operator="equal">
      <formula>0</formula>
    </cfRule>
    <cfRule type="cellIs" dxfId="72" priority="5" operator="notEqual">
      <formula>0</formula>
    </cfRule>
  </conditionalFormatting>
  <conditionalFormatting sqref="Z188:Z189">
    <cfRule type="cellIs" dxfId="71" priority="6" operator="equal">
      <formula>0</formula>
    </cfRule>
    <cfRule type="cellIs" dxfId="70" priority="7" operator="notEqual">
      <formula>0</formula>
    </cfRule>
  </conditionalFormatting>
  <conditionalFormatting sqref="Z196">
    <cfRule type="cellIs" dxfId="69" priority="13" operator="equal">
      <formula>0</formula>
    </cfRule>
    <cfRule type="cellIs" dxfId="68" priority="14" operator="notEqual">
      <formula>0</formula>
    </cfRule>
  </conditionalFormatting>
  <conditionalFormatting sqref="Z204">
    <cfRule type="cellIs" dxfId="67" priority="11" operator="equal">
      <formula>0</formula>
    </cfRule>
    <cfRule type="cellIs" dxfId="66" priority="12" operator="notEqual">
      <formula>0</formula>
    </cfRule>
  </conditionalFormatting>
  <conditionalFormatting sqref="Z212">
    <cfRule type="cellIs" dxfId="65" priority="1" operator="equal">
      <formula>0</formula>
    </cfRule>
    <cfRule type="cellIs" dxfId="64" priority="2" operator="notEqual">
      <formula>0</formula>
    </cfRule>
  </conditionalFormatting>
  <conditionalFormatting sqref="AA180">
    <cfRule type="cellIs" dxfId="63" priority="8" operator="equal">
      <formula>0</formula>
    </cfRule>
    <cfRule type="cellIs" dxfId="62" priority="9" operator="notEqual">
      <formula>0</formula>
    </cfRule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B7B3-D0CD-4A66-8017-E965E0170D9F}">
  <sheetPr codeName="Hoja1"/>
  <dimension ref="A1:AF262"/>
  <sheetViews>
    <sheetView zoomScale="85" zoomScaleNormal="85" workbookViewId="0">
      <pane ySplit="1" topLeftCell="A1048539" activePane="bottomLeft" state="frozen"/>
      <selection activeCell="N1" sqref="N1"/>
      <selection pane="bottomLeft" activeCell="N1" sqref="N1"/>
    </sheetView>
  </sheetViews>
  <sheetFormatPr baseColWidth="10" defaultRowHeight="12.75"/>
  <cols>
    <col min="1" max="1" width="5" style="235" bestFit="1" customWidth="1"/>
    <col min="2" max="2" width="11.42578125" style="235" customWidth="1"/>
    <col min="3" max="3" width="70.28515625" style="235" customWidth="1"/>
    <col min="4" max="4" width="8.140625" style="235" customWidth="1"/>
    <col min="5" max="6" width="14.85546875" style="36" bestFit="1" customWidth="1"/>
    <col min="7" max="7" width="17.28515625" style="36" customWidth="1"/>
    <col min="8" max="8" width="11.140625" style="235" bestFit="1" customWidth="1"/>
    <col min="9" max="9" width="6.7109375" style="235" customWidth="1"/>
    <col min="10" max="10" width="17.42578125" style="235" customWidth="1"/>
    <col min="11" max="11" width="25" style="235" customWidth="1"/>
    <col min="12" max="12" width="12.42578125" style="235" customWidth="1"/>
    <col min="13" max="13" width="12.85546875" style="235" customWidth="1"/>
    <col min="14" max="14" width="17.5703125" style="36" customWidth="1"/>
    <col min="15" max="15" width="12.7109375" style="36" customWidth="1"/>
    <col min="16" max="16" width="20" style="36" bestFit="1" customWidth="1"/>
    <col min="17" max="17" width="16.140625" style="36" customWidth="1"/>
    <col min="18" max="18" width="16.28515625" style="36" bestFit="1" customWidth="1"/>
    <col min="19" max="19" width="15.140625" style="36" customWidth="1"/>
    <col min="20" max="20" width="13.140625" style="36" customWidth="1"/>
    <col min="21" max="21" width="15.28515625" style="36" customWidth="1"/>
    <col min="22" max="22" width="12.7109375" style="36" customWidth="1"/>
    <col min="23" max="25" width="13" style="36" customWidth="1"/>
    <col min="26" max="26" width="14.28515625" style="36" customWidth="1"/>
    <col min="27" max="27" width="14.140625" style="36" customWidth="1"/>
    <col min="28" max="28" width="13" style="36" customWidth="1"/>
    <col min="29" max="29" width="13.85546875" style="36" customWidth="1"/>
    <col min="30" max="30" width="10.7109375" style="36" bestFit="1" customWidth="1"/>
    <col min="31" max="31" width="9.42578125" style="36" bestFit="1" customWidth="1"/>
    <col min="32" max="32" width="11.140625" style="235" customWidth="1"/>
    <col min="33" max="258" width="9.140625" style="235" customWidth="1"/>
    <col min="259" max="259" width="5" style="235" bestFit="1" customWidth="1"/>
    <col min="260" max="260" width="13.42578125" style="235" bestFit="1" customWidth="1"/>
    <col min="261" max="261" width="47.140625" style="235" bestFit="1" customWidth="1"/>
    <col min="262" max="262" width="18.7109375" style="235" bestFit="1" customWidth="1"/>
    <col min="263" max="264" width="14.140625" style="235" bestFit="1" customWidth="1"/>
    <col min="265" max="265" width="14.42578125" style="235" bestFit="1" customWidth="1"/>
    <col min="266" max="266" width="10.85546875" style="235" bestFit="1" customWidth="1"/>
    <col min="267" max="267" width="5" style="235" bestFit="1" customWidth="1"/>
    <col min="268" max="268" width="11.7109375" style="235" bestFit="1" customWidth="1"/>
    <col min="269" max="514" width="9.140625" style="235" customWidth="1"/>
    <col min="515" max="515" width="5" style="235" bestFit="1" customWidth="1"/>
    <col min="516" max="516" width="13.42578125" style="235" bestFit="1" customWidth="1"/>
    <col min="517" max="517" width="47.140625" style="235" bestFit="1" customWidth="1"/>
    <col min="518" max="518" width="18.7109375" style="235" bestFit="1" customWidth="1"/>
    <col min="519" max="520" width="14.140625" style="235" bestFit="1" customWidth="1"/>
    <col min="521" max="521" width="14.42578125" style="235" bestFit="1" customWidth="1"/>
    <col min="522" max="522" width="10.85546875" style="235" bestFit="1" customWidth="1"/>
    <col min="523" max="523" width="5" style="235" bestFit="1" customWidth="1"/>
    <col min="524" max="524" width="11.7109375" style="235" bestFit="1" customWidth="1"/>
    <col min="525" max="770" width="9.140625" style="235" customWidth="1"/>
    <col min="771" max="771" width="5" style="235" bestFit="1" customWidth="1"/>
    <col min="772" max="772" width="13.42578125" style="235" bestFit="1" customWidth="1"/>
    <col min="773" max="773" width="47.140625" style="235" bestFit="1" customWidth="1"/>
    <col min="774" max="774" width="18.7109375" style="235" bestFit="1" customWidth="1"/>
    <col min="775" max="776" width="14.140625" style="235" bestFit="1" customWidth="1"/>
    <col min="777" max="777" width="14.42578125" style="235" bestFit="1" customWidth="1"/>
    <col min="778" max="778" width="10.85546875" style="235" bestFit="1" customWidth="1"/>
    <col min="779" max="779" width="5" style="235" bestFit="1" customWidth="1"/>
    <col min="780" max="780" width="11.7109375" style="235" bestFit="1" customWidth="1"/>
    <col min="781" max="1026" width="9.140625" style="235" customWidth="1"/>
    <col min="1027" max="1027" width="5" style="235" bestFit="1" customWidth="1"/>
    <col min="1028" max="1028" width="13.42578125" style="235" bestFit="1" customWidth="1"/>
    <col min="1029" max="1029" width="47.140625" style="235" bestFit="1" customWidth="1"/>
    <col min="1030" max="1030" width="18.7109375" style="235" bestFit="1" customWidth="1"/>
    <col min="1031" max="1032" width="14.140625" style="235" bestFit="1" customWidth="1"/>
    <col min="1033" max="1033" width="14.42578125" style="235" bestFit="1" customWidth="1"/>
    <col min="1034" max="1034" width="10.85546875" style="235" bestFit="1" customWidth="1"/>
    <col min="1035" max="1035" width="5" style="235" bestFit="1" customWidth="1"/>
    <col min="1036" max="1036" width="11.7109375" style="235" bestFit="1" customWidth="1"/>
    <col min="1037" max="1282" width="9.140625" style="235" customWidth="1"/>
    <col min="1283" max="1283" width="5" style="235" bestFit="1" customWidth="1"/>
    <col min="1284" max="1284" width="13.42578125" style="235" bestFit="1" customWidth="1"/>
    <col min="1285" max="1285" width="47.140625" style="235" bestFit="1" customWidth="1"/>
    <col min="1286" max="1286" width="18.7109375" style="235" bestFit="1" customWidth="1"/>
    <col min="1287" max="1288" width="14.140625" style="235" bestFit="1" customWidth="1"/>
    <col min="1289" max="1289" width="14.42578125" style="235" bestFit="1" customWidth="1"/>
    <col min="1290" max="1290" width="10.85546875" style="235" bestFit="1" customWidth="1"/>
    <col min="1291" max="1291" width="5" style="235" bestFit="1" customWidth="1"/>
    <col min="1292" max="1292" width="11.7109375" style="235" bestFit="1" customWidth="1"/>
    <col min="1293" max="1538" width="9.140625" style="235" customWidth="1"/>
    <col min="1539" max="1539" width="5" style="235" bestFit="1" customWidth="1"/>
    <col min="1540" max="1540" width="13.42578125" style="235" bestFit="1" customWidth="1"/>
    <col min="1541" max="1541" width="47.140625" style="235" bestFit="1" customWidth="1"/>
    <col min="1542" max="1542" width="18.7109375" style="235" bestFit="1" customWidth="1"/>
    <col min="1543" max="1544" width="14.140625" style="235" bestFit="1" customWidth="1"/>
    <col min="1545" max="1545" width="14.42578125" style="235" bestFit="1" customWidth="1"/>
    <col min="1546" max="1546" width="10.85546875" style="235" bestFit="1" customWidth="1"/>
    <col min="1547" max="1547" width="5" style="235" bestFit="1" customWidth="1"/>
    <col min="1548" max="1548" width="11.7109375" style="235" bestFit="1" customWidth="1"/>
    <col min="1549" max="1794" width="9.140625" style="235" customWidth="1"/>
    <col min="1795" max="1795" width="5" style="235" bestFit="1" customWidth="1"/>
    <col min="1796" max="1796" width="13.42578125" style="235" bestFit="1" customWidth="1"/>
    <col min="1797" max="1797" width="47.140625" style="235" bestFit="1" customWidth="1"/>
    <col min="1798" max="1798" width="18.7109375" style="235" bestFit="1" customWidth="1"/>
    <col min="1799" max="1800" width="14.140625" style="235" bestFit="1" customWidth="1"/>
    <col min="1801" max="1801" width="14.42578125" style="235" bestFit="1" customWidth="1"/>
    <col min="1802" max="1802" width="10.85546875" style="235" bestFit="1" customWidth="1"/>
    <col min="1803" max="1803" width="5" style="235" bestFit="1" customWidth="1"/>
    <col min="1804" max="1804" width="11.7109375" style="235" bestFit="1" customWidth="1"/>
    <col min="1805" max="2050" width="9.140625" style="235" customWidth="1"/>
    <col min="2051" max="2051" width="5" style="235" bestFit="1" customWidth="1"/>
    <col min="2052" max="2052" width="13.42578125" style="235" bestFit="1" customWidth="1"/>
    <col min="2053" max="2053" width="47.140625" style="235" bestFit="1" customWidth="1"/>
    <col min="2054" max="2054" width="18.7109375" style="235" bestFit="1" customWidth="1"/>
    <col min="2055" max="2056" width="14.140625" style="235" bestFit="1" customWidth="1"/>
    <col min="2057" max="2057" width="14.42578125" style="235" bestFit="1" customWidth="1"/>
    <col min="2058" max="2058" width="10.85546875" style="235" bestFit="1" customWidth="1"/>
    <col min="2059" max="2059" width="5" style="235" bestFit="1" customWidth="1"/>
    <col min="2060" max="2060" width="11.7109375" style="235" bestFit="1" customWidth="1"/>
    <col min="2061" max="2306" width="9.140625" style="235" customWidth="1"/>
    <col min="2307" max="2307" width="5" style="235" bestFit="1" customWidth="1"/>
    <col min="2308" max="2308" width="13.42578125" style="235" bestFit="1" customWidth="1"/>
    <col min="2309" max="2309" width="47.140625" style="235" bestFit="1" customWidth="1"/>
    <col min="2310" max="2310" width="18.7109375" style="235" bestFit="1" customWidth="1"/>
    <col min="2311" max="2312" width="14.140625" style="235" bestFit="1" customWidth="1"/>
    <col min="2313" max="2313" width="14.42578125" style="235" bestFit="1" customWidth="1"/>
    <col min="2314" max="2314" width="10.85546875" style="235" bestFit="1" customWidth="1"/>
    <col min="2315" max="2315" width="5" style="235" bestFit="1" customWidth="1"/>
    <col min="2316" max="2316" width="11.7109375" style="235" bestFit="1" customWidth="1"/>
    <col min="2317" max="2562" width="9.140625" style="235" customWidth="1"/>
    <col min="2563" max="2563" width="5" style="235" bestFit="1" customWidth="1"/>
    <col min="2564" max="2564" width="13.42578125" style="235" bestFit="1" customWidth="1"/>
    <col min="2565" max="2565" width="47.140625" style="235" bestFit="1" customWidth="1"/>
    <col min="2566" max="2566" width="18.7109375" style="235" bestFit="1" customWidth="1"/>
    <col min="2567" max="2568" width="14.140625" style="235" bestFit="1" customWidth="1"/>
    <col min="2569" max="2569" width="14.42578125" style="235" bestFit="1" customWidth="1"/>
    <col min="2570" max="2570" width="10.85546875" style="235" bestFit="1" customWidth="1"/>
    <col min="2571" max="2571" width="5" style="235" bestFit="1" customWidth="1"/>
    <col min="2572" max="2572" width="11.7109375" style="235" bestFit="1" customWidth="1"/>
    <col min="2573" max="2818" width="9.140625" style="235" customWidth="1"/>
    <col min="2819" max="2819" width="5" style="235" bestFit="1" customWidth="1"/>
    <col min="2820" max="2820" width="13.42578125" style="235" bestFit="1" customWidth="1"/>
    <col min="2821" max="2821" width="47.140625" style="235" bestFit="1" customWidth="1"/>
    <col min="2822" max="2822" width="18.7109375" style="235" bestFit="1" customWidth="1"/>
    <col min="2823" max="2824" width="14.140625" style="235" bestFit="1" customWidth="1"/>
    <col min="2825" max="2825" width="14.42578125" style="235" bestFit="1" customWidth="1"/>
    <col min="2826" max="2826" width="10.85546875" style="235" bestFit="1" customWidth="1"/>
    <col min="2827" max="2827" width="5" style="235" bestFit="1" customWidth="1"/>
    <col min="2828" max="2828" width="11.7109375" style="235" bestFit="1" customWidth="1"/>
    <col min="2829" max="3074" width="9.140625" style="235" customWidth="1"/>
    <col min="3075" max="3075" width="5" style="235" bestFit="1" customWidth="1"/>
    <col min="3076" max="3076" width="13.42578125" style="235" bestFit="1" customWidth="1"/>
    <col min="3077" max="3077" width="47.140625" style="235" bestFit="1" customWidth="1"/>
    <col min="3078" max="3078" width="18.7109375" style="235" bestFit="1" customWidth="1"/>
    <col min="3079" max="3080" width="14.140625" style="235" bestFit="1" customWidth="1"/>
    <col min="3081" max="3081" width="14.42578125" style="235" bestFit="1" customWidth="1"/>
    <col min="3082" max="3082" width="10.85546875" style="235" bestFit="1" customWidth="1"/>
    <col min="3083" max="3083" width="5" style="235" bestFit="1" customWidth="1"/>
    <col min="3084" max="3084" width="11.7109375" style="235" bestFit="1" customWidth="1"/>
    <col min="3085" max="3330" width="9.140625" style="235" customWidth="1"/>
    <col min="3331" max="3331" width="5" style="235" bestFit="1" customWidth="1"/>
    <col min="3332" max="3332" width="13.42578125" style="235" bestFit="1" customWidth="1"/>
    <col min="3333" max="3333" width="47.140625" style="235" bestFit="1" customWidth="1"/>
    <col min="3334" max="3334" width="18.7109375" style="235" bestFit="1" customWidth="1"/>
    <col min="3335" max="3336" width="14.140625" style="235" bestFit="1" customWidth="1"/>
    <col min="3337" max="3337" width="14.42578125" style="235" bestFit="1" customWidth="1"/>
    <col min="3338" max="3338" width="10.85546875" style="235" bestFit="1" customWidth="1"/>
    <col min="3339" max="3339" width="5" style="235" bestFit="1" customWidth="1"/>
    <col min="3340" max="3340" width="11.7109375" style="235" bestFit="1" customWidth="1"/>
    <col min="3341" max="3586" width="9.140625" style="235" customWidth="1"/>
    <col min="3587" max="3587" width="5" style="235" bestFit="1" customWidth="1"/>
    <col min="3588" max="3588" width="13.42578125" style="235" bestFit="1" customWidth="1"/>
    <col min="3589" max="3589" width="47.140625" style="235" bestFit="1" customWidth="1"/>
    <col min="3590" max="3590" width="18.7109375" style="235" bestFit="1" customWidth="1"/>
    <col min="3591" max="3592" width="14.140625" style="235" bestFit="1" customWidth="1"/>
    <col min="3593" max="3593" width="14.42578125" style="235" bestFit="1" customWidth="1"/>
    <col min="3594" max="3594" width="10.85546875" style="235" bestFit="1" customWidth="1"/>
    <col min="3595" max="3595" width="5" style="235" bestFit="1" customWidth="1"/>
    <col min="3596" max="3596" width="11.7109375" style="235" bestFit="1" customWidth="1"/>
    <col min="3597" max="3842" width="9.140625" style="235" customWidth="1"/>
    <col min="3843" max="3843" width="5" style="235" bestFit="1" customWidth="1"/>
    <col min="3844" max="3844" width="13.42578125" style="235" bestFit="1" customWidth="1"/>
    <col min="3845" max="3845" width="47.140625" style="235" bestFit="1" customWidth="1"/>
    <col min="3846" max="3846" width="18.7109375" style="235" bestFit="1" customWidth="1"/>
    <col min="3847" max="3848" width="14.140625" style="235" bestFit="1" customWidth="1"/>
    <col min="3849" max="3849" width="14.42578125" style="235" bestFit="1" customWidth="1"/>
    <col min="3850" max="3850" width="10.85546875" style="235" bestFit="1" customWidth="1"/>
    <col min="3851" max="3851" width="5" style="235" bestFit="1" customWidth="1"/>
    <col min="3852" max="3852" width="11.7109375" style="235" bestFit="1" customWidth="1"/>
    <col min="3853" max="4098" width="9.140625" style="235" customWidth="1"/>
    <col min="4099" max="4099" width="5" style="235" bestFit="1" customWidth="1"/>
    <col min="4100" max="4100" width="13.42578125" style="235" bestFit="1" customWidth="1"/>
    <col min="4101" max="4101" width="47.140625" style="235" bestFit="1" customWidth="1"/>
    <col min="4102" max="4102" width="18.7109375" style="235" bestFit="1" customWidth="1"/>
    <col min="4103" max="4104" width="14.140625" style="235" bestFit="1" customWidth="1"/>
    <col min="4105" max="4105" width="14.42578125" style="235" bestFit="1" customWidth="1"/>
    <col min="4106" max="4106" width="10.85546875" style="235" bestFit="1" customWidth="1"/>
    <col min="4107" max="4107" width="5" style="235" bestFit="1" customWidth="1"/>
    <col min="4108" max="4108" width="11.7109375" style="235" bestFit="1" customWidth="1"/>
    <col min="4109" max="4354" width="9.140625" style="235" customWidth="1"/>
    <col min="4355" max="4355" width="5" style="235" bestFit="1" customWidth="1"/>
    <col min="4356" max="4356" width="13.42578125" style="235" bestFit="1" customWidth="1"/>
    <col min="4357" max="4357" width="47.140625" style="235" bestFit="1" customWidth="1"/>
    <col min="4358" max="4358" width="18.7109375" style="235" bestFit="1" customWidth="1"/>
    <col min="4359" max="4360" width="14.140625" style="235" bestFit="1" customWidth="1"/>
    <col min="4361" max="4361" width="14.42578125" style="235" bestFit="1" customWidth="1"/>
    <col min="4362" max="4362" width="10.85546875" style="235" bestFit="1" customWidth="1"/>
    <col min="4363" max="4363" width="5" style="235" bestFit="1" customWidth="1"/>
    <col min="4364" max="4364" width="11.7109375" style="235" bestFit="1" customWidth="1"/>
    <col min="4365" max="4610" width="9.140625" style="235" customWidth="1"/>
    <col min="4611" max="4611" width="5" style="235" bestFit="1" customWidth="1"/>
    <col min="4612" max="4612" width="13.42578125" style="235" bestFit="1" customWidth="1"/>
    <col min="4613" max="4613" width="47.140625" style="235" bestFit="1" customWidth="1"/>
    <col min="4614" max="4614" width="18.7109375" style="235" bestFit="1" customWidth="1"/>
    <col min="4615" max="4616" width="14.140625" style="235" bestFit="1" customWidth="1"/>
    <col min="4617" max="4617" width="14.42578125" style="235" bestFit="1" customWidth="1"/>
    <col min="4618" max="4618" width="10.85546875" style="235" bestFit="1" customWidth="1"/>
    <col min="4619" max="4619" width="5" style="235" bestFit="1" customWidth="1"/>
    <col min="4620" max="4620" width="11.7109375" style="235" bestFit="1" customWidth="1"/>
    <col min="4621" max="4866" width="9.140625" style="235" customWidth="1"/>
    <col min="4867" max="4867" width="5" style="235" bestFit="1" customWidth="1"/>
    <col min="4868" max="4868" width="13.42578125" style="235" bestFit="1" customWidth="1"/>
    <col min="4869" max="4869" width="47.140625" style="235" bestFit="1" customWidth="1"/>
    <col min="4870" max="4870" width="18.7109375" style="235" bestFit="1" customWidth="1"/>
    <col min="4871" max="4872" width="14.140625" style="235" bestFit="1" customWidth="1"/>
    <col min="4873" max="4873" width="14.42578125" style="235" bestFit="1" customWidth="1"/>
    <col min="4874" max="4874" width="10.85546875" style="235" bestFit="1" customWidth="1"/>
    <col min="4875" max="4875" width="5" style="235" bestFit="1" customWidth="1"/>
    <col min="4876" max="4876" width="11.7109375" style="235" bestFit="1" customWidth="1"/>
    <col min="4877" max="5122" width="9.140625" style="235" customWidth="1"/>
    <col min="5123" max="5123" width="5" style="235" bestFit="1" customWidth="1"/>
    <col min="5124" max="5124" width="13.42578125" style="235" bestFit="1" customWidth="1"/>
    <col min="5125" max="5125" width="47.140625" style="235" bestFit="1" customWidth="1"/>
    <col min="5126" max="5126" width="18.7109375" style="235" bestFit="1" customWidth="1"/>
    <col min="5127" max="5128" width="14.140625" style="235" bestFit="1" customWidth="1"/>
    <col min="5129" max="5129" width="14.42578125" style="235" bestFit="1" customWidth="1"/>
    <col min="5130" max="5130" width="10.85546875" style="235" bestFit="1" customWidth="1"/>
    <col min="5131" max="5131" width="5" style="235" bestFit="1" customWidth="1"/>
    <col min="5132" max="5132" width="11.7109375" style="235" bestFit="1" customWidth="1"/>
    <col min="5133" max="5378" width="9.140625" style="235" customWidth="1"/>
    <col min="5379" max="5379" width="5" style="235" bestFit="1" customWidth="1"/>
    <col min="5380" max="5380" width="13.42578125" style="235" bestFit="1" customWidth="1"/>
    <col min="5381" max="5381" width="47.140625" style="235" bestFit="1" customWidth="1"/>
    <col min="5382" max="5382" width="18.7109375" style="235" bestFit="1" customWidth="1"/>
    <col min="5383" max="5384" width="14.140625" style="235" bestFit="1" customWidth="1"/>
    <col min="5385" max="5385" width="14.42578125" style="235" bestFit="1" customWidth="1"/>
    <col min="5386" max="5386" width="10.85546875" style="235" bestFit="1" customWidth="1"/>
    <col min="5387" max="5387" width="5" style="235" bestFit="1" customWidth="1"/>
    <col min="5388" max="5388" width="11.7109375" style="235" bestFit="1" customWidth="1"/>
    <col min="5389" max="5634" width="9.140625" style="235" customWidth="1"/>
    <col min="5635" max="5635" width="5" style="235" bestFit="1" customWidth="1"/>
    <col min="5636" max="5636" width="13.42578125" style="235" bestFit="1" customWidth="1"/>
    <col min="5637" max="5637" width="47.140625" style="235" bestFit="1" customWidth="1"/>
    <col min="5638" max="5638" width="18.7109375" style="235" bestFit="1" customWidth="1"/>
    <col min="5639" max="5640" width="14.140625" style="235" bestFit="1" customWidth="1"/>
    <col min="5641" max="5641" width="14.42578125" style="235" bestFit="1" customWidth="1"/>
    <col min="5642" max="5642" width="10.85546875" style="235" bestFit="1" customWidth="1"/>
    <col min="5643" max="5643" width="5" style="235" bestFit="1" customWidth="1"/>
    <col min="5644" max="5644" width="11.7109375" style="235" bestFit="1" customWidth="1"/>
    <col min="5645" max="5890" width="9.140625" style="235" customWidth="1"/>
    <col min="5891" max="5891" width="5" style="235" bestFit="1" customWidth="1"/>
    <col min="5892" max="5892" width="13.42578125" style="235" bestFit="1" customWidth="1"/>
    <col min="5893" max="5893" width="47.140625" style="235" bestFit="1" customWidth="1"/>
    <col min="5894" max="5894" width="18.7109375" style="235" bestFit="1" customWidth="1"/>
    <col min="5895" max="5896" width="14.140625" style="235" bestFit="1" customWidth="1"/>
    <col min="5897" max="5897" width="14.42578125" style="235" bestFit="1" customWidth="1"/>
    <col min="5898" max="5898" width="10.85546875" style="235" bestFit="1" customWidth="1"/>
    <col min="5899" max="5899" width="5" style="235" bestFit="1" customWidth="1"/>
    <col min="5900" max="5900" width="11.7109375" style="235" bestFit="1" customWidth="1"/>
    <col min="5901" max="6146" width="9.140625" style="235" customWidth="1"/>
    <col min="6147" max="6147" width="5" style="235" bestFit="1" customWidth="1"/>
    <col min="6148" max="6148" width="13.42578125" style="235" bestFit="1" customWidth="1"/>
    <col min="6149" max="6149" width="47.140625" style="235" bestFit="1" customWidth="1"/>
    <col min="6150" max="6150" width="18.7109375" style="235" bestFit="1" customWidth="1"/>
    <col min="6151" max="6152" width="14.140625" style="235" bestFit="1" customWidth="1"/>
    <col min="6153" max="6153" width="14.42578125" style="235" bestFit="1" customWidth="1"/>
    <col min="6154" max="6154" width="10.85546875" style="235" bestFit="1" customWidth="1"/>
    <col min="6155" max="6155" width="5" style="235" bestFit="1" customWidth="1"/>
    <col min="6156" max="6156" width="11.7109375" style="235" bestFit="1" customWidth="1"/>
    <col min="6157" max="6402" width="9.140625" style="235" customWidth="1"/>
    <col min="6403" max="6403" width="5" style="235" bestFit="1" customWidth="1"/>
    <col min="6404" max="6404" width="13.42578125" style="235" bestFit="1" customWidth="1"/>
    <col min="6405" max="6405" width="47.140625" style="235" bestFit="1" customWidth="1"/>
    <col min="6406" max="6406" width="18.7109375" style="235" bestFit="1" customWidth="1"/>
    <col min="6407" max="6408" width="14.140625" style="235" bestFit="1" customWidth="1"/>
    <col min="6409" max="6409" width="14.42578125" style="235" bestFit="1" customWidth="1"/>
    <col min="6410" max="6410" width="10.85546875" style="235" bestFit="1" customWidth="1"/>
    <col min="6411" max="6411" width="5" style="235" bestFit="1" customWidth="1"/>
    <col min="6412" max="6412" width="11.7109375" style="235" bestFit="1" customWidth="1"/>
    <col min="6413" max="6658" width="9.140625" style="235" customWidth="1"/>
    <col min="6659" max="6659" width="5" style="235" bestFit="1" customWidth="1"/>
    <col min="6660" max="6660" width="13.42578125" style="235" bestFit="1" customWidth="1"/>
    <col min="6661" max="6661" width="47.140625" style="235" bestFit="1" customWidth="1"/>
    <col min="6662" max="6662" width="18.7109375" style="235" bestFit="1" customWidth="1"/>
    <col min="6663" max="6664" width="14.140625" style="235" bestFit="1" customWidth="1"/>
    <col min="6665" max="6665" width="14.42578125" style="235" bestFit="1" customWidth="1"/>
    <col min="6666" max="6666" width="10.85546875" style="235" bestFit="1" customWidth="1"/>
    <col min="6667" max="6667" width="5" style="235" bestFit="1" customWidth="1"/>
    <col min="6668" max="6668" width="11.7109375" style="235" bestFit="1" customWidth="1"/>
    <col min="6669" max="6914" width="9.140625" style="235" customWidth="1"/>
    <col min="6915" max="6915" width="5" style="235" bestFit="1" customWidth="1"/>
    <col min="6916" max="6916" width="13.42578125" style="235" bestFit="1" customWidth="1"/>
    <col min="6917" max="6917" width="47.140625" style="235" bestFit="1" customWidth="1"/>
    <col min="6918" max="6918" width="18.7109375" style="235" bestFit="1" customWidth="1"/>
    <col min="6919" max="6920" width="14.140625" style="235" bestFit="1" customWidth="1"/>
    <col min="6921" max="6921" width="14.42578125" style="235" bestFit="1" customWidth="1"/>
    <col min="6922" max="6922" width="10.85546875" style="235" bestFit="1" customWidth="1"/>
    <col min="6923" max="6923" width="5" style="235" bestFit="1" customWidth="1"/>
    <col min="6924" max="6924" width="11.7109375" style="235" bestFit="1" customWidth="1"/>
    <col min="6925" max="7170" width="9.140625" style="235" customWidth="1"/>
    <col min="7171" max="7171" width="5" style="235" bestFit="1" customWidth="1"/>
    <col min="7172" max="7172" width="13.42578125" style="235" bestFit="1" customWidth="1"/>
    <col min="7173" max="7173" width="47.140625" style="235" bestFit="1" customWidth="1"/>
    <col min="7174" max="7174" width="18.7109375" style="235" bestFit="1" customWidth="1"/>
    <col min="7175" max="7176" width="14.140625" style="235" bestFit="1" customWidth="1"/>
    <col min="7177" max="7177" width="14.42578125" style="235" bestFit="1" customWidth="1"/>
    <col min="7178" max="7178" width="10.85546875" style="235" bestFit="1" customWidth="1"/>
    <col min="7179" max="7179" width="5" style="235" bestFit="1" customWidth="1"/>
    <col min="7180" max="7180" width="11.7109375" style="235" bestFit="1" customWidth="1"/>
    <col min="7181" max="7426" width="9.140625" style="235" customWidth="1"/>
    <col min="7427" max="7427" width="5" style="235" bestFit="1" customWidth="1"/>
    <col min="7428" max="7428" width="13.42578125" style="235" bestFit="1" customWidth="1"/>
    <col min="7429" max="7429" width="47.140625" style="235" bestFit="1" customWidth="1"/>
    <col min="7430" max="7430" width="18.7109375" style="235" bestFit="1" customWidth="1"/>
    <col min="7431" max="7432" width="14.140625" style="235" bestFit="1" customWidth="1"/>
    <col min="7433" max="7433" width="14.42578125" style="235" bestFit="1" customWidth="1"/>
    <col min="7434" max="7434" width="10.85546875" style="235" bestFit="1" customWidth="1"/>
    <col min="7435" max="7435" width="5" style="235" bestFit="1" customWidth="1"/>
    <col min="7436" max="7436" width="11.7109375" style="235" bestFit="1" customWidth="1"/>
    <col min="7437" max="7682" width="9.140625" style="235" customWidth="1"/>
    <col min="7683" max="7683" width="5" style="235" bestFit="1" customWidth="1"/>
    <col min="7684" max="7684" width="13.42578125" style="235" bestFit="1" customWidth="1"/>
    <col min="7685" max="7685" width="47.140625" style="235" bestFit="1" customWidth="1"/>
    <col min="7686" max="7686" width="18.7109375" style="235" bestFit="1" customWidth="1"/>
    <col min="7687" max="7688" width="14.140625" style="235" bestFit="1" customWidth="1"/>
    <col min="7689" max="7689" width="14.42578125" style="235" bestFit="1" customWidth="1"/>
    <col min="7690" max="7690" width="10.85546875" style="235" bestFit="1" customWidth="1"/>
    <col min="7691" max="7691" width="5" style="235" bestFit="1" customWidth="1"/>
    <col min="7692" max="7692" width="11.7109375" style="235" bestFit="1" customWidth="1"/>
    <col min="7693" max="7938" width="9.140625" style="235" customWidth="1"/>
    <col min="7939" max="7939" width="5" style="235" bestFit="1" customWidth="1"/>
    <col min="7940" max="7940" width="13.42578125" style="235" bestFit="1" customWidth="1"/>
    <col min="7941" max="7941" width="47.140625" style="235" bestFit="1" customWidth="1"/>
    <col min="7942" max="7942" width="18.7109375" style="235" bestFit="1" customWidth="1"/>
    <col min="7943" max="7944" width="14.140625" style="235" bestFit="1" customWidth="1"/>
    <col min="7945" max="7945" width="14.42578125" style="235" bestFit="1" customWidth="1"/>
    <col min="7946" max="7946" width="10.85546875" style="235" bestFit="1" customWidth="1"/>
    <col min="7947" max="7947" width="5" style="235" bestFit="1" customWidth="1"/>
    <col min="7948" max="7948" width="11.7109375" style="235" bestFit="1" customWidth="1"/>
    <col min="7949" max="8194" width="9.140625" style="235" customWidth="1"/>
    <col min="8195" max="8195" width="5" style="235" bestFit="1" customWidth="1"/>
    <col min="8196" max="8196" width="13.42578125" style="235" bestFit="1" customWidth="1"/>
    <col min="8197" max="8197" width="47.140625" style="235" bestFit="1" customWidth="1"/>
    <col min="8198" max="8198" width="18.7109375" style="235" bestFit="1" customWidth="1"/>
    <col min="8199" max="8200" width="14.140625" style="235" bestFit="1" customWidth="1"/>
    <col min="8201" max="8201" width="14.42578125" style="235" bestFit="1" customWidth="1"/>
    <col min="8202" max="8202" width="10.85546875" style="235" bestFit="1" customWidth="1"/>
    <col min="8203" max="8203" width="5" style="235" bestFit="1" customWidth="1"/>
    <col min="8204" max="8204" width="11.7109375" style="235" bestFit="1" customWidth="1"/>
    <col min="8205" max="8450" width="9.140625" style="235" customWidth="1"/>
    <col min="8451" max="8451" width="5" style="235" bestFit="1" customWidth="1"/>
    <col min="8452" max="8452" width="13.42578125" style="235" bestFit="1" customWidth="1"/>
    <col min="8453" max="8453" width="47.140625" style="235" bestFit="1" customWidth="1"/>
    <col min="8454" max="8454" width="18.7109375" style="235" bestFit="1" customWidth="1"/>
    <col min="8455" max="8456" width="14.140625" style="235" bestFit="1" customWidth="1"/>
    <col min="8457" max="8457" width="14.42578125" style="235" bestFit="1" customWidth="1"/>
    <col min="8458" max="8458" width="10.85546875" style="235" bestFit="1" customWidth="1"/>
    <col min="8459" max="8459" width="5" style="235" bestFit="1" customWidth="1"/>
    <col min="8460" max="8460" width="11.7109375" style="235" bestFit="1" customWidth="1"/>
    <col min="8461" max="8706" width="9.140625" style="235" customWidth="1"/>
    <col min="8707" max="8707" width="5" style="235" bestFit="1" customWidth="1"/>
    <col min="8708" max="8708" width="13.42578125" style="235" bestFit="1" customWidth="1"/>
    <col min="8709" max="8709" width="47.140625" style="235" bestFit="1" customWidth="1"/>
    <col min="8710" max="8710" width="18.7109375" style="235" bestFit="1" customWidth="1"/>
    <col min="8711" max="8712" width="14.140625" style="235" bestFit="1" customWidth="1"/>
    <col min="8713" max="8713" width="14.42578125" style="235" bestFit="1" customWidth="1"/>
    <col min="8714" max="8714" width="10.85546875" style="235" bestFit="1" customWidth="1"/>
    <col min="8715" max="8715" width="5" style="235" bestFit="1" customWidth="1"/>
    <col min="8716" max="8716" width="11.7109375" style="235" bestFit="1" customWidth="1"/>
    <col min="8717" max="8962" width="9.140625" style="235" customWidth="1"/>
    <col min="8963" max="8963" width="5" style="235" bestFit="1" customWidth="1"/>
    <col min="8964" max="8964" width="13.42578125" style="235" bestFit="1" customWidth="1"/>
    <col min="8965" max="8965" width="47.140625" style="235" bestFit="1" customWidth="1"/>
    <col min="8966" max="8966" width="18.7109375" style="235" bestFit="1" customWidth="1"/>
    <col min="8967" max="8968" width="14.140625" style="235" bestFit="1" customWidth="1"/>
    <col min="8969" max="8969" width="14.42578125" style="235" bestFit="1" customWidth="1"/>
    <col min="8970" max="8970" width="10.85546875" style="235" bestFit="1" customWidth="1"/>
    <col min="8971" max="8971" width="5" style="235" bestFit="1" customWidth="1"/>
    <col min="8972" max="8972" width="11.7109375" style="235" bestFit="1" customWidth="1"/>
    <col min="8973" max="9218" width="9.140625" style="235" customWidth="1"/>
    <col min="9219" max="9219" width="5" style="235" bestFit="1" customWidth="1"/>
    <col min="9220" max="9220" width="13.42578125" style="235" bestFit="1" customWidth="1"/>
    <col min="9221" max="9221" width="47.140625" style="235" bestFit="1" customWidth="1"/>
    <col min="9222" max="9222" width="18.7109375" style="235" bestFit="1" customWidth="1"/>
    <col min="9223" max="9224" width="14.140625" style="235" bestFit="1" customWidth="1"/>
    <col min="9225" max="9225" width="14.42578125" style="235" bestFit="1" customWidth="1"/>
    <col min="9226" max="9226" width="10.85546875" style="235" bestFit="1" customWidth="1"/>
    <col min="9227" max="9227" width="5" style="235" bestFit="1" customWidth="1"/>
    <col min="9228" max="9228" width="11.7109375" style="235" bestFit="1" customWidth="1"/>
    <col min="9229" max="9474" width="9.140625" style="235" customWidth="1"/>
    <col min="9475" max="9475" width="5" style="235" bestFit="1" customWidth="1"/>
    <col min="9476" max="9476" width="13.42578125" style="235" bestFit="1" customWidth="1"/>
    <col min="9477" max="9477" width="47.140625" style="235" bestFit="1" customWidth="1"/>
    <col min="9478" max="9478" width="18.7109375" style="235" bestFit="1" customWidth="1"/>
    <col min="9479" max="9480" width="14.140625" style="235" bestFit="1" customWidth="1"/>
    <col min="9481" max="9481" width="14.42578125" style="235" bestFit="1" customWidth="1"/>
    <col min="9482" max="9482" width="10.85546875" style="235" bestFit="1" customWidth="1"/>
    <col min="9483" max="9483" width="5" style="235" bestFit="1" customWidth="1"/>
    <col min="9484" max="9484" width="11.7109375" style="235" bestFit="1" customWidth="1"/>
    <col min="9485" max="9730" width="9.140625" style="235" customWidth="1"/>
    <col min="9731" max="9731" width="5" style="235" bestFit="1" customWidth="1"/>
    <col min="9732" max="9732" width="13.42578125" style="235" bestFit="1" customWidth="1"/>
    <col min="9733" max="9733" width="47.140625" style="235" bestFit="1" customWidth="1"/>
    <col min="9734" max="9734" width="18.7109375" style="235" bestFit="1" customWidth="1"/>
    <col min="9735" max="9736" width="14.140625" style="235" bestFit="1" customWidth="1"/>
    <col min="9737" max="9737" width="14.42578125" style="235" bestFit="1" customWidth="1"/>
    <col min="9738" max="9738" width="10.85546875" style="235" bestFit="1" customWidth="1"/>
    <col min="9739" max="9739" width="5" style="235" bestFit="1" customWidth="1"/>
    <col min="9740" max="9740" width="11.7109375" style="235" bestFit="1" customWidth="1"/>
    <col min="9741" max="9986" width="9.140625" style="235" customWidth="1"/>
    <col min="9987" max="9987" width="5" style="235" bestFit="1" customWidth="1"/>
    <col min="9988" max="9988" width="13.42578125" style="235" bestFit="1" customWidth="1"/>
    <col min="9989" max="9989" width="47.140625" style="235" bestFit="1" customWidth="1"/>
    <col min="9990" max="9990" width="18.7109375" style="235" bestFit="1" customWidth="1"/>
    <col min="9991" max="9992" width="14.140625" style="235" bestFit="1" customWidth="1"/>
    <col min="9993" max="9993" width="14.42578125" style="235" bestFit="1" customWidth="1"/>
    <col min="9994" max="9994" width="10.85546875" style="235" bestFit="1" customWidth="1"/>
    <col min="9995" max="9995" width="5" style="235" bestFit="1" customWidth="1"/>
    <col min="9996" max="9996" width="11.7109375" style="235" bestFit="1" customWidth="1"/>
    <col min="9997" max="10242" width="9.140625" style="235" customWidth="1"/>
    <col min="10243" max="10243" width="5" style="235" bestFit="1" customWidth="1"/>
    <col min="10244" max="10244" width="13.42578125" style="235" bestFit="1" customWidth="1"/>
    <col min="10245" max="10245" width="47.140625" style="235" bestFit="1" customWidth="1"/>
    <col min="10246" max="10246" width="18.7109375" style="235" bestFit="1" customWidth="1"/>
    <col min="10247" max="10248" width="14.140625" style="235" bestFit="1" customWidth="1"/>
    <col min="10249" max="10249" width="14.42578125" style="235" bestFit="1" customWidth="1"/>
    <col min="10250" max="10250" width="10.85546875" style="235" bestFit="1" customWidth="1"/>
    <col min="10251" max="10251" width="5" style="235" bestFit="1" customWidth="1"/>
    <col min="10252" max="10252" width="11.7109375" style="235" bestFit="1" customWidth="1"/>
    <col min="10253" max="10498" width="9.140625" style="235" customWidth="1"/>
    <col min="10499" max="10499" width="5" style="235" bestFit="1" customWidth="1"/>
    <col min="10500" max="10500" width="13.42578125" style="235" bestFit="1" customWidth="1"/>
    <col min="10501" max="10501" width="47.140625" style="235" bestFit="1" customWidth="1"/>
    <col min="10502" max="10502" width="18.7109375" style="235" bestFit="1" customWidth="1"/>
    <col min="10503" max="10504" width="14.140625" style="235" bestFit="1" customWidth="1"/>
    <col min="10505" max="10505" width="14.42578125" style="235" bestFit="1" customWidth="1"/>
    <col min="10506" max="10506" width="10.85546875" style="235" bestFit="1" customWidth="1"/>
    <col min="10507" max="10507" width="5" style="235" bestFit="1" customWidth="1"/>
    <col min="10508" max="10508" width="11.7109375" style="235" bestFit="1" customWidth="1"/>
    <col min="10509" max="10754" width="9.140625" style="235" customWidth="1"/>
    <col min="10755" max="10755" width="5" style="235" bestFit="1" customWidth="1"/>
    <col min="10756" max="10756" width="13.42578125" style="235" bestFit="1" customWidth="1"/>
    <col min="10757" max="10757" width="47.140625" style="235" bestFit="1" customWidth="1"/>
    <col min="10758" max="10758" width="18.7109375" style="235" bestFit="1" customWidth="1"/>
    <col min="10759" max="10760" width="14.140625" style="235" bestFit="1" customWidth="1"/>
    <col min="10761" max="10761" width="14.42578125" style="235" bestFit="1" customWidth="1"/>
    <col min="10762" max="10762" width="10.85546875" style="235" bestFit="1" customWidth="1"/>
    <col min="10763" max="10763" width="5" style="235" bestFit="1" customWidth="1"/>
    <col min="10764" max="10764" width="11.7109375" style="235" bestFit="1" customWidth="1"/>
    <col min="10765" max="11010" width="9.140625" style="235" customWidth="1"/>
    <col min="11011" max="11011" width="5" style="235" bestFit="1" customWidth="1"/>
    <col min="11012" max="11012" width="13.42578125" style="235" bestFit="1" customWidth="1"/>
    <col min="11013" max="11013" width="47.140625" style="235" bestFit="1" customWidth="1"/>
    <col min="11014" max="11014" width="18.7109375" style="235" bestFit="1" customWidth="1"/>
    <col min="11015" max="11016" width="14.140625" style="235" bestFit="1" customWidth="1"/>
    <col min="11017" max="11017" width="14.42578125" style="235" bestFit="1" customWidth="1"/>
    <col min="11018" max="11018" width="10.85546875" style="235" bestFit="1" customWidth="1"/>
    <col min="11019" max="11019" width="5" style="235" bestFit="1" customWidth="1"/>
    <col min="11020" max="11020" width="11.7109375" style="235" bestFit="1" customWidth="1"/>
    <col min="11021" max="11266" width="9.140625" style="235" customWidth="1"/>
    <col min="11267" max="11267" width="5" style="235" bestFit="1" customWidth="1"/>
    <col min="11268" max="11268" width="13.42578125" style="235" bestFit="1" customWidth="1"/>
    <col min="11269" max="11269" width="47.140625" style="235" bestFit="1" customWidth="1"/>
    <col min="11270" max="11270" width="18.7109375" style="235" bestFit="1" customWidth="1"/>
    <col min="11271" max="11272" width="14.140625" style="235" bestFit="1" customWidth="1"/>
    <col min="11273" max="11273" width="14.42578125" style="235" bestFit="1" customWidth="1"/>
    <col min="11274" max="11274" width="10.85546875" style="235" bestFit="1" customWidth="1"/>
    <col min="11275" max="11275" width="5" style="235" bestFit="1" customWidth="1"/>
    <col min="11276" max="11276" width="11.7109375" style="235" bestFit="1" customWidth="1"/>
    <col min="11277" max="11522" width="9.140625" style="235" customWidth="1"/>
    <col min="11523" max="11523" width="5" style="235" bestFit="1" customWidth="1"/>
    <col min="11524" max="11524" width="13.42578125" style="235" bestFit="1" customWidth="1"/>
    <col min="11525" max="11525" width="47.140625" style="235" bestFit="1" customWidth="1"/>
    <col min="11526" max="11526" width="18.7109375" style="235" bestFit="1" customWidth="1"/>
    <col min="11527" max="11528" width="14.140625" style="235" bestFit="1" customWidth="1"/>
    <col min="11529" max="11529" width="14.42578125" style="235" bestFit="1" customWidth="1"/>
    <col min="11530" max="11530" width="10.85546875" style="235" bestFit="1" customWidth="1"/>
    <col min="11531" max="11531" width="5" style="235" bestFit="1" customWidth="1"/>
    <col min="11532" max="11532" width="11.7109375" style="235" bestFit="1" customWidth="1"/>
    <col min="11533" max="11778" width="9.140625" style="235" customWidth="1"/>
    <col min="11779" max="11779" width="5" style="235" bestFit="1" customWidth="1"/>
    <col min="11780" max="11780" width="13.42578125" style="235" bestFit="1" customWidth="1"/>
    <col min="11781" max="11781" width="47.140625" style="235" bestFit="1" customWidth="1"/>
    <col min="11782" max="11782" width="18.7109375" style="235" bestFit="1" customWidth="1"/>
    <col min="11783" max="11784" width="14.140625" style="235" bestFit="1" customWidth="1"/>
    <col min="11785" max="11785" width="14.42578125" style="235" bestFit="1" customWidth="1"/>
    <col min="11786" max="11786" width="10.85546875" style="235" bestFit="1" customWidth="1"/>
    <col min="11787" max="11787" width="5" style="235" bestFit="1" customWidth="1"/>
    <col min="11788" max="11788" width="11.7109375" style="235" bestFit="1" customWidth="1"/>
    <col min="11789" max="12034" width="9.140625" style="235" customWidth="1"/>
    <col min="12035" max="12035" width="5" style="235" bestFit="1" customWidth="1"/>
    <col min="12036" max="12036" width="13.42578125" style="235" bestFit="1" customWidth="1"/>
    <col min="12037" max="12037" width="47.140625" style="235" bestFit="1" customWidth="1"/>
    <col min="12038" max="12038" width="18.7109375" style="235" bestFit="1" customWidth="1"/>
    <col min="12039" max="12040" width="14.140625" style="235" bestFit="1" customWidth="1"/>
    <col min="12041" max="12041" width="14.42578125" style="235" bestFit="1" customWidth="1"/>
    <col min="12042" max="12042" width="10.85546875" style="235" bestFit="1" customWidth="1"/>
    <col min="12043" max="12043" width="5" style="235" bestFit="1" customWidth="1"/>
    <col min="12044" max="12044" width="11.7109375" style="235" bestFit="1" customWidth="1"/>
    <col min="12045" max="12290" width="9.140625" style="235" customWidth="1"/>
    <col min="12291" max="12291" width="5" style="235" bestFit="1" customWidth="1"/>
    <col min="12292" max="12292" width="13.42578125" style="235" bestFit="1" customWidth="1"/>
    <col min="12293" max="12293" width="47.140625" style="235" bestFit="1" customWidth="1"/>
    <col min="12294" max="12294" width="18.7109375" style="235" bestFit="1" customWidth="1"/>
    <col min="12295" max="12296" width="14.140625" style="235" bestFit="1" customWidth="1"/>
    <col min="12297" max="12297" width="14.42578125" style="235" bestFit="1" customWidth="1"/>
    <col min="12298" max="12298" width="10.85546875" style="235" bestFit="1" customWidth="1"/>
    <col min="12299" max="12299" width="5" style="235" bestFit="1" customWidth="1"/>
    <col min="12300" max="12300" width="11.7109375" style="235" bestFit="1" customWidth="1"/>
    <col min="12301" max="12546" width="9.140625" style="235" customWidth="1"/>
    <col min="12547" max="12547" width="5" style="235" bestFit="1" customWidth="1"/>
    <col min="12548" max="12548" width="13.42578125" style="235" bestFit="1" customWidth="1"/>
    <col min="12549" max="12549" width="47.140625" style="235" bestFit="1" customWidth="1"/>
    <col min="12550" max="12550" width="18.7109375" style="235" bestFit="1" customWidth="1"/>
    <col min="12551" max="12552" width="14.140625" style="235" bestFit="1" customWidth="1"/>
    <col min="12553" max="12553" width="14.42578125" style="235" bestFit="1" customWidth="1"/>
    <col min="12554" max="12554" width="10.85546875" style="235" bestFit="1" customWidth="1"/>
    <col min="12555" max="12555" width="5" style="235" bestFit="1" customWidth="1"/>
    <col min="12556" max="12556" width="11.7109375" style="235" bestFit="1" customWidth="1"/>
    <col min="12557" max="12802" width="9.140625" style="235" customWidth="1"/>
    <col min="12803" max="12803" width="5" style="235" bestFit="1" customWidth="1"/>
    <col min="12804" max="12804" width="13.42578125" style="235" bestFit="1" customWidth="1"/>
    <col min="12805" max="12805" width="47.140625" style="235" bestFit="1" customWidth="1"/>
    <col min="12806" max="12806" width="18.7109375" style="235" bestFit="1" customWidth="1"/>
    <col min="12807" max="12808" width="14.140625" style="235" bestFit="1" customWidth="1"/>
    <col min="12809" max="12809" width="14.42578125" style="235" bestFit="1" customWidth="1"/>
    <col min="12810" max="12810" width="10.85546875" style="235" bestFit="1" customWidth="1"/>
    <col min="12811" max="12811" width="5" style="235" bestFit="1" customWidth="1"/>
    <col min="12812" max="12812" width="11.7109375" style="235" bestFit="1" customWidth="1"/>
    <col min="12813" max="13058" width="9.140625" style="235" customWidth="1"/>
    <col min="13059" max="13059" width="5" style="235" bestFit="1" customWidth="1"/>
    <col min="13060" max="13060" width="13.42578125" style="235" bestFit="1" customWidth="1"/>
    <col min="13061" max="13061" width="47.140625" style="235" bestFit="1" customWidth="1"/>
    <col min="13062" max="13062" width="18.7109375" style="235" bestFit="1" customWidth="1"/>
    <col min="13063" max="13064" width="14.140625" style="235" bestFit="1" customWidth="1"/>
    <col min="13065" max="13065" width="14.42578125" style="235" bestFit="1" customWidth="1"/>
    <col min="13066" max="13066" width="10.85546875" style="235" bestFit="1" customWidth="1"/>
    <col min="13067" max="13067" width="5" style="235" bestFit="1" customWidth="1"/>
    <col min="13068" max="13068" width="11.7109375" style="235" bestFit="1" customWidth="1"/>
    <col min="13069" max="13314" width="9.140625" style="235" customWidth="1"/>
    <col min="13315" max="13315" width="5" style="235" bestFit="1" customWidth="1"/>
    <col min="13316" max="13316" width="13.42578125" style="235" bestFit="1" customWidth="1"/>
    <col min="13317" max="13317" width="47.140625" style="235" bestFit="1" customWidth="1"/>
    <col min="13318" max="13318" width="18.7109375" style="235" bestFit="1" customWidth="1"/>
    <col min="13319" max="13320" width="14.140625" style="235" bestFit="1" customWidth="1"/>
    <col min="13321" max="13321" width="14.42578125" style="235" bestFit="1" customWidth="1"/>
    <col min="13322" max="13322" width="10.85546875" style="235" bestFit="1" customWidth="1"/>
    <col min="13323" max="13323" width="5" style="235" bestFit="1" customWidth="1"/>
    <col min="13324" max="13324" width="11.7109375" style="235" bestFit="1" customWidth="1"/>
    <col min="13325" max="13570" width="9.140625" style="235" customWidth="1"/>
    <col min="13571" max="13571" width="5" style="235" bestFit="1" customWidth="1"/>
    <col min="13572" max="13572" width="13.42578125" style="235" bestFit="1" customWidth="1"/>
    <col min="13573" max="13573" width="47.140625" style="235" bestFit="1" customWidth="1"/>
    <col min="13574" max="13574" width="18.7109375" style="235" bestFit="1" customWidth="1"/>
    <col min="13575" max="13576" width="14.140625" style="235" bestFit="1" customWidth="1"/>
    <col min="13577" max="13577" width="14.42578125" style="235" bestFit="1" customWidth="1"/>
    <col min="13578" max="13578" width="10.85546875" style="235" bestFit="1" customWidth="1"/>
    <col min="13579" max="13579" width="5" style="235" bestFit="1" customWidth="1"/>
    <col min="13580" max="13580" width="11.7109375" style="235" bestFit="1" customWidth="1"/>
    <col min="13581" max="13826" width="9.140625" style="235" customWidth="1"/>
    <col min="13827" max="13827" width="5" style="235" bestFit="1" customWidth="1"/>
    <col min="13828" max="13828" width="13.42578125" style="235" bestFit="1" customWidth="1"/>
    <col min="13829" max="13829" width="47.140625" style="235" bestFit="1" customWidth="1"/>
    <col min="13830" max="13830" width="18.7109375" style="235" bestFit="1" customWidth="1"/>
    <col min="13831" max="13832" width="14.140625" style="235" bestFit="1" customWidth="1"/>
    <col min="13833" max="13833" width="14.42578125" style="235" bestFit="1" customWidth="1"/>
    <col min="13834" max="13834" width="10.85546875" style="235" bestFit="1" customWidth="1"/>
    <col min="13835" max="13835" width="5" style="235" bestFit="1" customWidth="1"/>
    <col min="13836" max="13836" width="11.7109375" style="235" bestFit="1" customWidth="1"/>
    <col min="13837" max="14082" width="9.140625" style="235" customWidth="1"/>
    <col min="14083" max="14083" width="5" style="235" bestFit="1" customWidth="1"/>
    <col min="14084" max="14084" width="13.42578125" style="235" bestFit="1" customWidth="1"/>
    <col min="14085" max="14085" width="47.140625" style="235" bestFit="1" customWidth="1"/>
    <col min="14086" max="14086" width="18.7109375" style="235" bestFit="1" customWidth="1"/>
    <col min="14087" max="14088" width="14.140625" style="235" bestFit="1" customWidth="1"/>
    <col min="14089" max="14089" width="14.42578125" style="235" bestFit="1" customWidth="1"/>
    <col min="14090" max="14090" width="10.85546875" style="235" bestFit="1" customWidth="1"/>
    <col min="14091" max="14091" width="5" style="235" bestFit="1" customWidth="1"/>
    <col min="14092" max="14092" width="11.7109375" style="235" bestFit="1" customWidth="1"/>
    <col min="14093" max="14338" width="9.140625" style="235" customWidth="1"/>
    <col min="14339" max="14339" width="5" style="235" bestFit="1" customWidth="1"/>
    <col min="14340" max="14340" width="13.42578125" style="235" bestFit="1" customWidth="1"/>
    <col min="14341" max="14341" width="47.140625" style="235" bestFit="1" customWidth="1"/>
    <col min="14342" max="14342" width="18.7109375" style="235" bestFit="1" customWidth="1"/>
    <col min="14343" max="14344" width="14.140625" style="235" bestFit="1" customWidth="1"/>
    <col min="14345" max="14345" width="14.42578125" style="235" bestFit="1" customWidth="1"/>
    <col min="14346" max="14346" width="10.85546875" style="235" bestFit="1" customWidth="1"/>
    <col min="14347" max="14347" width="5" style="235" bestFit="1" customWidth="1"/>
    <col min="14348" max="14348" width="11.7109375" style="235" bestFit="1" customWidth="1"/>
    <col min="14349" max="14594" width="9.140625" style="235" customWidth="1"/>
    <col min="14595" max="14595" width="5" style="235" bestFit="1" customWidth="1"/>
    <col min="14596" max="14596" width="13.42578125" style="235" bestFit="1" customWidth="1"/>
    <col min="14597" max="14597" width="47.140625" style="235" bestFit="1" customWidth="1"/>
    <col min="14598" max="14598" width="18.7109375" style="235" bestFit="1" customWidth="1"/>
    <col min="14599" max="14600" width="14.140625" style="235" bestFit="1" customWidth="1"/>
    <col min="14601" max="14601" width="14.42578125" style="235" bestFit="1" customWidth="1"/>
    <col min="14602" max="14602" width="10.85546875" style="235" bestFit="1" customWidth="1"/>
    <col min="14603" max="14603" width="5" style="235" bestFit="1" customWidth="1"/>
    <col min="14604" max="14604" width="11.7109375" style="235" bestFit="1" customWidth="1"/>
    <col min="14605" max="14850" width="9.140625" style="235" customWidth="1"/>
    <col min="14851" max="14851" width="5" style="235" bestFit="1" customWidth="1"/>
    <col min="14852" max="14852" width="13.42578125" style="235" bestFit="1" customWidth="1"/>
    <col min="14853" max="14853" width="47.140625" style="235" bestFit="1" customWidth="1"/>
    <col min="14854" max="14854" width="18.7109375" style="235" bestFit="1" customWidth="1"/>
    <col min="14855" max="14856" width="14.140625" style="235" bestFit="1" customWidth="1"/>
    <col min="14857" max="14857" width="14.42578125" style="235" bestFit="1" customWidth="1"/>
    <col min="14858" max="14858" width="10.85546875" style="235" bestFit="1" customWidth="1"/>
    <col min="14859" max="14859" width="5" style="235" bestFit="1" customWidth="1"/>
    <col min="14860" max="14860" width="11.7109375" style="235" bestFit="1" customWidth="1"/>
    <col min="14861" max="15106" width="9.140625" style="235" customWidth="1"/>
    <col min="15107" max="15107" width="5" style="235" bestFit="1" customWidth="1"/>
    <col min="15108" max="15108" width="13.42578125" style="235" bestFit="1" customWidth="1"/>
    <col min="15109" max="15109" width="47.140625" style="235" bestFit="1" customWidth="1"/>
    <col min="15110" max="15110" width="18.7109375" style="235" bestFit="1" customWidth="1"/>
    <col min="15111" max="15112" width="14.140625" style="235" bestFit="1" customWidth="1"/>
    <col min="15113" max="15113" width="14.42578125" style="235" bestFit="1" customWidth="1"/>
    <col min="15114" max="15114" width="10.85546875" style="235" bestFit="1" customWidth="1"/>
    <col min="15115" max="15115" width="5" style="235" bestFit="1" customWidth="1"/>
    <col min="15116" max="15116" width="11.7109375" style="235" bestFit="1" customWidth="1"/>
    <col min="15117" max="15362" width="9.140625" style="235" customWidth="1"/>
    <col min="15363" max="15363" width="5" style="235" bestFit="1" customWidth="1"/>
    <col min="15364" max="15364" width="13.42578125" style="235" bestFit="1" customWidth="1"/>
    <col min="15365" max="15365" width="47.140625" style="235" bestFit="1" customWidth="1"/>
    <col min="15366" max="15366" width="18.7109375" style="235" bestFit="1" customWidth="1"/>
    <col min="15367" max="15368" width="14.140625" style="235" bestFit="1" customWidth="1"/>
    <col min="15369" max="15369" width="14.42578125" style="235" bestFit="1" customWidth="1"/>
    <col min="15370" max="15370" width="10.85546875" style="235" bestFit="1" customWidth="1"/>
    <col min="15371" max="15371" width="5" style="235" bestFit="1" customWidth="1"/>
    <col min="15372" max="15372" width="11.7109375" style="235" bestFit="1" customWidth="1"/>
    <col min="15373" max="15618" width="9.140625" style="235" customWidth="1"/>
    <col min="15619" max="15619" width="5" style="235" bestFit="1" customWidth="1"/>
    <col min="15620" max="15620" width="13.42578125" style="235" bestFit="1" customWidth="1"/>
    <col min="15621" max="15621" width="47.140625" style="235" bestFit="1" customWidth="1"/>
    <col min="15622" max="15622" width="18.7109375" style="235" bestFit="1" customWidth="1"/>
    <col min="15623" max="15624" width="14.140625" style="235" bestFit="1" customWidth="1"/>
    <col min="15625" max="15625" width="14.42578125" style="235" bestFit="1" customWidth="1"/>
    <col min="15626" max="15626" width="10.85546875" style="235" bestFit="1" customWidth="1"/>
    <col min="15627" max="15627" width="5" style="235" bestFit="1" customWidth="1"/>
    <col min="15628" max="15628" width="11.7109375" style="235" bestFit="1" customWidth="1"/>
    <col min="15629" max="15874" width="9.140625" style="235" customWidth="1"/>
    <col min="15875" max="15875" width="5" style="235" bestFit="1" customWidth="1"/>
    <col min="15876" max="15876" width="13.42578125" style="235" bestFit="1" customWidth="1"/>
    <col min="15877" max="15877" width="47.140625" style="235" bestFit="1" customWidth="1"/>
    <col min="15878" max="15878" width="18.7109375" style="235" bestFit="1" customWidth="1"/>
    <col min="15879" max="15880" width="14.140625" style="235" bestFit="1" customWidth="1"/>
    <col min="15881" max="15881" width="14.42578125" style="235" bestFit="1" customWidth="1"/>
    <col min="15882" max="15882" width="10.85546875" style="235" bestFit="1" customWidth="1"/>
    <col min="15883" max="15883" width="5" style="235" bestFit="1" customWidth="1"/>
    <col min="15884" max="15884" width="11.7109375" style="235" bestFit="1" customWidth="1"/>
    <col min="15885" max="16130" width="9.140625" style="235" customWidth="1"/>
    <col min="16131" max="16131" width="5" style="235" bestFit="1" customWidth="1"/>
    <col min="16132" max="16132" width="13.42578125" style="235" bestFit="1" customWidth="1"/>
    <col min="16133" max="16133" width="47.140625" style="235" bestFit="1" customWidth="1"/>
    <col min="16134" max="16134" width="18.7109375" style="235" bestFit="1" customWidth="1"/>
    <col min="16135" max="16136" width="14.140625" style="235" bestFit="1" customWidth="1"/>
    <col min="16137" max="16137" width="14.42578125" style="235" bestFit="1" customWidth="1"/>
    <col min="16138" max="16138" width="10.85546875" style="235" bestFit="1" customWidth="1"/>
    <col min="16139" max="16139" width="5" style="235" bestFit="1" customWidth="1"/>
    <col min="16140" max="16140" width="11.7109375" style="235" bestFit="1" customWidth="1"/>
    <col min="16141" max="16384" width="9.140625" style="235" customWidth="1"/>
  </cols>
  <sheetData>
    <row r="1" spans="1:32" s="58" customFormat="1" ht="39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1:32" s="235" customFormat="1" ht="16.5" customHeight="1">
      <c r="A2" s="227"/>
      <c r="B2" s="228"/>
      <c r="C2" s="229"/>
      <c r="D2" s="228"/>
      <c r="E2" s="164"/>
      <c r="F2" s="164"/>
      <c r="G2" s="230"/>
      <c r="H2" s="231"/>
      <c r="I2" s="232"/>
      <c r="J2" s="232"/>
      <c r="K2" s="233"/>
      <c r="L2" s="233"/>
      <c r="M2" s="233"/>
      <c r="N2" s="234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</row>
    <row r="3" spans="1:32" s="235" customFormat="1" ht="16.5" customHeight="1">
      <c r="A3" s="227"/>
      <c r="B3" s="228"/>
      <c r="C3" s="229"/>
      <c r="D3" s="228"/>
      <c r="E3" s="164"/>
      <c r="F3" s="164"/>
      <c r="G3" s="230"/>
      <c r="H3" s="231"/>
      <c r="I3" s="232"/>
      <c r="J3" s="232"/>
      <c r="K3" s="233"/>
      <c r="L3" s="233"/>
      <c r="M3" s="233"/>
      <c r="N3" s="234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/>
      <c r="AF3" s="165"/>
    </row>
    <row r="4" spans="1:32" s="235" customFormat="1" ht="16.5" customHeight="1">
      <c r="A4" s="227"/>
      <c r="B4" s="228"/>
      <c r="C4" s="229"/>
      <c r="D4" s="228"/>
      <c r="E4" s="164"/>
      <c r="F4" s="164"/>
      <c r="G4" s="230"/>
      <c r="H4" s="231"/>
      <c r="I4" s="232"/>
      <c r="J4" s="232"/>
      <c r="K4" s="233"/>
      <c r="L4" s="233"/>
      <c r="M4" s="233"/>
      <c r="N4" s="234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/>
      <c r="AF4" s="165"/>
    </row>
    <row r="5" spans="1:32" s="235" customFormat="1" ht="16.5" customHeight="1">
      <c r="A5" s="227"/>
      <c r="B5" s="228"/>
      <c r="C5" s="229"/>
      <c r="D5" s="228"/>
      <c r="E5" s="164"/>
      <c r="F5" s="164"/>
      <c r="G5" s="230"/>
      <c r="H5" s="231"/>
      <c r="I5" s="232"/>
      <c r="J5" s="232"/>
      <c r="K5" s="233"/>
      <c r="L5" s="233"/>
      <c r="M5" s="233"/>
      <c r="N5" s="234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</row>
    <row r="6" spans="1:32" s="235" customFormat="1" ht="16.5" customHeight="1">
      <c r="A6" s="227"/>
      <c r="B6" s="228"/>
      <c r="C6" s="229"/>
      <c r="D6" s="228"/>
      <c r="E6" s="164"/>
      <c r="F6" s="164"/>
      <c r="G6" s="230"/>
      <c r="H6" s="231"/>
      <c r="I6" s="232"/>
      <c r="J6" s="232"/>
      <c r="K6" s="233"/>
      <c r="L6" s="233"/>
      <c r="M6" s="233"/>
      <c r="N6" s="234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5"/>
      <c r="Z6" s="165"/>
      <c r="AA6" s="165"/>
      <c r="AB6" s="165"/>
      <c r="AC6" s="165"/>
      <c r="AD6" s="165"/>
      <c r="AE6" s="165"/>
      <c r="AF6" s="165"/>
    </row>
    <row r="7" spans="1:32" s="235" customFormat="1" ht="16.5" customHeight="1">
      <c r="A7" s="227"/>
      <c r="B7" s="228"/>
      <c r="C7" s="229"/>
      <c r="D7" s="228"/>
      <c r="E7" s="164"/>
      <c r="F7" s="164"/>
      <c r="G7" s="230"/>
      <c r="H7" s="231"/>
      <c r="I7" s="232"/>
      <c r="J7" s="232"/>
      <c r="K7" s="233"/>
      <c r="L7" s="233"/>
      <c r="M7" s="233"/>
      <c r="N7" s="234"/>
      <c r="O7" s="165"/>
      <c r="P7" s="165"/>
      <c r="Q7" s="165"/>
      <c r="R7" s="165"/>
      <c r="S7" s="165"/>
      <c r="T7" s="165"/>
      <c r="U7" s="165"/>
      <c r="V7" s="165"/>
      <c r="W7" s="165"/>
      <c r="X7" s="165"/>
      <c r="Y7" s="165"/>
      <c r="Z7" s="165"/>
      <c r="AA7" s="165"/>
      <c r="AB7" s="165"/>
      <c r="AC7" s="165"/>
      <c r="AD7" s="165"/>
      <c r="AE7" s="165"/>
      <c r="AF7" s="165"/>
    </row>
    <row r="8" spans="1:32" s="235" customFormat="1" ht="16.5" customHeight="1">
      <c r="A8" s="227"/>
      <c r="B8" s="228"/>
      <c r="C8" s="229"/>
      <c r="D8" s="228"/>
      <c r="E8" s="164"/>
      <c r="F8" s="164"/>
      <c r="G8" s="230"/>
      <c r="H8" s="231"/>
      <c r="I8" s="232"/>
      <c r="J8" s="232"/>
      <c r="K8" s="233"/>
      <c r="L8" s="233"/>
      <c r="M8" s="233"/>
      <c r="N8" s="234"/>
      <c r="O8" s="165"/>
      <c r="P8" s="165"/>
      <c r="Q8" s="165"/>
      <c r="R8" s="165"/>
      <c r="S8" s="165"/>
      <c r="T8" s="165"/>
      <c r="U8" s="165"/>
      <c r="V8" s="165"/>
      <c r="W8" s="165"/>
      <c r="X8" s="165"/>
      <c r="Y8" s="165"/>
      <c r="Z8" s="165"/>
      <c r="AA8" s="165"/>
      <c r="AB8" s="165"/>
      <c r="AC8" s="165"/>
      <c r="AD8" s="165"/>
      <c r="AE8" s="165"/>
      <c r="AF8" s="165"/>
    </row>
    <row r="9" spans="1:32" s="235" customFormat="1" ht="16.5" customHeight="1">
      <c r="A9" s="227"/>
      <c r="B9" s="228"/>
      <c r="C9" s="229"/>
      <c r="D9" s="228"/>
      <c r="E9" s="164"/>
      <c r="F9" s="164"/>
      <c r="G9" s="230"/>
      <c r="H9" s="231"/>
      <c r="I9" s="232"/>
      <c r="J9" s="232"/>
      <c r="K9" s="233"/>
      <c r="L9" s="233"/>
      <c r="M9" s="233"/>
      <c r="N9" s="234"/>
      <c r="O9" s="165"/>
      <c r="P9" s="165"/>
      <c r="Q9" s="165"/>
      <c r="R9" s="165"/>
      <c r="S9" s="165"/>
      <c r="T9" s="165"/>
      <c r="U9" s="165"/>
      <c r="V9" s="165"/>
      <c r="W9" s="165"/>
      <c r="X9" s="165"/>
      <c r="Y9" s="165"/>
      <c r="Z9" s="165"/>
      <c r="AA9" s="165"/>
      <c r="AB9" s="165"/>
      <c r="AC9" s="165"/>
      <c r="AD9" s="165"/>
      <c r="AE9" s="165"/>
      <c r="AF9" s="165"/>
    </row>
    <row r="10" spans="1:32" s="235" customFormat="1" ht="16.5" customHeight="1">
      <c r="A10" s="227"/>
      <c r="B10" s="228"/>
      <c r="C10" s="229"/>
      <c r="D10" s="228"/>
      <c r="E10" s="164"/>
      <c r="F10" s="164"/>
      <c r="G10" s="230"/>
      <c r="H10" s="231"/>
      <c r="I10" s="232"/>
      <c r="J10" s="232"/>
      <c r="K10" s="233"/>
      <c r="L10" s="233"/>
      <c r="M10" s="233"/>
      <c r="N10" s="234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  <c r="AF10" s="165"/>
    </row>
    <row r="11" spans="1:32" s="235" customFormat="1" ht="16.5" customHeight="1">
      <c r="A11" s="227"/>
      <c r="B11" s="228"/>
      <c r="C11" s="229"/>
      <c r="D11" s="228"/>
      <c r="E11" s="164"/>
      <c r="F11" s="164"/>
      <c r="G11" s="230"/>
      <c r="H11" s="231"/>
      <c r="I11" s="236"/>
      <c r="J11" s="232"/>
      <c r="L11" s="233"/>
      <c r="M11" s="233"/>
      <c r="N11" s="234"/>
      <c r="O11" s="165"/>
      <c r="P11" s="165"/>
      <c r="Q11" s="165"/>
      <c r="R11" s="165"/>
      <c r="S11" s="165"/>
      <c r="T11" s="165"/>
      <c r="U11" s="165"/>
      <c r="V11" s="165"/>
      <c r="W11" s="165"/>
      <c r="X11" s="165"/>
      <c r="Y11" s="165"/>
      <c r="Z11" s="165"/>
      <c r="AA11" s="165"/>
      <c r="AB11" s="165"/>
      <c r="AC11" s="165"/>
      <c r="AD11" s="165"/>
      <c r="AE11" s="165"/>
      <c r="AF11" s="165"/>
    </row>
    <row r="12" spans="1:32" s="235" customFormat="1" ht="16.5" customHeight="1">
      <c r="A12" s="227"/>
      <c r="B12" s="228"/>
      <c r="C12" s="229"/>
      <c r="D12" s="228"/>
      <c r="E12" s="164"/>
      <c r="F12" s="164"/>
      <c r="G12" s="230"/>
      <c r="H12" s="231"/>
      <c r="I12" s="232"/>
      <c r="J12" s="232"/>
      <c r="K12" s="233"/>
      <c r="L12" s="233"/>
      <c r="M12" s="233"/>
      <c r="N12" s="234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</row>
    <row r="13" spans="1:32" s="235" customFormat="1" ht="16.5" customHeight="1">
      <c r="A13" s="227"/>
      <c r="B13" s="228"/>
      <c r="C13" s="229"/>
      <c r="D13" s="228"/>
      <c r="E13" s="164"/>
      <c r="F13" s="164"/>
      <c r="G13" s="230"/>
      <c r="H13" s="231"/>
      <c r="I13" s="232"/>
      <c r="J13" s="232"/>
      <c r="K13" s="233"/>
      <c r="L13" s="233"/>
      <c r="M13" s="233"/>
      <c r="N13" s="234"/>
      <c r="O13" s="165"/>
      <c r="P13" s="165"/>
      <c r="Q13" s="165"/>
      <c r="R13" s="165"/>
      <c r="S13" s="165"/>
      <c r="T13" s="165"/>
      <c r="U13" s="165"/>
      <c r="V13" s="165"/>
      <c r="W13" s="165"/>
      <c r="X13" s="165"/>
      <c r="Y13" s="165"/>
      <c r="Z13" s="165"/>
      <c r="AA13" s="165"/>
      <c r="AB13" s="165"/>
      <c r="AC13" s="165"/>
      <c r="AD13" s="165"/>
      <c r="AE13" s="165"/>
      <c r="AF13" s="165"/>
    </row>
    <row r="14" spans="1:32" s="235" customFormat="1" ht="16.5" customHeight="1">
      <c r="A14" s="227"/>
      <c r="B14" s="228"/>
      <c r="C14" s="229"/>
      <c r="D14" s="228"/>
      <c r="E14" s="164"/>
      <c r="F14" s="164"/>
      <c r="G14" s="230"/>
      <c r="H14" s="231"/>
      <c r="I14" s="232"/>
      <c r="J14" s="232"/>
      <c r="K14" s="233"/>
      <c r="L14" s="233"/>
      <c r="M14" s="233"/>
      <c r="N14" s="234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  <c r="AF14" s="165"/>
    </row>
    <row r="15" spans="1:32" s="235" customFormat="1" ht="16.5" customHeight="1">
      <c r="A15" s="227"/>
      <c r="B15" s="228"/>
      <c r="C15" s="229"/>
      <c r="D15" s="228"/>
      <c r="E15" s="164"/>
      <c r="F15" s="164"/>
      <c r="G15" s="230"/>
      <c r="H15" s="231"/>
      <c r="I15" s="232"/>
      <c r="J15" s="232"/>
      <c r="K15" s="233"/>
      <c r="L15" s="233"/>
      <c r="M15" s="233"/>
      <c r="N15" s="234"/>
      <c r="O15" s="165"/>
      <c r="P15" s="165"/>
      <c r="Q15" s="165"/>
      <c r="R15" s="165"/>
      <c r="S15" s="165"/>
      <c r="T15" s="165"/>
      <c r="U15" s="165"/>
      <c r="V15" s="165"/>
      <c r="W15" s="165"/>
      <c r="X15" s="165"/>
      <c r="Y15" s="165"/>
      <c r="Z15" s="165"/>
      <c r="AA15" s="165"/>
      <c r="AB15" s="165"/>
      <c r="AC15" s="165"/>
      <c r="AD15" s="165"/>
      <c r="AE15" s="165"/>
      <c r="AF15" s="165"/>
    </row>
    <row r="16" spans="1:32" s="235" customFormat="1" ht="16.5" customHeight="1">
      <c r="A16" s="227"/>
      <c r="B16" s="228"/>
      <c r="C16" s="229"/>
      <c r="D16" s="228"/>
      <c r="E16" s="164"/>
      <c r="F16" s="164"/>
      <c r="G16" s="230"/>
      <c r="H16" s="231"/>
      <c r="I16" s="232"/>
      <c r="J16" s="232"/>
      <c r="K16" s="233"/>
      <c r="L16" s="233"/>
      <c r="M16" s="233"/>
      <c r="N16" s="234"/>
      <c r="O16" s="165"/>
      <c r="P16" s="165"/>
      <c r="Q16" s="165"/>
      <c r="R16" s="165"/>
      <c r="S16" s="165"/>
      <c r="T16" s="165"/>
      <c r="U16" s="165"/>
      <c r="V16" s="165"/>
      <c r="W16" s="165"/>
      <c r="X16" s="165"/>
      <c r="Y16" s="165"/>
      <c r="Z16" s="165"/>
      <c r="AA16" s="165"/>
      <c r="AB16" s="165"/>
      <c r="AC16" s="165"/>
      <c r="AD16" s="165"/>
      <c r="AE16" s="165"/>
      <c r="AF16" s="165"/>
    </row>
    <row r="17" spans="1:32" s="235" customFormat="1" ht="16.5" customHeight="1">
      <c r="A17" s="227"/>
      <c r="B17" s="228"/>
      <c r="C17" s="229"/>
      <c r="D17" s="228"/>
      <c r="E17" s="164"/>
      <c r="F17" s="164"/>
      <c r="G17" s="230"/>
      <c r="H17" s="231"/>
      <c r="I17" s="232"/>
      <c r="J17" s="232"/>
      <c r="K17" s="233"/>
      <c r="L17" s="233"/>
      <c r="M17" s="233"/>
      <c r="N17" s="234"/>
      <c r="O17" s="165"/>
      <c r="P17" s="165"/>
      <c r="Q17" s="165"/>
      <c r="R17" s="165"/>
      <c r="S17" s="165"/>
      <c r="T17" s="165"/>
      <c r="U17" s="165"/>
      <c r="V17" s="165"/>
      <c r="W17" s="165"/>
      <c r="X17" s="165"/>
      <c r="Y17" s="165"/>
      <c r="Z17" s="165"/>
      <c r="AA17" s="165"/>
      <c r="AB17" s="165"/>
      <c r="AC17" s="165"/>
      <c r="AD17" s="165"/>
      <c r="AE17" s="165"/>
      <c r="AF17" s="165"/>
    </row>
    <row r="18" spans="1:32" s="235" customFormat="1" ht="16.5" customHeight="1">
      <c r="A18" s="227"/>
      <c r="B18" s="228"/>
      <c r="C18" s="229"/>
      <c r="D18" s="228"/>
      <c r="E18" s="164"/>
      <c r="F18" s="164"/>
      <c r="G18" s="230"/>
      <c r="H18" s="231"/>
      <c r="I18" s="232"/>
      <c r="J18" s="232"/>
      <c r="K18" s="233"/>
      <c r="L18" s="233"/>
      <c r="M18" s="233"/>
      <c r="N18" s="234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  <c r="AF18" s="165"/>
    </row>
    <row r="19" spans="1:32" s="235" customFormat="1" ht="16.5" customHeight="1">
      <c r="A19" s="227"/>
      <c r="B19" s="228"/>
      <c r="C19" s="229"/>
      <c r="D19" s="228"/>
      <c r="E19" s="164"/>
      <c r="F19" s="164"/>
      <c r="G19" s="230"/>
      <c r="H19" s="231"/>
      <c r="I19" s="232"/>
      <c r="J19" s="232"/>
      <c r="K19" s="233"/>
      <c r="L19" s="233"/>
      <c r="M19" s="233"/>
      <c r="N19" s="234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</row>
    <row r="20" spans="1:32" s="235" customFormat="1" ht="16.5" customHeight="1">
      <c r="A20" s="227"/>
      <c r="B20" s="228"/>
      <c r="C20" s="229"/>
      <c r="D20" s="228"/>
      <c r="E20" s="164"/>
      <c r="F20" s="164"/>
      <c r="G20" s="230"/>
      <c r="H20" s="231"/>
      <c r="I20" s="232"/>
      <c r="J20" s="232"/>
      <c r="K20" s="233"/>
      <c r="L20" s="233"/>
      <c r="M20" s="233"/>
      <c r="N20" s="234"/>
      <c r="O20" s="165"/>
      <c r="P20" s="165"/>
      <c r="Q20" s="165"/>
      <c r="R20" s="165"/>
      <c r="S20" s="165"/>
      <c r="T20" s="165"/>
      <c r="U20" s="165"/>
      <c r="V20" s="165"/>
      <c r="W20" s="165"/>
      <c r="X20" s="165"/>
      <c r="Y20" s="165"/>
      <c r="Z20" s="165"/>
      <c r="AA20" s="165"/>
      <c r="AB20" s="165"/>
      <c r="AC20" s="165"/>
      <c r="AD20" s="165"/>
      <c r="AE20" s="165"/>
      <c r="AF20" s="165"/>
    </row>
    <row r="21" spans="1:32" s="235" customFormat="1" ht="16.5" customHeight="1">
      <c r="A21" s="227"/>
      <c r="B21" s="228"/>
      <c r="C21" s="229"/>
      <c r="D21" s="228"/>
      <c r="E21" s="164"/>
      <c r="F21" s="164"/>
      <c r="G21" s="230"/>
      <c r="H21" s="231"/>
      <c r="I21" s="232"/>
      <c r="J21" s="232"/>
      <c r="K21" s="233"/>
      <c r="L21" s="233"/>
      <c r="M21" s="233"/>
      <c r="N21" s="234"/>
      <c r="O21" s="165"/>
      <c r="P21" s="165"/>
      <c r="Q21" s="165"/>
      <c r="R21" s="165"/>
      <c r="S21" s="165"/>
      <c r="T21" s="165"/>
      <c r="U21" s="165"/>
      <c r="V21" s="165"/>
      <c r="W21" s="165"/>
      <c r="X21" s="165"/>
      <c r="Y21" s="165"/>
      <c r="Z21" s="165"/>
      <c r="AA21" s="165"/>
      <c r="AB21" s="165"/>
      <c r="AC21" s="165"/>
      <c r="AD21" s="165"/>
      <c r="AE21" s="165"/>
      <c r="AF21" s="165"/>
    </row>
    <row r="22" spans="1:32" s="235" customFormat="1" ht="16.5" customHeight="1">
      <c r="A22" s="227"/>
      <c r="B22" s="228"/>
      <c r="C22" s="229"/>
      <c r="D22" s="228"/>
      <c r="E22" s="164"/>
      <c r="F22" s="164"/>
      <c r="G22" s="230"/>
      <c r="H22" s="231"/>
      <c r="I22" s="232"/>
      <c r="J22" s="232"/>
      <c r="K22" s="233"/>
      <c r="L22" s="233"/>
      <c r="M22" s="233"/>
      <c r="N22" s="234"/>
      <c r="O22" s="165"/>
      <c r="P22" s="165"/>
      <c r="Q22" s="165"/>
      <c r="R22" s="165"/>
      <c r="S22" s="165"/>
      <c r="T22" s="165"/>
      <c r="U22" s="165"/>
      <c r="V22" s="165"/>
      <c r="W22" s="165"/>
      <c r="X22" s="165"/>
      <c r="Y22" s="165"/>
      <c r="Z22" s="165"/>
      <c r="AA22" s="165"/>
      <c r="AB22" s="165"/>
      <c r="AC22" s="165"/>
      <c r="AD22" s="165"/>
      <c r="AE22" s="165"/>
      <c r="AF22" s="165"/>
    </row>
    <row r="23" spans="1:32" s="235" customFormat="1" ht="16.5" customHeight="1">
      <c r="A23" s="227"/>
      <c r="B23" s="228"/>
      <c r="C23" s="229"/>
      <c r="D23" s="228"/>
      <c r="E23" s="164"/>
      <c r="F23" s="164"/>
      <c r="G23" s="230"/>
      <c r="H23" s="231"/>
      <c r="I23" s="232"/>
      <c r="J23" s="232"/>
      <c r="K23" s="233"/>
      <c r="L23" s="233"/>
      <c r="M23" s="233"/>
      <c r="N23" s="234"/>
      <c r="O23" s="165"/>
      <c r="P23" s="165"/>
      <c r="Q23" s="165"/>
      <c r="R23" s="165"/>
      <c r="S23" s="165"/>
      <c r="T23" s="165"/>
      <c r="U23" s="165"/>
      <c r="V23" s="165"/>
      <c r="W23" s="165"/>
      <c r="X23" s="165"/>
      <c r="Y23" s="165"/>
      <c r="Z23" s="165"/>
      <c r="AA23" s="165"/>
      <c r="AB23" s="165"/>
      <c r="AC23" s="165"/>
      <c r="AD23" s="165"/>
      <c r="AE23" s="165"/>
      <c r="AF23" s="165"/>
    </row>
    <row r="24" spans="1:32" s="235" customFormat="1" ht="16.5" customHeight="1">
      <c r="A24" s="227"/>
      <c r="B24" s="228"/>
      <c r="C24" s="229"/>
      <c r="D24" s="228"/>
      <c r="E24" s="164"/>
      <c r="F24" s="164"/>
      <c r="G24" s="230"/>
      <c r="H24" s="231"/>
      <c r="I24" s="232"/>
      <c r="J24" s="232"/>
      <c r="K24" s="233"/>
      <c r="L24" s="233"/>
      <c r="M24" s="233"/>
      <c r="N24" s="234"/>
      <c r="O24" s="165"/>
      <c r="P24" s="165"/>
      <c r="Q24" s="165"/>
      <c r="R24" s="165"/>
      <c r="S24" s="165"/>
      <c r="T24" s="165"/>
      <c r="U24" s="165"/>
      <c r="V24" s="165"/>
      <c r="W24" s="165"/>
      <c r="X24" s="165"/>
      <c r="Y24" s="165"/>
      <c r="Z24" s="165"/>
      <c r="AA24" s="165"/>
      <c r="AB24" s="165"/>
      <c r="AC24" s="165"/>
      <c r="AD24" s="165"/>
      <c r="AE24" s="165"/>
      <c r="AF24" s="165"/>
    </row>
    <row r="25" spans="1:32" s="235" customFormat="1" ht="16.5" customHeight="1">
      <c r="A25" s="227"/>
      <c r="B25" s="228"/>
      <c r="C25" s="229"/>
      <c r="D25" s="228"/>
      <c r="E25" s="164"/>
      <c r="F25" s="164"/>
      <c r="G25" s="230"/>
      <c r="H25" s="231"/>
      <c r="I25" s="232"/>
      <c r="J25" s="232"/>
      <c r="K25" s="233"/>
      <c r="L25" s="233"/>
      <c r="M25" s="233"/>
      <c r="N25" s="234"/>
      <c r="O25" s="165"/>
      <c r="P25" s="165"/>
      <c r="Q25" s="165"/>
      <c r="R25" s="165"/>
      <c r="S25" s="165"/>
      <c r="T25" s="165"/>
      <c r="U25" s="165"/>
      <c r="V25" s="165"/>
      <c r="W25" s="165"/>
      <c r="X25" s="165"/>
      <c r="Y25" s="165"/>
      <c r="Z25" s="165"/>
      <c r="AA25" s="165"/>
      <c r="AB25" s="165"/>
      <c r="AC25" s="165"/>
      <c r="AD25" s="165"/>
      <c r="AE25" s="165"/>
      <c r="AF25" s="165"/>
    </row>
    <row r="26" spans="1:32" s="235" customFormat="1" ht="16.5" customHeight="1">
      <c r="A26" s="227"/>
      <c r="B26" s="228"/>
      <c r="C26" s="229"/>
      <c r="D26" s="228"/>
      <c r="E26" s="164"/>
      <c r="F26" s="164"/>
      <c r="G26" s="230"/>
      <c r="H26" s="231"/>
      <c r="I26" s="232"/>
      <c r="J26" s="232"/>
      <c r="K26" s="233"/>
      <c r="L26" s="233"/>
      <c r="M26" s="233"/>
      <c r="N26" s="234"/>
      <c r="O26" s="165"/>
      <c r="P26" s="165"/>
      <c r="Q26" s="165"/>
      <c r="R26" s="165"/>
      <c r="S26" s="165"/>
      <c r="T26" s="165"/>
      <c r="U26" s="165"/>
      <c r="V26" s="165"/>
      <c r="W26" s="165"/>
      <c r="X26" s="165"/>
      <c r="Y26" s="165"/>
      <c r="Z26" s="165"/>
      <c r="AA26" s="165"/>
      <c r="AB26" s="165"/>
      <c r="AC26" s="165"/>
      <c r="AD26" s="165"/>
      <c r="AE26" s="165"/>
      <c r="AF26" s="165"/>
    </row>
    <row r="27" spans="1:32" s="235" customFormat="1" ht="16.5" customHeight="1">
      <c r="A27" s="227"/>
      <c r="B27" s="228"/>
      <c r="C27" s="229"/>
      <c r="D27" s="228"/>
      <c r="E27" s="164"/>
      <c r="F27" s="164"/>
      <c r="G27" s="230"/>
      <c r="H27" s="231"/>
      <c r="I27" s="232"/>
      <c r="J27" s="232"/>
      <c r="K27" s="233"/>
      <c r="L27" s="233"/>
      <c r="M27" s="233"/>
      <c r="N27" s="234"/>
      <c r="O27" s="165"/>
      <c r="P27" s="165"/>
      <c r="Q27" s="165"/>
      <c r="R27" s="165"/>
      <c r="S27" s="165"/>
      <c r="T27" s="165"/>
      <c r="U27" s="165"/>
      <c r="V27" s="165"/>
      <c r="W27" s="165"/>
      <c r="X27" s="165"/>
      <c r="Y27" s="165"/>
      <c r="Z27" s="165"/>
      <c r="AA27" s="165"/>
      <c r="AB27" s="165"/>
      <c r="AC27" s="165"/>
      <c r="AD27" s="165"/>
      <c r="AE27" s="165"/>
      <c r="AF27" s="165"/>
    </row>
    <row r="28" spans="1:32" s="235" customFormat="1" ht="16.5" customHeight="1">
      <c r="A28" s="227"/>
      <c r="B28" s="228"/>
      <c r="C28" s="229"/>
      <c r="D28" s="228"/>
      <c r="E28" s="164"/>
      <c r="F28" s="164"/>
      <c r="G28" s="230"/>
      <c r="H28" s="231"/>
      <c r="I28" s="232"/>
      <c r="J28" s="232"/>
      <c r="K28" s="233"/>
      <c r="L28" s="233"/>
      <c r="M28" s="233"/>
      <c r="N28" s="234"/>
      <c r="O28" s="165"/>
      <c r="P28" s="165"/>
      <c r="Q28" s="165"/>
      <c r="R28" s="165"/>
      <c r="S28" s="165"/>
      <c r="T28" s="165"/>
      <c r="U28" s="165"/>
      <c r="V28" s="165"/>
      <c r="W28" s="165"/>
      <c r="X28" s="165"/>
      <c r="Y28" s="165"/>
      <c r="Z28" s="165"/>
      <c r="AA28" s="165"/>
      <c r="AB28" s="165"/>
      <c r="AC28" s="165"/>
      <c r="AD28" s="165"/>
      <c r="AE28" s="165"/>
      <c r="AF28" s="165"/>
    </row>
    <row r="29" spans="1:32" s="235" customFormat="1" ht="16.5" customHeight="1">
      <c r="A29" s="227"/>
      <c r="B29" s="228"/>
      <c r="C29" s="229"/>
      <c r="D29" s="228"/>
      <c r="E29" s="164"/>
      <c r="F29" s="164"/>
      <c r="G29" s="230"/>
      <c r="H29" s="231"/>
      <c r="I29" s="232"/>
      <c r="J29" s="232"/>
      <c r="K29" s="233"/>
      <c r="L29" s="233"/>
      <c r="M29" s="233"/>
      <c r="N29" s="234"/>
      <c r="O29" s="165"/>
      <c r="P29" s="165"/>
      <c r="Q29" s="165"/>
      <c r="R29" s="165"/>
      <c r="S29" s="165"/>
      <c r="T29" s="165"/>
      <c r="U29" s="165"/>
      <c r="V29" s="165"/>
      <c r="W29" s="165"/>
      <c r="X29" s="165"/>
      <c r="Y29" s="165"/>
      <c r="Z29" s="165"/>
      <c r="AA29" s="165"/>
      <c r="AB29" s="165"/>
      <c r="AC29" s="165"/>
      <c r="AD29" s="165"/>
      <c r="AE29" s="165"/>
      <c r="AF29" s="165"/>
    </row>
    <row r="30" spans="1:32" s="235" customFormat="1" ht="16.5" customHeight="1">
      <c r="A30" s="227"/>
      <c r="B30" s="228"/>
      <c r="C30" s="229"/>
      <c r="D30" s="228"/>
      <c r="E30" s="164"/>
      <c r="F30" s="164"/>
      <c r="G30" s="230"/>
      <c r="H30" s="231"/>
      <c r="I30" s="232"/>
      <c r="J30" s="232"/>
      <c r="K30" s="233"/>
      <c r="L30" s="233"/>
      <c r="M30" s="233"/>
      <c r="N30" s="234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  <c r="AF30" s="165"/>
    </row>
    <row r="31" spans="1:32" s="235" customFormat="1" ht="16.5" customHeight="1">
      <c r="A31" s="227"/>
      <c r="B31" s="228"/>
      <c r="C31" s="229"/>
      <c r="D31" s="228"/>
      <c r="E31" s="164"/>
      <c r="F31" s="164"/>
      <c r="G31" s="230"/>
      <c r="H31" s="231"/>
      <c r="I31" s="232"/>
      <c r="J31" s="232"/>
      <c r="K31" s="233"/>
      <c r="L31" s="233"/>
      <c r="M31" s="233"/>
      <c r="N31" s="234"/>
      <c r="O31" s="165"/>
      <c r="P31" s="165"/>
      <c r="Q31" s="165"/>
      <c r="R31" s="165"/>
      <c r="S31" s="165"/>
      <c r="T31" s="165"/>
      <c r="U31" s="165"/>
      <c r="V31" s="165"/>
      <c r="W31" s="165"/>
      <c r="X31" s="165"/>
      <c r="Y31" s="165"/>
      <c r="Z31" s="165"/>
      <c r="AA31" s="165"/>
      <c r="AB31" s="165"/>
      <c r="AC31" s="165"/>
      <c r="AD31" s="165"/>
      <c r="AE31" s="165"/>
      <c r="AF31" s="165"/>
    </row>
    <row r="32" spans="1:32" s="235" customFormat="1" ht="16.5" customHeight="1">
      <c r="A32" s="227"/>
      <c r="B32" s="228"/>
      <c r="C32" s="229"/>
      <c r="D32" s="228"/>
      <c r="E32" s="164"/>
      <c r="F32" s="164"/>
      <c r="G32" s="230"/>
      <c r="H32" s="231"/>
      <c r="I32" s="232"/>
      <c r="J32" s="232"/>
      <c r="K32" s="233"/>
      <c r="L32" s="233"/>
      <c r="M32" s="233"/>
      <c r="N32" s="234"/>
      <c r="O32" s="165"/>
      <c r="P32" s="165"/>
      <c r="Q32" s="165"/>
      <c r="R32" s="165"/>
      <c r="S32" s="165"/>
      <c r="T32" s="165"/>
      <c r="U32" s="165"/>
      <c r="V32" s="165"/>
      <c r="W32" s="165"/>
      <c r="X32" s="165"/>
      <c r="Y32" s="165"/>
      <c r="Z32" s="165"/>
      <c r="AA32" s="165"/>
      <c r="AB32" s="165"/>
      <c r="AC32" s="165"/>
      <c r="AD32" s="165"/>
      <c r="AE32" s="165"/>
      <c r="AF32" s="165"/>
    </row>
    <row r="33" spans="1:32" s="235" customFormat="1" ht="16.5" customHeight="1">
      <c r="A33" s="227"/>
      <c r="B33" s="228"/>
      <c r="C33" s="229"/>
      <c r="D33" s="228"/>
      <c r="E33" s="164"/>
      <c r="F33" s="164"/>
      <c r="G33" s="230"/>
      <c r="H33" s="231"/>
      <c r="I33" s="232"/>
      <c r="J33" s="232"/>
      <c r="K33" s="233"/>
      <c r="L33" s="233"/>
      <c r="M33" s="233"/>
      <c r="N33" s="234"/>
      <c r="O33" s="165"/>
      <c r="P33" s="165"/>
      <c r="Q33" s="165"/>
      <c r="R33" s="165"/>
      <c r="S33" s="165"/>
      <c r="T33" s="165"/>
      <c r="U33" s="165"/>
      <c r="V33" s="165"/>
      <c r="W33" s="165"/>
      <c r="X33" s="165"/>
      <c r="Y33" s="165"/>
      <c r="Z33" s="165"/>
      <c r="AA33" s="165"/>
      <c r="AB33" s="165"/>
      <c r="AC33" s="165"/>
      <c r="AD33" s="165"/>
      <c r="AE33" s="165"/>
      <c r="AF33" s="165"/>
    </row>
    <row r="34" spans="1:32" s="235" customFormat="1" ht="16.5" customHeight="1">
      <c r="A34" s="227"/>
      <c r="B34" s="228"/>
      <c r="C34" s="229"/>
      <c r="D34" s="228"/>
      <c r="E34" s="164"/>
      <c r="F34" s="164"/>
      <c r="G34" s="230"/>
      <c r="H34" s="231"/>
      <c r="I34" s="232"/>
      <c r="J34" s="232"/>
      <c r="K34" s="233"/>
      <c r="L34" s="233"/>
      <c r="M34" s="233"/>
      <c r="N34" s="234"/>
      <c r="O34" s="165"/>
      <c r="P34" s="165"/>
      <c r="Q34" s="165"/>
      <c r="R34" s="165"/>
      <c r="S34" s="165"/>
      <c r="T34" s="165"/>
      <c r="U34" s="165"/>
      <c r="V34" s="165"/>
      <c r="W34" s="165"/>
      <c r="X34" s="165"/>
      <c r="Y34" s="165"/>
      <c r="Z34" s="165"/>
      <c r="AA34" s="165"/>
      <c r="AB34" s="165"/>
      <c r="AC34" s="165"/>
      <c r="AD34" s="165"/>
      <c r="AE34" s="165"/>
      <c r="AF34" s="165"/>
    </row>
    <row r="35" spans="1:32" s="235" customFormat="1" ht="16.5" customHeight="1">
      <c r="A35" s="227"/>
      <c r="B35" s="228"/>
      <c r="C35" s="229"/>
      <c r="D35" s="228"/>
      <c r="E35" s="164"/>
      <c r="F35" s="164"/>
      <c r="G35" s="230"/>
      <c r="H35" s="231"/>
      <c r="I35" s="232"/>
      <c r="J35" s="232"/>
      <c r="K35" s="233"/>
      <c r="L35" s="233"/>
      <c r="M35" s="233"/>
      <c r="N35" s="234"/>
      <c r="O35" s="165"/>
      <c r="P35" s="165"/>
      <c r="Q35" s="165"/>
      <c r="R35" s="165"/>
      <c r="S35" s="165"/>
      <c r="T35" s="165"/>
      <c r="U35" s="165"/>
      <c r="V35" s="165"/>
      <c r="W35" s="165"/>
      <c r="X35" s="165"/>
      <c r="Y35" s="165"/>
      <c r="Z35" s="165"/>
      <c r="AA35" s="165"/>
      <c r="AB35" s="165"/>
      <c r="AC35" s="165"/>
      <c r="AD35" s="165"/>
      <c r="AE35" s="165"/>
      <c r="AF35" s="165"/>
    </row>
    <row r="36" spans="1:32" s="235" customFormat="1" ht="16.5" customHeight="1">
      <c r="A36" s="227"/>
      <c r="B36" s="228"/>
      <c r="C36" s="229"/>
      <c r="D36" s="228"/>
      <c r="E36" s="164"/>
      <c r="F36" s="164"/>
      <c r="G36" s="230"/>
      <c r="H36" s="231"/>
      <c r="I36" s="232"/>
      <c r="J36" s="232"/>
      <c r="K36" s="233"/>
      <c r="L36" s="233"/>
      <c r="M36" s="233"/>
      <c r="N36" s="234"/>
      <c r="O36" s="165"/>
      <c r="P36" s="165"/>
      <c r="Q36" s="165"/>
      <c r="R36" s="165"/>
      <c r="S36" s="165"/>
      <c r="T36" s="165"/>
      <c r="U36" s="165"/>
      <c r="V36" s="165"/>
      <c r="W36" s="165"/>
      <c r="X36" s="165"/>
      <c r="Y36" s="165"/>
      <c r="Z36" s="165"/>
      <c r="AA36" s="165"/>
      <c r="AB36" s="165"/>
      <c r="AC36" s="165"/>
      <c r="AD36" s="165"/>
      <c r="AE36" s="165"/>
      <c r="AF36" s="165"/>
    </row>
    <row r="37" spans="1:32" s="235" customFormat="1" ht="16.5" customHeight="1">
      <c r="A37" s="227"/>
      <c r="B37" s="228"/>
      <c r="C37" s="229"/>
      <c r="D37" s="228"/>
      <c r="E37" s="164"/>
      <c r="F37" s="164"/>
      <c r="G37" s="230"/>
      <c r="H37" s="231"/>
      <c r="I37" s="232"/>
      <c r="J37" s="232"/>
      <c r="K37" s="233"/>
      <c r="L37" s="233"/>
      <c r="M37" s="233"/>
      <c r="N37" s="234"/>
      <c r="O37" s="165"/>
      <c r="P37" s="165"/>
      <c r="Q37" s="165"/>
      <c r="R37" s="165"/>
      <c r="S37" s="165"/>
      <c r="T37" s="165"/>
      <c r="U37" s="165"/>
      <c r="V37" s="165"/>
      <c r="W37" s="165"/>
      <c r="X37" s="165"/>
      <c r="Y37" s="165"/>
      <c r="Z37" s="165"/>
      <c r="AA37" s="165"/>
      <c r="AB37" s="165"/>
      <c r="AC37" s="165"/>
      <c r="AD37" s="165"/>
      <c r="AE37" s="165"/>
      <c r="AF37" s="165"/>
    </row>
    <row r="38" spans="1:32" s="235" customFormat="1" ht="16.5" customHeight="1">
      <c r="A38" s="227"/>
      <c r="B38" s="228"/>
      <c r="C38" s="229"/>
      <c r="D38" s="228"/>
      <c r="E38" s="164"/>
      <c r="F38" s="164"/>
      <c r="G38" s="230"/>
      <c r="H38" s="231"/>
      <c r="I38" s="232"/>
      <c r="J38" s="232"/>
      <c r="K38" s="233"/>
      <c r="L38" s="233"/>
      <c r="M38" s="233"/>
      <c r="N38" s="234"/>
      <c r="O38" s="165"/>
      <c r="P38" s="165"/>
      <c r="Q38" s="165"/>
      <c r="R38" s="165"/>
      <c r="S38" s="165"/>
      <c r="T38" s="165"/>
      <c r="U38" s="165"/>
      <c r="V38" s="165"/>
      <c r="W38" s="165"/>
      <c r="X38" s="165"/>
      <c r="Y38" s="165"/>
      <c r="Z38" s="165"/>
      <c r="AA38" s="165"/>
      <c r="AB38" s="165"/>
      <c r="AC38" s="165"/>
      <c r="AD38" s="165"/>
      <c r="AE38" s="165"/>
      <c r="AF38" s="165"/>
    </row>
    <row r="39" spans="1:32" s="235" customFormat="1" ht="16.5" customHeight="1">
      <c r="A39" s="227"/>
      <c r="B39" s="228"/>
      <c r="C39" s="229"/>
      <c r="D39" s="228"/>
      <c r="E39" s="164"/>
      <c r="F39" s="164"/>
      <c r="G39" s="230"/>
      <c r="H39" s="231"/>
      <c r="I39" s="232"/>
      <c r="J39" s="232"/>
      <c r="K39" s="233"/>
      <c r="L39" s="233"/>
      <c r="M39" s="233"/>
      <c r="N39" s="234"/>
      <c r="O39" s="165"/>
      <c r="P39" s="165"/>
      <c r="Q39" s="165"/>
      <c r="R39" s="165"/>
      <c r="S39" s="165"/>
      <c r="T39" s="165"/>
      <c r="U39" s="165"/>
      <c r="V39" s="165"/>
      <c r="W39" s="165"/>
      <c r="X39" s="165"/>
      <c r="Y39" s="165"/>
      <c r="Z39" s="165"/>
      <c r="AA39" s="165"/>
      <c r="AB39" s="165"/>
      <c r="AC39" s="165"/>
      <c r="AD39" s="165"/>
      <c r="AE39" s="165"/>
      <c r="AF39" s="165"/>
    </row>
    <row r="40" spans="1:32" s="235" customFormat="1" ht="16.5" customHeight="1">
      <c r="A40" s="227"/>
      <c r="B40" s="228"/>
      <c r="C40" s="229"/>
      <c r="D40" s="228"/>
      <c r="E40" s="164"/>
      <c r="F40" s="164"/>
      <c r="G40" s="230"/>
      <c r="H40" s="231"/>
      <c r="I40" s="232"/>
      <c r="J40" s="232"/>
      <c r="K40" s="233"/>
      <c r="L40" s="233"/>
      <c r="M40" s="233"/>
      <c r="N40" s="234"/>
      <c r="O40" s="165"/>
      <c r="P40" s="165"/>
      <c r="Q40" s="165"/>
      <c r="R40" s="165"/>
      <c r="S40" s="165"/>
      <c r="T40" s="165"/>
      <c r="U40" s="165"/>
      <c r="V40" s="165"/>
      <c r="W40" s="165"/>
      <c r="X40" s="165"/>
      <c r="Y40" s="165"/>
      <c r="Z40" s="165"/>
      <c r="AA40" s="165"/>
      <c r="AB40" s="165"/>
      <c r="AC40" s="165"/>
      <c r="AD40" s="165"/>
      <c r="AE40" s="165"/>
      <c r="AF40" s="165"/>
    </row>
    <row r="41" spans="1:32" s="235" customFormat="1" ht="16.5" customHeight="1">
      <c r="A41" s="227"/>
      <c r="B41" s="228"/>
      <c r="C41" s="229"/>
      <c r="D41" s="228"/>
      <c r="E41" s="164"/>
      <c r="F41" s="164"/>
      <c r="G41" s="230"/>
      <c r="H41" s="231"/>
      <c r="I41" s="232"/>
      <c r="J41" s="232"/>
      <c r="K41" s="233"/>
      <c r="L41" s="233"/>
      <c r="M41" s="233"/>
      <c r="N41" s="234"/>
      <c r="O41" s="165"/>
      <c r="P41" s="165"/>
      <c r="Q41" s="165"/>
      <c r="R41" s="165"/>
      <c r="S41" s="165"/>
      <c r="T41" s="165"/>
      <c r="U41" s="165"/>
      <c r="V41" s="165"/>
      <c r="W41" s="165"/>
      <c r="X41" s="165"/>
      <c r="Y41" s="165"/>
      <c r="Z41" s="165"/>
      <c r="AA41" s="165"/>
      <c r="AB41" s="165"/>
      <c r="AC41" s="165"/>
      <c r="AD41" s="165"/>
      <c r="AE41" s="165"/>
      <c r="AF41" s="165"/>
    </row>
    <row r="42" spans="1:32" s="235" customFormat="1" ht="16.5" customHeight="1">
      <c r="A42" s="227"/>
      <c r="B42" s="228"/>
      <c r="C42" s="229"/>
      <c r="D42" s="228"/>
      <c r="E42" s="164"/>
      <c r="F42" s="164"/>
      <c r="G42" s="230"/>
      <c r="H42" s="231"/>
      <c r="I42" s="232"/>
      <c r="J42" s="232"/>
      <c r="K42" s="233"/>
      <c r="L42" s="233"/>
      <c r="M42" s="233"/>
      <c r="N42" s="234"/>
      <c r="O42" s="165"/>
      <c r="P42" s="165"/>
      <c r="Q42" s="165"/>
      <c r="R42" s="165"/>
      <c r="S42" s="165"/>
      <c r="T42" s="165"/>
      <c r="U42" s="165"/>
      <c r="V42" s="165"/>
      <c r="W42" s="165"/>
      <c r="X42" s="165"/>
      <c r="Y42" s="165"/>
      <c r="Z42" s="165"/>
      <c r="AA42" s="165"/>
      <c r="AB42" s="165"/>
      <c r="AC42" s="165"/>
      <c r="AD42" s="165"/>
      <c r="AE42" s="165"/>
      <c r="AF42" s="165"/>
    </row>
    <row r="43" spans="1:32" s="235" customFormat="1" ht="16.5" customHeight="1">
      <c r="A43" s="227"/>
      <c r="B43" s="228"/>
      <c r="C43" s="229"/>
      <c r="D43" s="228"/>
      <c r="E43" s="164"/>
      <c r="F43" s="164"/>
      <c r="G43" s="230"/>
      <c r="H43" s="231"/>
      <c r="I43" s="232"/>
      <c r="J43" s="232"/>
      <c r="K43" s="233"/>
      <c r="L43" s="233"/>
      <c r="M43" s="233"/>
      <c r="N43" s="234"/>
      <c r="O43" s="165"/>
      <c r="P43" s="165"/>
      <c r="Q43" s="165"/>
      <c r="R43" s="165"/>
      <c r="S43" s="165"/>
      <c r="T43" s="165"/>
      <c r="U43" s="165"/>
      <c r="V43" s="165"/>
      <c r="W43" s="165"/>
      <c r="X43" s="165"/>
      <c r="Y43" s="165"/>
      <c r="Z43" s="165"/>
      <c r="AA43" s="165"/>
      <c r="AB43" s="165"/>
      <c r="AC43" s="165"/>
      <c r="AD43" s="165"/>
      <c r="AE43" s="165"/>
      <c r="AF43" s="165"/>
    </row>
    <row r="44" spans="1:32" s="235" customFormat="1" ht="16.5" customHeight="1">
      <c r="A44" s="227"/>
      <c r="B44" s="228"/>
      <c r="C44" s="229"/>
      <c r="D44" s="228"/>
      <c r="E44" s="164"/>
      <c r="F44" s="164"/>
      <c r="G44" s="230"/>
      <c r="H44" s="231"/>
      <c r="I44" s="232"/>
      <c r="J44" s="232"/>
      <c r="K44" s="233"/>
      <c r="L44" s="233"/>
      <c r="M44" s="233"/>
      <c r="N44" s="234"/>
      <c r="O44" s="165"/>
      <c r="P44" s="165"/>
      <c r="Q44" s="165"/>
      <c r="R44" s="165"/>
      <c r="S44" s="165"/>
      <c r="T44" s="165"/>
      <c r="U44" s="165"/>
      <c r="V44" s="165"/>
      <c r="W44" s="165"/>
      <c r="X44" s="165"/>
      <c r="Y44" s="165"/>
      <c r="Z44" s="165"/>
      <c r="AA44" s="165"/>
      <c r="AB44" s="165"/>
      <c r="AC44" s="165"/>
      <c r="AD44" s="165"/>
      <c r="AE44" s="165"/>
      <c r="AF44" s="165"/>
    </row>
    <row r="45" spans="1:32" s="235" customFormat="1" ht="16.5" customHeight="1">
      <c r="A45" s="227"/>
      <c r="B45" s="228"/>
      <c r="C45" s="229"/>
      <c r="D45" s="228"/>
      <c r="E45" s="164"/>
      <c r="F45" s="164"/>
      <c r="G45" s="230"/>
      <c r="H45" s="231"/>
      <c r="I45" s="232"/>
      <c r="J45" s="232"/>
      <c r="K45" s="233"/>
      <c r="L45" s="233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</row>
    <row r="46" spans="1:32" s="235" customFormat="1" ht="16.5" customHeight="1" thickBot="1">
      <c r="A46" s="227"/>
      <c r="B46" s="228"/>
      <c r="C46" s="229"/>
      <c r="D46" s="228"/>
      <c r="E46" s="164"/>
      <c r="F46" s="164"/>
      <c r="G46" s="164"/>
      <c r="H46" s="231"/>
      <c r="I46" s="232"/>
      <c r="J46" s="237"/>
      <c r="K46" s="238"/>
      <c r="L46" s="233"/>
      <c r="M46" s="239"/>
      <c r="N46" s="240"/>
      <c r="O46" s="165"/>
      <c r="P46" s="165"/>
      <c r="Q46" s="165"/>
      <c r="R46" s="165"/>
      <c r="S46" s="165"/>
      <c r="T46" s="165"/>
      <c r="U46" s="165"/>
      <c r="V46" s="165"/>
      <c r="W46" s="165"/>
      <c r="X46" s="165"/>
      <c r="Y46" s="165"/>
      <c r="Z46" s="165"/>
      <c r="AA46" s="165"/>
      <c r="AB46" s="165"/>
      <c r="AC46" s="165"/>
      <c r="AD46" s="165"/>
      <c r="AE46" s="165"/>
      <c r="AF46" s="165"/>
    </row>
    <row r="47" spans="1:32" s="246" customFormat="1" ht="16.5" customHeight="1">
      <c r="A47" s="241"/>
      <c r="B47" s="242"/>
      <c r="C47" s="243"/>
      <c r="D47" s="242"/>
      <c r="E47" s="166"/>
      <c r="F47" s="166"/>
      <c r="G47" s="166"/>
      <c r="H47" s="244"/>
      <c r="I47" s="245"/>
      <c r="J47" s="245"/>
      <c r="L47" s="247"/>
      <c r="M47" s="247"/>
      <c r="N47" s="248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</row>
    <row r="48" spans="1:32" s="235" customFormat="1" ht="16.5" customHeight="1">
      <c r="A48" s="227"/>
      <c r="B48" s="228"/>
      <c r="C48" s="229"/>
      <c r="D48" s="228"/>
      <c r="E48" s="164"/>
      <c r="F48" s="164"/>
      <c r="G48" s="230"/>
      <c r="H48" s="231"/>
      <c r="I48" s="236"/>
      <c r="J48" s="236"/>
      <c r="L48" s="233"/>
      <c r="M48" s="233"/>
      <c r="N48" s="234"/>
      <c r="O48" s="165"/>
      <c r="P48" s="165"/>
      <c r="Q48" s="165"/>
      <c r="R48" s="165"/>
      <c r="S48" s="165"/>
      <c r="T48" s="165"/>
      <c r="U48" s="165"/>
      <c r="V48" s="165"/>
      <c r="W48" s="165"/>
      <c r="X48" s="165"/>
      <c r="Y48" s="165"/>
      <c r="Z48" s="165"/>
      <c r="AA48" s="165"/>
      <c r="AB48" s="165"/>
      <c r="AC48" s="165"/>
      <c r="AD48" s="165"/>
      <c r="AE48" s="165"/>
      <c r="AF48" s="165"/>
    </row>
    <row r="49" spans="1:32" s="235" customFormat="1" ht="16.5" customHeight="1">
      <c r="A49" s="227"/>
      <c r="B49" s="228"/>
      <c r="C49" s="229"/>
      <c r="D49" s="228"/>
      <c r="E49" s="164"/>
      <c r="F49" s="164"/>
      <c r="G49" s="230"/>
      <c r="H49" s="231"/>
      <c r="I49" s="236"/>
      <c r="J49" s="236"/>
      <c r="L49" s="233"/>
      <c r="M49" s="233"/>
      <c r="N49" s="234"/>
      <c r="O49" s="165"/>
      <c r="P49" s="165"/>
      <c r="Q49" s="165"/>
      <c r="R49" s="165"/>
      <c r="S49" s="165"/>
      <c r="T49" s="165"/>
      <c r="U49" s="165"/>
      <c r="V49" s="165"/>
      <c r="W49" s="165"/>
      <c r="X49" s="165"/>
      <c r="Y49" s="165"/>
      <c r="Z49" s="165"/>
      <c r="AA49" s="165"/>
      <c r="AB49" s="165"/>
      <c r="AC49" s="165"/>
      <c r="AD49" s="165"/>
      <c r="AE49" s="165"/>
      <c r="AF49" s="165"/>
    </row>
    <row r="50" spans="1:32" s="235" customFormat="1" ht="16.5" customHeight="1">
      <c r="A50" s="227"/>
      <c r="B50" s="228"/>
      <c r="C50" s="229"/>
      <c r="D50" s="228"/>
      <c r="E50" s="164"/>
      <c r="F50" s="164"/>
      <c r="G50" s="230"/>
      <c r="H50" s="231"/>
      <c r="I50" s="236"/>
      <c r="J50" s="236"/>
      <c r="L50" s="233"/>
      <c r="M50" s="233"/>
      <c r="N50" s="234"/>
      <c r="O50" s="165"/>
      <c r="P50" s="165"/>
      <c r="Q50" s="165"/>
      <c r="R50" s="165"/>
      <c r="S50" s="165"/>
      <c r="T50" s="165"/>
      <c r="U50" s="165"/>
      <c r="V50" s="165"/>
      <c r="W50" s="165"/>
      <c r="X50" s="165"/>
      <c r="Y50" s="165"/>
      <c r="Z50" s="165"/>
      <c r="AA50" s="165"/>
      <c r="AB50" s="165"/>
      <c r="AC50" s="165"/>
      <c r="AD50" s="165"/>
      <c r="AE50" s="165"/>
      <c r="AF50" s="165"/>
    </row>
    <row r="51" spans="1:32" s="235" customFormat="1" ht="16.5" customHeight="1">
      <c r="A51" s="227"/>
      <c r="B51" s="228"/>
      <c r="C51" s="229"/>
      <c r="D51" s="228"/>
      <c r="E51" s="164"/>
      <c r="F51" s="164"/>
      <c r="G51" s="230"/>
      <c r="H51" s="231"/>
      <c r="I51" s="232"/>
      <c r="J51" s="232"/>
      <c r="K51" s="233"/>
      <c r="L51" s="233"/>
      <c r="M51" s="233"/>
      <c r="N51" s="234"/>
      <c r="O51" s="165"/>
      <c r="P51" s="165"/>
      <c r="Q51" s="165"/>
      <c r="R51" s="165"/>
      <c r="S51" s="165"/>
      <c r="T51" s="165"/>
      <c r="U51" s="165"/>
      <c r="V51" s="165"/>
      <c r="W51" s="165"/>
      <c r="X51" s="165"/>
      <c r="Y51" s="165"/>
      <c r="Z51" s="165"/>
      <c r="AA51" s="165"/>
      <c r="AB51" s="165"/>
      <c r="AC51" s="165"/>
      <c r="AD51" s="165"/>
      <c r="AE51" s="165"/>
      <c r="AF51" s="165"/>
    </row>
    <row r="52" spans="1:32" s="235" customFormat="1" ht="16.5" customHeight="1">
      <c r="A52" s="227"/>
      <c r="B52" s="228"/>
      <c r="C52" s="229"/>
      <c r="D52" s="228"/>
      <c r="E52" s="164"/>
      <c r="F52" s="164"/>
      <c r="G52" s="230"/>
      <c r="H52" s="231"/>
      <c r="I52" s="232"/>
      <c r="J52" s="232"/>
      <c r="K52" s="233"/>
      <c r="L52" s="233"/>
      <c r="M52" s="233"/>
      <c r="N52" s="234"/>
      <c r="O52" s="165"/>
      <c r="P52" s="165"/>
      <c r="Q52" s="165"/>
      <c r="R52" s="165"/>
      <c r="S52" s="165"/>
      <c r="T52" s="165"/>
      <c r="U52" s="165"/>
      <c r="V52" s="165"/>
      <c r="W52" s="165"/>
      <c r="X52" s="165"/>
      <c r="Y52" s="165"/>
      <c r="Z52" s="165"/>
      <c r="AA52" s="165"/>
      <c r="AB52" s="165"/>
      <c r="AC52" s="165"/>
      <c r="AD52" s="165"/>
      <c r="AE52" s="165"/>
      <c r="AF52" s="165"/>
    </row>
    <row r="53" spans="1:32" s="235" customFormat="1" ht="16.5" customHeight="1">
      <c r="A53" s="227"/>
      <c r="B53" s="228"/>
      <c r="C53" s="229"/>
      <c r="D53" s="228"/>
      <c r="E53" s="164"/>
      <c r="F53" s="164"/>
      <c r="G53" s="230"/>
      <c r="H53" s="231"/>
      <c r="I53" s="232"/>
      <c r="J53" s="232"/>
      <c r="K53" s="233"/>
      <c r="L53" s="233"/>
      <c r="M53" s="233"/>
      <c r="N53" s="234"/>
      <c r="O53" s="165"/>
      <c r="P53" s="165"/>
      <c r="Q53" s="165"/>
      <c r="R53" s="165"/>
      <c r="S53" s="165"/>
      <c r="T53" s="165"/>
      <c r="U53" s="165"/>
      <c r="V53" s="165"/>
      <c r="W53" s="165"/>
      <c r="X53" s="165"/>
      <c r="Y53" s="165"/>
      <c r="Z53" s="165"/>
      <c r="AA53" s="165"/>
      <c r="AB53" s="165"/>
      <c r="AC53" s="165"/>
      <c r="AD53" s="165"/>
      <c r="AE53" s="165"/>
      <c r="AF53" s="165"/>
    </row>
    <row r="54" spans="1:32" s="235" customFormat="1" ht="16.5" customHeight="1">
      <c r="A54" s="227"/>
      <c r="B54" s="228"/>
      <c r="C54" s="229"/>
      <c r="D54" s="228"/>
      <c r="E54" s="164"/>
      <c r="F54" s="164"/>
      <c r="G54" s="230"/>
      <c r="H54" s="231"/>
      <c r="I54" s="236"/>
      <c r="J54" s="236"/>
      <c r="L54" s="233"/>
      <c r="M54" s="233"/>
      <c r="N54" s="234"/>
      <c r="O54" s="165"/>
      <c r="P54" s="165"/>
      <c r="Q54" s="165"/>
      <c r="R54" s="165"/>
      <c r="S54" s="165"/>
      <c r="T54" s="165"/>
      <c r="U54" s="165"/>
      <c r="V54" s="165"/>
      <c r="W54" s="165"/>
      <c r="X54" s="165"/>
      <c r="Y54" s="165"/>
      <c r="Z54" s="165"/>
      <c r="AA54" s="165"/>
      <c r="AB54" s="165"/>
      <c r="AC54" s="165"/>
      <c r="AD54" s="165"/>
      <c r="AE54" s="165"/>
      <c r="AF54" s="165"/>
    </row>
    <row r="55" spans="1:32" s="235" customFormat="1" ht="16.5" customHeight="1">
      <c r="A55" s="227"/>
      <c r="B55" s="228"/>
      <c r="C55" s="229"/>
      <c r="D55" s="228"/>
      <c r="E55" s="164"/>
      <c r="F55" s="164"/>
      <c r="G55" s="230"/>
      <c r="H55" s="231"/>
      <c r="I55" s="236"/>
      <c r="J55" s="236"/>
      <c r="L55" s="233"/>
      <c r="M55" s="233"/>
      <c r="N55" s="234"/>
      <c r="O55" s="165"/>
      <c r="P55" s="165"/>
      <c r="Q55" s="165"/>
      <c r="R55" s="165"/>
      <c r="S55" s="165"/>
      <c r="T55" s="165"/>
      <c r="U55" s="165"/>
      <c r="V55" s="165"/>
      <c r="W55" s="165"/>
      <c r="X55" s="165"/>
      <c r="Y55" s="165"/>
      <c r="Z55" s="165"/>
      <c r="AA55" s="165"/>
      <c r="AB55" s="165"/>
      <c r="AC55" s="165"/>
      <c r="AD55" s="165"/>
      <c r="AE55" s="165"/>
      <c r="AF55" s="165"/>
    </row>
    <row r="56" spans="1:32" s="235" customFormat="1" ht="16.5" customHeight="1">
      <c r="A56" s="227"/>
      <c r="B56" s="228"/>
      <c r="C56" s="229"/>
      <c r="D56" s="228"/>
      <c r="E56" s="164"/>
      <c r="F56" s="164"/>
      <c r="G56" s="230"/>
      <c r="H56" s="231"/>
      <c r="I56" s="232"/>
      <c r="J56" s="232"/>
      <c r="K56" s="233"/>
      <c r="L56" s="233"/>
      <c r="M56" s="233"/>
      <c r="N56" s="234"/>
      <c r="O56" s="165"/>
      <c r="P56" s="165"/>
      <c r="Q56" s="165"/>
      <c r="R56" s="165"/>
      <c r="S56" s="165"/>
      <c r="T56" s="165"/>
      <c r="U56" s="165"/>
      <c r="V56" s="165"/>
      <c r="W56" s="165"/>
      <c r="X56" s="165"/>
      <c r="Y56" s="165"/>
      <c r="Z56" s="165"/>
      <c r="AA56" s="165"/>
      <c r="AB56" s="165"/>
      <c r="AC56" s="165"/>
      <c r="AD56" s="165"/>
      <c r="AE56" s="165"/>
      <c r="AF56" s="165"/>
    </row>
    <row r="57" spans="1:32" s="235" customFormat="1" ht="16.5" customHeight="1">
      <c r="A57" s="227"/>
      <c r="B57" s="228"/>
      <c r="C57" s="229"/>
      <c r="D57" s="228"/>
      <c r="E57" s="164"/>
      <c r="F57" s="164"/>
      <c r="G57" s="230"/>
      <c r="H57" s="231"/>
      <c r="I57" s="249"/>
      <c r="J57" s="236"/>
      <c r="L57" s="233"/>
      <c r="M57" s="233"/>
      <c r="N57" s="234"/>
      <c r="O57" s="165"/>
      <c r="P57" s="165"/>
      <c r="Q57" s="165"/>
      <c r="R57" s="165"/>
      <c r="S57" s="165"/>
      <c r="T57" s="165"/>
      <c r="U57" s="165"/>
      <c r="V57" s="165"/>
      <c r="W57" s="165"/>
      <c r="X57" s="165"/>
      <c r="Y57" s="165"/>
      <c r="Z57" s="165"/>
      <c r="AA57" s="165"/>
      <c r="AB57" s="165"/>
      <c r="AC57" s="165"/>
      <c r="AD57" s="165"/>
      <c r="AE57" s="165"/>
      <c r="AF57" s="165"/>
    </row>
    <row r="58" spans="1:32" s="235" customFormat="1" ht="16.5" customHeight="1">
      <c r="A58" s="227"/>
      <c r="B58" s="228"/>
      <c r="C58" s="229"/>
      <c r="D58" s="228"/>
      <c r="E58" s="164"/>
      <c r="F58" s="164"/>
      <c r="G58" s="230"/>
      <c r="H58" s="231"/>
      <c r="I58" s="249"/>
      <c r="J58" s="236"/>
      <c r="L58" s="233"/>
      <c r="M58" s="233"/>
      <c r="N58" s="234"/>
      <c r="O58" s="165"/>
      <c r="P58" s="165"/>
      <c r="Q58" s="165"/>
      <c r="R58" s="165"/>
      <c r="S58" s="165"/>
      <c r="T58" s="165"/>
      <c r="U58" s="165"/>
      <c r="V58" s="165"/>
      <c r="W58" s="165"/>
      <c r="X58" s="165"/>
      <c r="Y58" s="165"/>
      <c r="Z58" s="165"/>
      <c r="AA58" s="165"/>
      <c r="AB58" s="165"/>
      <c r="AC58" s="165"/>
      <c r="AD58" s="165"/>
      <c r="AE58" s="165"/>
      <c r="AF58" s="165"/>
    </row>
    <row r="59" spans="1:32" s="235" customFormat="1" ht="16.5" customHeight="1">
      <c r="A59" s="227"/>
      <c r="B59" s="228"/>
      <c r="C59" s="229"/>
      <c r="D59" s="228"/>
      <c r="E59" s="164"/>
      <c r="F59" s="164"/>
      <c r="G59" s="230"/>
      <c r="H59" s="231"/>
      <c r="I59" s="233"/>
      <c r="J59" s="236"/>
      <c r="K59" s="233"/>
      <c r="L59" s="233"/>
      <c r="M59" s="233"/>
      <c r="N59" s="234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</row>
    <row r="60" spans="1:32" s="235" customFormat="1" ht="16.5" customHeight="1">
      <c r="A60" s="227"/>
      <c r="B60" s="228"/>
      <c r="C60" s="229"/>
      <c r="D60" s="228"/>
      <c r="E60" s="164"/>
      <c r="F60" s="164"/>
      <c r="G60" s="230"/>
      <c r="H60" s="231"/>
      <c r="I60" s="233"/>
      <c r="J60" s="236"/>
      <c r="K60" s="233"/>
      <c r="L60" s="233"/>
      <c r="M60" s="233"/>
      <c r="N60" s="234"/>
      <c r="O60" s="165"/>
      <c r="P60" s="165"/>
      <c r="Q60" s="165"/>
      <c r="R60" s="165"/>
      <c r="S60" s="165"/>
      <c r="T60" s="165"/>
      <c r="U60" s="165"/>
      <c r="V60" s="165"/>
      <c r="W60" s="165"/>
      <c r="X60" s="165"/>
      <c r="Y60" s="165"/>
      <c r="Z60" s="165"/>
      <c r="AA60" s="165"/>
      <c r="AB60" s="165"/>
      <c r="AC60" s="165"/>
      <c r="AD60" s="165"/>
      <c r="AE60" s="165"/>
      <c r="AF60" s="165"/>
    </row>
    <row r="61" spans="1:32" s="235" customFormat="1" ht="16.149999999999999" customHeight="1">
      <c r="A61" s="227"/>
      <c r="B61" s="228"/>
      <c r="C61" s="229"/>
      <c r="D61" s="228"/>
      <c r="E61" s="164"/>
      <c r="F61" s="164"/>
      <c r="G61" s="230"/>
      <c r="H61" s="231"/>
      <c r="I61" s="233"/>
      <c r="J61" s="236"/>
      <c r="K61" s="233"/>
      <c r="L61" s="233"/>
      <c r="M61" s="233"/>
      <c r="N61" s="234"/>
      <c r="O61" s="165"/>
      <c r="P61" s="165"/>
      <c r="Q61" s="165"/>
      <c r="R61" s="165"/>
      <c r="S61" s="165"/>
      <c r="T61" s="165"/>
      <c r="U61" s="165"/>
      <c r="V61" s="165"/>
      <c r="W61" s="165"/>
      <c r="X61" s="165"/>
      <c r="Y61" s="165"/>
      <c r="Z61" s="165"/>
      <c r="AA61" s="165"/>
      <c r="AB61" s="165"/>
      <c r="AC61" s="165"/>
      <c r="AD61" s="165"/>
      <c r="AE61" s="165"/>
      <c r="AF61" s="165"/>
    </row>
    <row r="62" spans="1:32" s="235" customFormat="1" ht="16.5" customHeight="1">
      <c r="A62" s="227"/>
      <c r="B62" s="228"/>
      <c r="C62" s="229"/>
      <c r="D62" s="228"/>
      <c r="E62" s="164"/>
      <c r="F62" s="164"/>
      <c r="G62" s="230"/>
      <c r="H62" s="231"/>
      <c r="I62" s="233"/>
      <c r="J62" s="236"/>
      <c r="K62" s="233"/>
      <c r="L62" s="233"/>
      <c r="M62" s="233"/>
      <c r="N62" s="234"/>
      <c r="O62" s="165"/>
      <c r="P62" s="165"/>
      <c r="Q62" s="165"/>
      <c r="R62" s="165"/>
      <c r="S62" s="165"/>
      <c r="T62" s="165"/>
      <c r="U62" s="165"/>
      <c r="V62" s="165"/>
      <c r="W62" s="165"/>
      <c r="X62" s="165"/>
      <c r="Y62" s="165"/>
      <c r="Z62" s="165"/>
      <c r="AA62" s="165"/>
      <c r="AB62" s="165"/>
      <c r="AC62" s="165"/>
      <c r="AD62" s="165"/>
      <c r="AE62" s="165"/>
      <c r="AF62" s="165"/>
    </row>
    <row r="63" spans="1:32" s="235" customFormat="1" ht="16.5" customHeight="1">
      <c r="A63" s="227"/>
      <c r="B63" s="228"/>
      <c r="C63" s="229"/>
      <c r="D63" s="228"/>
      <c r="E63" s="164"/>
      <c r="F63" s="164"/>
      <c r="G63" s="230"/>
      <c r="H63" s="231"/>
      <c r="I63" s="232"/>
      <c r="J63" s="232"/>
      <c r="K63" s="233"/>
      <c r="L63" s="233"/>
      <c r="M63" s="233"/>
      <c r="N63" s="234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</row>
    <row r="64" spans="1:32" s="235" customFormat="1" ht="16.5" customHeight="1">
      <c r="A64" s="227"/>
      <c r="B64" s="228"/>
      <c r="C64" s="229"/>
      <c r="D64" s="228"/>
      <c r="E64" s="164"/>
      <c r="F64" s="164"/>
      <c r="G64" s="230"/>
      <c r="H64" s="231"/>
      <c r="I64" s="232"/>
      <c r="J64" s="232"/>
      <c r="K64" s="233"/>
      <c r="L64" s="233"/>
      <c r="M64" s="233"/>
      <c r="N64" s="234"/>
      <c r="O64" s="165"/>
      <c r="P64" s="165"/>
      <c r="Q64" s="165"/>
      <c r="R64" s="165"/>
      <c r="S64" s="165"/>
      <c r="T64" s="165"/>
      <c r="U64" s="165"/>
      <c r="V64" s="165"/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</row>
    <row r="65" spans="1:32" s="235" customFormat="1" ht="16.5" customHeight="1">
      <c r="A65" s="227"/>
      <c r="B65" s="228"/>
      <c r="C65" s="229"/>
      <c r="D65" s="228"/>
      <c r="E65" s="164"/>
      <c r="F65" s="164"/>
      <c r="G65" s="230"/>
      <c r="H65" s="231"/>
      <c r="I65" s="232"/>
      <c r="J65" s="232"/>
      <c r="K65" s="233"/>
      <c r="L65" s="233"/>
      <c r="M65" s="233"/>
      <c r="N65" s="234"/>
      <c r="O65" s="165"/>
      <c r="P65" s="165"/>
      <c r="Q65" s="165"/>
      <c r="R65" s="165"/>
      <c r="S65" s="165"/>
      <c r="T65" s="165"/>
      <c r="U65" s="165"/>
      <c r="V65" s="165"/>
      <c r="W65" s="165"/>
      <c r="X65" s="165"/>
      <c r="Y65" s="165"/>
      <c r="Z65" s="165"/>
      <c r="AA65" s="165"/>
      <c r="AB65" s="165"/>
      <c r="AC65" s="165"/>
      <c r="AD65" s="165"/>
      <c r="AE65" s="165"/>
      <c r="AF65" s="165"/>
    </row>
    <row r="66" spans="1:32" s="235" customFormat="1" ht="16.5" customHeight="1">
      <c r="A66" s="227"/>
      <c r="B66" s="228"/>
      <c r="C66" s="229"/>
      <c r="D66" s="228"/>
      <c r="E66" s="164"/>
      <c r="F66" s="164"/>
      <c r="G66" s="230"/>
      <c r="H66" s="231"/>
      <c r="I66" s="232"/>
      <c r="J66" s="232"/>
      <c r="K66" s="233"/>
      <c r="L66" s="233"/>
      <c r="M66" s="233"/>
      <c r="N66" s="234"/>
      <c r="O66" s="165"/>
      <c r="P66" s="165"/>
      <c r="Q66" s="165"/>
      <c r="R66" s="165"/>
      <c r="S66" s="165"/>
      <c r="T66" s="165"/>
      <c r="U66" s="165"/>
      <c r="V66" s="165"/>
      <c r="W66" s="165"/>
      <c r="X66" s="165"/>
      <c r="Y66" s="165"/>
      <c r="Z66" s="165"/>
      <c r="AA66" s="165"/>
      <c r="AB66" s="165"/>
      <c r="AC66" s="165"/>
      <c r="AD66" s="165"/>
      <c r="AE66" s="165"/>
      <c r="AF66" s="165"/>
    </row>
    <row r="67" spans="1:32" s="235" customFormat="1" ht="16.5" customHeight="1">
      <c r="A67" s="227"/>
      <c r="B67" s="228"/>
      <c r="C67" s="229"/>
      <c r="D67" s="228"/>
      <c r="E67" s="164"/>
      <c r="F67" s="164"/>
      <c r="G67" s="230"/>
      <c r="H67" s="231"/>
      <c r="I67" s="232"/>
      <c r="J67" s="232"/>
      <c r="K67" s="233"/>
      <c r="L67" s="233"/>
      <c r="M67" s="233"/>
      <c r="N67" s="234"/>
      <c r="O67" s="165"/>
      <c r="P67" s="165"/>
      <c r="Q67" s="165"/>
      <c r="R67" s="165"/>
      <c r="S67" s="165"/>
      <c r="T67" s="165"/>
      <c r="U67" s="165"/>
      <c r="V67" s="165"/>
      <c r="W67" s="165"/>
      <c r="X67" s="165"/>
      <c r="Y67" s="165"/>
      <c r="Z67" s="165"/>
      <c r="AA67" s="165"/>
      <c r="AB67" s="165"/>
      <c r="AC67" s="165"/>
      <c r="AD67" s="165"/>
      <c r="AE67" s="165"/>
      <c r="AF67" s="165"/>
    </row>
    <row r="68" spans="1:32" s="235" customFormat="1" ht="16.5" customHeight="1">
      <c r="A68" s="227"/>
      <c r="B68" s="228"/>
      <c r="C68" s="229"/>
      <c r="D68" s="228"/>
      <c r="E68" s="164"/>
      <c r="F68" s="164"/>
      <c r="G68" s="230"/>
      <c r="H68" s="231"/>
      <c r="I68" s="232"/>
      <c r="J68" s="232"/>
      <c r="K68" s="233"/>
      <c r="L68" s="233"/>
      <c r="M68" s="233"/>
      <c r="N68" s="234"/>
      <c r="O68" s="165"/>
      <c r="P68" s="165"/>
      <c r="Q68" s="165"/>
      <c r="R68" s="165"/>
      <c r="S68" s="165"/>
      <c r="T68" s="165"/>
      <c r="U68" s="165"/>
      <c r="V68" s="165"/>
      <c r="W68" s="165"/>
      <c r="X68" s="165"/>
      <c r="Y68" s="165"/>
      <c r="Z68" s="165"/>
      <c r="AA68" s="165"/>
      <c r="AB68" s="165"/>
      <c r="AC68" s="165"/>
      <c r="AD68" s="165"/>
      <c r="AE68" s="165"/>
      <c r="AF68" s="165"/>
    </row>
    <row r="69" spans="1:32" s="235" customFormat="1" ht="16.5" customHeight="1">
      <c r="A69" s="227"/>
      <c r="B69" s="228"/>
      <c r="C69" s="229"/>
      <c r="D69" s="228"/>
      <c r="E69" s="164"/>
      <c r="F69" s="164"/>
      <c r="G69" s="230"/>
      <c r="H69" s="231"/>
      <c r="I69" s="232"/>
      <c r="J69" s="232"/>
      <c r="K69" s="233"/>
      <c r="L69" s="233"/>
      <c r="M69" s="233"/>
      <c r="N69" s="234"/>
      <c r="O69" s="165"/>
      <c r="P69" s="165"/>
      <c r="Q69" s="165"/>
      <c r="R69" s="165"/>
      <c r="S69" s="165"/>
      <c r="T69" s="165"/>
      <c r="U69" s="165"/>
      <c r="V69" s="165"/>
      <c r="W69" s="165"/>
      <c r="X69" s="165"/>
      <c r="Y69" s="165"/>
      <c r="Z69" s="165"/>
      <c r="AA69" s="165"/>
      <c r="AB69" s="165"/>
      <c r="AC69" s="165"/>
      <c r="AD69" s="165"/>
      <c r="AE69" s="165"/>
      <c r="AF69" s="165"/>
    </row>
    <row r="70" spans="1:32" s="235" customFormat="1" ht="16.5" customHeight="1">
      <c r="A70" s="227"/>
      <c r="B70" s="228"/>
      <c r="C70" s="229"/>
      <c r="D70" s="228"/>
      <c r="E70" s="164"/>
      <c r="F70" s="164"/>
      <c r="G70" s="230"/>
      <c r="H70" s="231"/>
      <c r="I70" s="232"/>
      <c r="J70" s="232"/>
      <c r="K70" s="233"/>
      <c r="L70" s="233"/>
      <c r="M70" s="233"/>
      <c r="N70" s="234"/>
      <c r="O70" s="165"/>
      <c r="P70" s="165"/>
      <c r="Q70" s="165"/>
      <c r="R70" s="165"/>
      <c r="S70" s="165"/>
      <c r="T70" s="165"/>
      <c r="U70" s="165"/>
      <c r="V70" s="165"/>
      <c r="W70" s="165"/>
      <c r="X70" s="165"/>
      <c r="Y70" s="165"/>
      <c r="Z70" s="165"/>
      <c r="AA70" s="165"/>
      <c r="AB70" s="165"/>
      <c r="AC70" s="165"/>
      <c r="AD70" s="165"/>
      <c r="AE70" s="165"/>
      <c r="AF70" s="165"/>
    </row>
    <row r="71" spans="1:32" s="235" customFormat="1" ht="16.5" customHeight="1">
      <c r="A71" s="227"/>
      <c r="B71" s="228"/>
      <c r="C71" s="229"/>
      <c r="D71" s="228"/>
      <c r="E71" s="164"/>
      <c r="F71" s="164"/>
      <c r="G71" s="230"/>
      <c r="H71" s="231"/>
      <c r="I71" s="232"/>
      <c r="J71" s="232"/>
      <c r="K71" s="233"/>
      <c r="L71" s="233"/>
      <c r="M71" s="233"/>
      <c r="N71" s="234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</row>
    <row r="72" spans="1:32" s="235" customFormat="1" ht="16.5" customHeight="1">
      <c r="A72" s="227"/>
      <c r="B72" s="228"/>
      <c r="C72" s="229"/>
      <c r="D72" s="228"/>
      <c r="E72" s="164"/>
      <c r="F72" s="164"/>
      <c r="G72" s="230"/>
      <c r="H72" s="231"/>
      <c r="I72" s="232"/>
      <c r="J72" s="232"/>
      <c r="K72" s="233"/>
      <c r="L72" s="233"/>
      <c r="M72" s="233"/>
      <c r="N72" s="234"/>
      <c r="O72" s="165"/>
      <c r="P72" s="165"/>
      <c r="Q72" s="165"/>
      <c r="R72" s="165"/>
      <c r="S72" s="165"/>
      <c r="T72" s="165"/>
      <c r="U72" s="165"/>
      <c r="V72" s="165"/>
      <c r="W72" s="165"/>
      <c r="X72" s="165"/>
      <c r="Y72" s="165"/>
      <c r="Z72" s="165"/>
      <c r="AA72" s="165"/>
      <c r="AB72" s="165"/>
      <c r="AC72" s="165"/>
      <c r="AD72" s="165"/>
      <c r="AE72" s="165"/>
      <c r="AF72" s="165"/>
    </row>
    <row r="73" spans="1:32" s="235" customFormat="1" ht="16.5" customHeight="1">
      <c r="A73" s="227"/>
      <c r="B73" s="228"/>
      <c r="C73" s="229"/>
      <c r="D73" s="228"/>
      <c r="E73" s="164"/>
      <c r="F73" s="164"/>
      <c r="G73" s="230"/>
      <c r="H73" s="231"/>
      <c r="I73" s="232"/>
      <c r="J73" s="232"/>
      <c r="K73" s="233"/>
      <c r="L73" s="233"/>
      <c r="M73" s="233"/>
      <c r="N73" s="234"/>
      <c r="O73" s="165"/>
      <c r="P73" s="165"/>
      <c r="Q73" s="165"/>
      <c r="R73" s="165"/>
      <c r="S73" s="165"/>
      <c r="T73" s="165"/>
      <c r="U73" s="165"/>
      <c r="V73" s="165"/>
      <c r="W73" s="165"/>
      <c r="X73" s="165"/>
      <c r="Y73" s="165"/>
      <c r="Z73" s="165"/>
      <c r="AA73" s="165"/>
      <c r="AB73" s="165"/>
      <c r="AC73" s="165"/>
      <c r="AD73" s="165"/>
      <c r="AE73" s="165"/>
      <c r="AF73" s="165"/>
    </row>
    <row r="74" spans="1:32" s="235" customFormat="1" ht="16.5" customHeight="1">
      <c r="A74" s="227"/>
      <c r="B74" s="228"/>
      <c r="C74" s="229"/>
      <c r="D74" s="228"/>
      <c r="E74" s="164"/>
      <c r="F74" s="164"/>
      <c r="G74" s="230"/>
      <c r="H74" s="231"/>
      <c r="I74" s="232"/>
      <c r="J74" s="232"/>
      <c r="K74" s="233"/>
      <c r="L74" s="233"/>
      <c r="M74" s="233"/>
      <c r="N74" s="234"/>
      <c r="O74" s="165"/>
      <c r="P74" s="165"/>
      <c r="Q74" s="165"/>
      <c r="R74" s="165"/>
      <c r="S74" s="165"/>
      <c r="T74" s="165"/>
      <c r="U74" s="165"/>
      <c r="V74" s="165"/>
      <c r="W74" s="165"/>
      <c r="X74" s="165"/>
      <c r="Y74" s="165"/>
      <c r="Z74" s="165"/>
      <c r="AA74" s="165"/>
      <c r="AB74" s="165"/>
      <c r="AC74" s="165"/>
      <c r="AD74" s="165"/>
      <c r="AE74" s="165"/>
      <c r="AF74" s="165"/>
    </row>
    <row r="75" spans="1:32" s="235" customFormat="1" ht="16.5" customHeight="1">
      <c r="A75" s="227"/>
      <c r="B75" s="228"/>
      <c r="C75" s="229"/>
      <c r="D75" s="228"/>
      <c r="E75" s="164"/>
      <c r="F75" s="164"/>
      <c r="G75" s="230"/>
      <c r="H75" s="231"/>
      <c r="I75" s="232"/>
      <c r="J75" s="232"/>
      <c r="K75" s="233"/>
      <c r="L75" s="233"/>
      <c r="M75" s="233"/>
      <c r="N75" s="234"/>
      <c r="O75" s="165"/>
      <c r="P75" s="165"/>
      <c r="Q75" s="165"/>
      <c r="R75" s="165"/>
      <c r="S75" s="165"/>
      <c r="T75" s="165"/>
      <c r="U75" s="165"/>
      <c r="V75" s="165"/>
      <c r="W75" s="165"/>
      <c r="X75" s="165"/>
      <c r="Y75" s="165"/>
      <c r="Z75" s="165"/>
      <c r="AA75" s="165"/>
      <c r="AB75" s="165"/>
      <c r="AC75" s="165"/>
      <c r="AD75" s="165"/>
      <c r="AE75" s="165"/>
      <c r="AF75" s="165"/>
    </row>
    <row r="76" spans="1:32" s="235" customFormat="1" ht="16.5" customHeight="1">
      <c r="A76" s="227"/>
      <c r="B76" s="228"/>
      <c r="C76" s="229"/>
      <c r="D76" s="228"/>
      <c r="E76" s="164"/>
      <c r="F76" s="164"/>
      <c r="G76" s="230"/>
      <c r="H76" s="231"/>
      <c r="I76" s="232"/>
      <c r="J76" s="232"/>
      <c r="K76" s="233"/>
      <c r="L76" s="233"/>
      <c r="M76" s="233"/>
      <c r="N76" s="234"/>
      <c r="O76" s="165"/>
      <c r="P76" s="165"/>
      <c r="Q76" s="165"/>
      <c r="R76" s="165"/>
      <c r="S76" s="165"/>
      <c r="T76" s="165"/>
      <c r="U76" s="165"/>
      <c r="V76" s="165"/>
      <c r="W76" s="165"/>
      <c r="X76" s="165"/>
      <c r="Y76" s="165"/>
      <c r="Z76" s="165"/>
      <c r="AA76" s="165"/>
      <c r="AB76" s="165"/>
      <c r="AC76" s="165"/>
      <c r="AD76" s="165"/>
      <c r="AE76" s="165"/>
      <c r="AF76" s="165"/>
    </row>
    <row r="77" spans="1:32" s="235" customFormat="1" ht="16.5" customHeight="1">
      <c r="A77" s="227"/>
      <c r="B77" s="228"/>
      <c r="C77" s="229"/>
      <c r="D77" s="228"/>
      <c r="E77" s="164"/>
      <c r="F77" s="164"/>
      <c r="G77" s="230"/>
      <c r="H77" s="231"/>
      <c r="I77" s="232"/>
      <c r="J77" s="232"/>
      <c r="K77" s="233"/>
      <c r="L77" s="233"/>
      <c r="M77" s="233"/>
      <c r="N77" s="234"/>
      <c r="O77" s="165"/>
      <c r="P77" s="165"/>
      <c r="Q77" s="165"/>
      <c r="R77" s="165"/>
      <c r="S77" s="165"/>
      <c r="T77" s="165"/>
      <c r="U77" s="165"/>
      <c r="V77" s="165"/>
      <c r="W77" s="165"/>
      <c r="X77" s="165"/>
      <c r="Y77" s="165"/>
      <c r="Z77" s="165"/>
      <c r="AA77" s="165"/>
      <c r="AB77" s="165"/>
      <c r="AC77" s="165"/>
      <c r="AD77" s="165"/>
      <c r="AE77" s="165"/>
      <c r="AF77" s="165"/>
    </row>
    <row r="78" spans="1:32" s="235" customFormat="1" ht="16.5" customHeight="1">
      <c r="A78" s="227"/>
      <c r="B78" s="228"/>
      <c r="C78" s="229"/>
      <c r="D78" s="228"/>
      <c r="E78" s="164"/>
      <c r="F78" s="164"/>
      <c r="G78" s="230"/>
      <c r="H78" s="231"/>
      <c r="I78" s="232"/>
      <c r="J78" s="232"/>
      <c r="K78" s="233"/>
      <c r="L78" s="233"/>
      <c r="M78" s="233"/>
      <c r="N78" s="234"/>
      <c r="O78" s="165"/>
      <c r="P78" s="165"/>
      <c r="Q78" s="165"/>
      <c r="R78" s="165"/>
      <c r="S78" s="165"/>
      <c r="T78" s="165"/>
      <c r="U78" s="165"/>
      <c r="V78" s="165"/>
      <c r="W78" s="165"/>
      <c r="X78" s="165"/>
      <c r="Y78" s="165"/>
      <c r="Z78" s="165"/>
      <c r="AA78" s="165"/>
      <c r="AB78" s="165"/>
      <c r="AC78" s="165"/>
      <c r="AD78" s="165"/>
      <c r="AE78" s="165"/>
      <c r="AF78" s="165"/>
    </row>
    <row r="79" spans="1:32" s="235" customFormat="1" ht="16.5" customHeight="1">
      <c r="A79" s="227"/>
      <c r="B79" s="228"/>
      <c r="C79" s="229"/>
      <c r="D79" s="228"/>
      <c r="E79" s="164"/>
      <c r="F79" s="164"/>
      <c r="G79" s="230"/>
      <c r="H79" s="231"/>
      <c r="I79" s="232"/>
      <c r="J79" s="232"/>
      <c r="K79" s="233"/>
      <c r="L79" s="233"/>
      <c r="M79" s="233"/>
      <c r="N79" s="234"/>
      <c r="O79" s="165"/>
      <c r="P79" s="165"/>
      <c r="Q79" s="165"/>
      <c r="R79" s="165"/>
      <c r="S79" s="165"/>
      <c r="T79" s="165"/>
      <c r="U79" s="165"/>
      <c r="V79" s="165"/>
      <c r="W79" s="165"/>
      <c r="X79" s="165"/>
      <c r="Y79" s="165"/>
      <c r="Z79" s="165"/>
      <c r="AA79" s="165"/>
      <c r="AB79" s="165"/>
      <c r="AC79" s="165"/>
      <c r="AD79" s="165"/>
      <c r="AE79" s="165"/>
      <c r="AF79" s="165"/>
    </row>
    <row r="80" spans="1:32" s="235" customFormat="1" ht="16.5" customHeight="1">
      <c r="A80" s="227"/>
      <c r="B80" s="228"/>
      <c r="C80" s="229"/>
      <c r="D80" s="228"/>
      <c r="E80" s="164"/>
      <c r="F80" s="164"/>
      <c r="G80" s="230"/>
      <c r="H80" s="231"/>
      <c r="I80" s="232"/>
      <c r="J80" s="232"/>
      <c r="K80" s="233"/>
      <c r="L80" s="233"/>
      <c r="M80" s="233"/>
      <c r="N80" s="234"/>
      <c r="O80" s="165"/>
      <c r="P80" s="165"/>
      <c r="Q80" s="165"/>
      <c r="R80" s="165"/>
      <c r="S80" s="165"/>
      <c r="T80" s="165"/>
      <c r="U80" s="165"/>
      <c r="V80" s="165"/>
      <c r="W80" s="165"/>
      <c r="X80" s="165"/>
      <c r="Y80" s="165"/>
      <c r="Z80" s="165"/>
      <c r="AA80" s="165"/>
      <c r="AB80" s="165"/>
      <c r="AC80" s="165"/>
      <c r="AD80" s="165"/>
      <c r="AE80" s="165"/>
      <c r="AF80" s="165"/>
    </row>
    <row r="81" spans="1:32" s="235" customFormat="1" ht="16.5" customHeight="1">
      <c r="A81" s="227"/>
      <c r="B81" s="228"/>
      <c r="C81" s="229"/>
      <c r="D81" s="228"/>
      <c r="E81" s="164"/>
      <c r="F81" s="164"/>
      <c r="G81" s="230"/>
      <c r="H81" s="231"/>
      <c r="I81" s="232"/>
      <c r="J81" s="232"/>
      <c r="K81" s="233"/>
      <c r="L81" s="233"/>
      <c r="M81" s="233"/>
      <c r="N81" s="234"/>
      <c r="O81" s="165"/>
      <c r="P81" s="165"/>
      <c r="Q81" s="165"/>
      <c r="R81" s="165"/>
      <c r="S81" s="165"/>
      <c r="T81" s="165"/>
      <c r="U81" s="165"/>
      <c r="V81" s="165"/>
      <c r="W81" s="165"/>
      <c r="X81" s="165"/>
      <c r="Y81" s="165"/>
      <c r="Z81" s="165"/>
      <c r="AA81" s="165"/>
      <c r="AB81" s="165"/>
      <c r="AC81" s="165"/>
      <c r="AD81" s="165"/>
      <c r="AE81" s="165"/>
      <c r="AF81" s="165"/>
    </row>
    <row r="82" spans="1:32" s="235" customFormat="1" ht="16.5" customHeight="1">
      <c r="A82" s="227"/>
      <c r="B82" s="228"/>
      <c r="C82" s="229"/>
      <c r="D82" s="228"/>
      <c r="E82" s="164"/>
      <c r="F82" s="164"/>
      <c r="G82" s="230"/>
      <c r="H82" s="231"/>
      <c r="I82" s="232"/>
      <c r="J82" s="232"/>
      <c r="K82" s="233"/>
      <c r="L82" s="233"/>
      <c r="M82" s="233"/>
      <c r="N82" s="234"/>
      <c r="O82" s="165"/>
      <c r="P82" s="165"/>
      <c r="Q82" s="165"/>
      <c r="R82" s="165"/>
      <c r="S82" s="165"/>
      <c r="T82" s="165"/>
      <c r="U82" s="165"/>
      <c r="V82" s="165"/>
      <c r="W82" s="165"/>
      <c r="X82" s="165"/>
      <c r="Y82" s="165"/>
      <c r="Z82" s="165"/>
      <c r="AA82" s="165"/>
      <c r="AB82" s="165"/>
      <c r="AC82" s="165"/>
      <c r="AD82" s="165"/>
      <c r="AE82" s="165"/>
      <c r="AF82" s="165"/>
    </row>
    <row r="83" spans="1:32" s="235" customFormat="1" ht="16.5" customHeight="1">
      <c r="A83" s="227"/>
      <c r="B83" s="228"/>
      <c r="C83" s="229"/>
      <c r="D83" s="228"/>
      <c r="E83" s="164"/>
      <c r="F83" s="164"/>
      <c r="G83" s="230"/>
      <c r="H83" s="231"/>
      <c r="I83" s="232"/>
      <c r="J83" s="232"/>
      <c r="K83" s="233"/>
      <c r="L83" s="233"/>
      <c r="M83" s="233"/>
      <c r="N83" s="234"/>
      <c r="O83" s="165"/>
      <c r="P83" s="165"/>
      <c r="Q83" s="165"/>
      <c r="R83" s="165"/>
      <c r="S83" s="165"/>
      <c r="T83" s="165"/>
      <c r="U83" s="165"/>
      <c r="V83" s="165"/>
      <c r="W83" s="165"/>
      <c r="X83" s="165"/>
      <c r="Y83" s="165"/>
      <c r="Z83" s="165"/>
      <c r="AA83" s="165"/>
      <c r="AB83" s="165"/>
      <c r="AC83" s="165"/>
      <c r="AD83" s="165"/>
      <c r="AE83" s="165"/>
      <c r="AF83" s="165"/>
    </row>
    <row r="84" spans="1:32" s="235" customFormat="1" ht="16.5" customHeight="1">
      <c r="A84" s="227"/>
      <c r="B84" s="228"/>
      <c r="C84" s="229"/>
      <c r="D84" s="228"/>
      <c r="E84" s="164"/>
      <c r="F84" s="164"/>
      <c r="G84" s="230"/>
      <c r="H84" s="231"/>
      <c r="I84" s="232"/>
      <c r="J84" s="232"/>
      <c r="K84" s="233"/>
      <c r="L84" s="233"/>
      <c r="M84" s="233"/>
      <c r="N84" s="234"/>
      <c r="O84" s="165"/>
      <c r="P84" s="165"/>
      <c r="Q84" s="165"/>
      <c r="R84" s="165"/>
      <c r="S84" s="165"/>
      <c r="T84" s="165"/>
      <c r="U84" s="165"/>
      <c r="V84" s="165"/>
      <c r="W84" s="165"/>
      <c r="X84" s="165"/>
      <c r="Y84" s="165"/>
      <c r="Z84" s="165"/>
      <c r="AA84" s="165"/>
      <c r="AB84" s="165"/>
      <c r="AC84" s="165"/>
      <c r="AD84" s="165"/>
      <c r="AE84" s="165"/>
      <c r="AF84" s="165"/>
    </row>
    <row r="85" spans="1:32" s="235" customFormat="1" ht="16.5" customHeight="1">
      <c r="A85" s="227"/>
      <c r="B85" s="228"/>
      <c r="C85" s="229"/>
      <c r="D85" s="228"/>
      <c r="E85" s="164"/>
      <c r="F85" s="164"/>
      <c r="G85" s="230"/>
      <c r="H85" s="231"/>
      <c r="I85" s="232"/>
      <c r="J85" s="232"/>
      <c r="K85" s="233"/>
      <c r="L85" s="233"/>
      <c r="M85" s="233"/>
      <c r="N85" s="234"/>
      <c r="O85" s="165"/>
      <c r="P85" s="165"/>
      <c r="Q85" s="165"/>
      <c r="R85" s="165"/>
      <c r="S85" s="165"/>
      <c r="T85" s="165"/>
      <c r="U85" s="165"/>
      <c r="V85" s="165"/>
      <c r="W85" s="165"/>
      <c r="X85" s="165"/>
      <c r="Y85" s="165"/>
      <c r="Z85" s="165"/>
      <c r="AA85" s="165"/>
      <c r="AB85" s="165"/>
      <c r="AC85" s="165"/>
      <c r="AD85" s="165"/>
      <c r="AE85" s="165"/>
      <c r="AF85" s="165"/>
    </row>
    <row r="86" spans="1:32" s="235" customFormat="1" ht="16.5" customHeight="1">
      <c r="A86" s="227"/>
      <c r="B86" s="228"/>
      <c r="C86" s="229"/>
      <c r="D86" s="228"/>
      <c r="E86" s="164"/>
      <c r="F86" s="164"/>
      <c r="G86" s="230"/>
      <c r="H86" s="231"/>
      <c r="I86" s="232"/>
      <c r="J86" s="232"/>
      <c r="K86" s="233"/>
      <c r="L86" s="233"/>
      <c r="M86" s="233"/>
      <c r="N86" s="234"/>
      <c r="O86" s="165"/>
      <c r="P86" s="165"/>
      <c r="Q86" s="165"/>
      <c r="R86" s="165"/>
      <c r="S86" s="165"/>
      <c r="T86" s="165"/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</row>
    <row r="87" spans="1:32" s="235" customFormat="1" ht="16.5" customHeight="1">
      <c r="A87" s="227"/>
      <c r="B87" s="228"/>
      <c r="C87" s="229"/>
      <c r="D87" s="228"/>
      <c r="E87" s="164"/>
      <c r="F87" s="164"/>
      <c r="G87" s="230"/>
      <c r="H87" s="231"/>
      <c r="I87" s="232"/>
      <c r="J87" s="232"/>
      <c r="K87" s="233"/>
      <c r="L87" s="233"/>
      <c r="M87" s="233"/>
      <c r="N87" s="234"/>
      <c r="O87" s="165"/>
      <c r="P87" s="165"/>
      <c r="Q87" s="165"/>
      <c r="R87" s="165"/>
      <c r="S87" s="165"/>
      <c r="T87" s="165"/>
      <c r="U87" s="165"/>
      <c r="V87" s="165"/>
      <c r="W87" s="165"/>
      <c r="X87" s="165"/>
      <c r="Y87" s="165"/>
      <c r="Z87" s="165"/>
      <c r="AA87" s="165"/>
      <c r="AB87" s="165"/>
      <c r="AC87" s="165"/>
      <c r="AD87" s="165"/>
      <c r="AE87" s="165"/>
      <c r="AF87" s="165"/>
    </row>
    <row r="88" spans="1:32" s="235" customFormat="1" ht="16.5" customHeight="1">
      <c r="A88" s="227"/>
      <c r="B88" s="228"/>
      <c r="C88" s="229"/>
      <c r="D88" s="228"/>
      <c r="E88" s="164"/>
      <c r="F88" s="164"/>
      <c r="G88" s="230"/>
      <c r="H88" s="231"/>
      <c r="I88" s="232"/>
      <c r="J88" s="232"/>
      <c r="K88" s="233"/>
      <c r="L88" s="233"/>
      <c r="M88" s="233"/>
      <c r="N88" s="234"/>
      <c r="O88" s="165"/>
      <c r="P88" s="165"/>
      <c r="Q88" s="165"/>
      <c r="R88" s="165"/>
      <c r="S88" s="165"/>
      <c r="T88" s="165"/>
      <c r="U88" s="165"/>
      <c r="V88" s="165"/>
      <c r="W88" s="165"/>
      <c r="X88" s="165"/>
      <c r="Y88" s="165"/>
      <c r="Z88" s="165"/>
      <c r="AA88" s="165"/>
      <c r="AB88" s="165"/>
      <c r="AC88" s="165"/>
      <c r="AD88" s="165"/>
      <c r="AE88" s="165"/>
      <c r="AF88" s="165"/>
    </row>
    <row r="89" spans="1:32" s="235" customFormat="1" ht="16.5" customHeight="1">
      <c r="A89" s="227"/>
      <c r="B89" s="228"/>
      <c r="C89" s="229"/>
      <c r="D89" s="228"/>
      <c r="E89" s="164"/>
      <c r="F89" s="164"/>
      <c r="G89" s="230"/>
      <c r="H89" s="231"/>
      <c r="I89" s="232"/>
      <c r="J89" s="232"/>
      <c r="K89" s="233"/>
      <c r="L89" s="233"/>
      <c r="M89" s="233"/>
      <c r="N89" s="234"/>
      <c r="O89" s="165"/>
      <c r="P89" s="165"/>
      <c r="Q89" s="165"/>
      <c r="R89" s="165"/>
      <c r="S89" s="165"/>
      <c r="T89" s="165"/>
      <c r="U89" s="165"/>
      <c r="V89" s="165"/>
      <c r="W89" s="165"/>
      <c r="X89" s="165"/>
      <c r="Y89" s="165"/>
      <c r="Z89" s="165"/>
      <c r="AA89" s="165"/>
      <c r="AB89" s="165"/>
      <c r="AC89" s="165"/>
      <c r="AD89" s="165"/>
      <c r="AE89" s="165"/>
      <c r="AF89" s="165"/>
    </row>
    <row r="90" spans="1:32" s="235" customFormat="1" ht="16.5" customHeight="1">
      <c r="A90" s="227"/>
      <c r="B90" s="228"/>
      <c r="C90" s="229"/>
      <c r="D90" s="228"/>
      <c r="E90" s="164"/>
      <c r="F90" s="164"/>
      <c r="G90" s="230"/>
      <c r="H90" s="231"/>
      <c r="I90" s="232"/>
      <c r="J90" s="232"/>
      <c r="K90" s="233"/>
      <c r="L90" s="233"/>
      <c r="M90" s="233"/>
      <c r="N90" s="234"/>
      <c r="O90" s="165"/>
      <c r="P90" s="165"/>
      <c r="Q90" s="165"/>
      <c r="R90" s="165"/>
      <c r="S90" s="165"/>
      <c r="T90" s="165"/>
      <c r="U90" s="165"/>
      <c r="V90" s="165"/>
      <c r="W90" s="165"/>
      <c r="X90" s="165"/>
      <c r="Y90" s="165"/>
      <c r="Z90" s="165"/>
      <c r="AA90" s="165"/>
      <c r="AB90" s="165"/>
      <c r="AC90" s="165"/>
      <c r="AD90" s="165"/>
      <c r="AE90" s="165"/>
      <c r="AF90" s="165"/>
    </row>
    <row r="91" spans="1:32" s="235" customFormat="1" ht="16.5" customHeight="1">
      <c r="A91" s="227"/>
      <c r="B91" s="228"/>
      <c r="C91" s="229"/>
      <c r="D91" s="228"/>
      <c r="E91" s="164"/>
      <c r="F91" s="164"/>
      <c r="G91" s="230"/>
      <c r="H91" s="231"/>
      <c r="I91" s="232"/>
      <c r="J91" s="232"/>
      <c r="K91" s="233"/>
      <c r="L91" s="233"/>
      <c r="M91" s="233"/>
      <c r="N91" s="234"/>
      <c r="O91" s="165"/>
      <c r="P91" s="165"/>
      <c r="Q91" s="165"/>
      <c r="R91" s="165"/>
      <c r="S91" s="165"/>
      <c r="T91" s="165"/>
      <c r="U91" s="165"/>
      <c r="V91" s="165"/>
      <c r="W91" s="165"/>
      <c r="X91" s="165"/>
      <c r="Y91" s="165"/>
      <c r="Z91" s="165"/>
      <c r="AA91" s="165"/>
      <c r="AB91" s="165"/>
      <c r="AC91" s="165"/>
      <c r="AD91" s="165"/>
      <c r="AE91" s="165"/>
      <c r="AF91" s="165"/>
    </row>
    <row r="92" spans="1:32" s="235" customFormat="1" ht="16.5" customHeight="1">
      <c r="A92" s="227"/>
      <c r="B92" s="228"/>
      <c r="C92" s="229"/>
      <c r="D92" s="228"/>
      <c r="E92" s="164"/>
      <c r="F92" s="164"/>
      <c r="G92" s="230"/>
      <c r="H92" s="231"/>
      <c r="I92" s="232"/>
      <c r="J92" s="232"/>
      <c r="K92" s="233"/>
      <c r="L92" s="233"/>
      <c r="M92" s="233"/>
      <c r="N92" s="234"/>
      <c r="O92" s="165"/>
      <c r="P92" s="165"/>
      <c r="Q92" s="165"/>
      <c r="R92" s="165"/>
      <c r="S92" s="165"/>
      <c r="T92" s="165"/>
      <c r="U92" s="165"/>
      <c r="V92" s="165"/>
      <c r="W92" s="165"/>
      <c r="X92" s="165"/>
      <c r="Y92" s="165"/>
      <c r="Z92" s="165"/>
      <c r="AA92" s="165"/>
      <c r="AB92" s="165"/>
      <c r="AC92" s="165"/>
      <c r="AD92" s="165"/>
      <c r="AE92" s="165"/>
      <c r="AF92" s="165"/>
    </row>
    <row r="93" spans="1:32" s="235" customFormat="1" ht="16.5" customHeight="1">
      <c r="A93" s="227"/>
      <c r="B93" s="228"/>
      <c r="C93" s="229"/>
      <c r="D93" s="228"/>
      <c r="E93" s="164"/>
      <c r="F93" s="164"/>
      <c r="G93" s="230"/>
      <c r="H93" s="231"/>
      <c r="I93" s="232"/>
      <c r="J93" s="232"/>
      <c r="K93" s="233"/>
      <c r="L93" s="233"/>
      <c r="M93" s="233"/>
      <c r="N93" s="234"/>
      <c r="O93" s="165"/>
      <c r="P93" s="165"/>
      <c r="Q93" s="165"/>
      <c r="R93" s="165"/>
      <c r="S93" s="165"/>
      <c r="T93" s="165"/>
      <c r="U93" s="165"/>
      <c r="V93" s="165"/>
      <c r="W93" s="165"/>
      <c r="X93" s="165"/>
      <c r="Y93" s="165"/>
      <c r="Z93" s="165"/>
      <c r="AA93" s="165"/>
      <c r="AB93" s="165"/>
      <c r="AC93" s="165"/>
      <c r="AD93" s="165"/>
      <c r="AE93" s="165"/>
      <c r="AF93" s="165"/>
    </row>
    <row r="94" spans="1:32" s="235" customFormat="1" ht="16.5" customHeight="1">
      <c r="A94" s="227"/>
      <c r="B94" s="228"/>
      <c r="C94" s="229"/>
      <c r="D94" s="228"/>
      <c r="E94" s="164"/>
      <c r="F94" s="164"/>
      <c r="G94" s="230"/>
      <c r="H94" s="231"/>
      <c r="I94" s="232"/>
      <c r="J94" s="232"/>
      <c r="K94" s="233"/>
      <c r="L94" s="233"/>
      <c r="M94" s="233"/>
      <c r="N94" s="234"/>
      <c r="O94" s="165"/>
      <c r="P94" s="165"/>
      <c r="Q94" s="165"/>
      <c r="R94" s="165"/>
      <c r="S94" s="165"/>
      <c r="T94" s="165"/>
      <c r="U94" s="165"/>
      <c r="V94" s="165"/>
      <c r="W94" s="165"/>
      <c r="X94" s="165"/>
      <c r="Y94" s="165"/>
      <c r="Z94" s="165"/>
      <c r="AA94" s="165"/>
      <c r="AB94" s="165"/>
      <c r="AC94" s="165"/>
      <c r="AD94" s="165"/>
      <c r="AE94" s="165"/>
      <c r="AF94" s="165"/>
    </row>
    <row r="95" spans="1:32" s="235" customFormat="1" ht="16.5" customHeight="1">
      <c r="A95" s="227"/>
      <c r="B95" s="228"/>
      <c r="C95" s="229"/>
      <c r="D95" s="228"/>
      <c r="E95" s="164"/>
      <c r="F95" s="164"/>
      <c r="G95" s="230"/>
      <c r="H95" s="231"/>
      <c r="I95" s="232"/>
      <c r="J95" s="232"/>
      <c r="K95" s="233"/>
      <c r="L95" s="233"/>
      <c r="M95" s="233"/>
      <c r="N95" s="234"/>
      <c r="O95" s="165"/>
      <c r="P95" s="165"/>
      <c r="Q95" s="165"/>
      <c r="R95" s="165"/>
      <c r="S95" s="165"/>
      <c r="T95" s="165"/>
      <c r="U95" s="165"/>
      <c r="V95" s="165"/>
      <c r="W95" s="165"/>
      <c r="X95" s="165"/>
      <c r="Y95" s="165"/>
      <c r="Z95" s="165"/>
      <c r="AA95" s="165"/>
      <c r="AB95" s="165"/>
      <c r="AC95" s="165"/>
      <c r="AD95" s="165"/>
      <c r="AE95" s="165"/>
      <c r="AF95" s="165"/>
    </row>
    <row r="96" spans="1:32" s="235" customFormat="1" ht="16.5" customHeight="1">
      <c r="A96" s="227"/>
      <c r="B96" s="228"/>
      <c r="C96" s="229"/>
      <c r="D96" s="228"/>
      <c r="E96" s="164"/>
      <c r="F96" s="164"/>
      <c r="G96" s="230"/>
      <c r="H96" s="231"/>
      <c r="I96" s="232"/>
      <c r="J96" s="232"/>
      <c r="K96" s="233"/>
      <c r="L96" s="233"/>
      <c r="M96" s="233"/>
      <c r="N96" s="234"/>
      <c r="O96" s="165"/>
      <c r="P96" s="165"/>
      <c r="Q96" s="165"/>
      <c r="R96" s="165"/>
      <c r="S96" s="165"/>
      <c r="T96" s="165"/>
      <c r="U96" s="165"/>
      <c r="V96" s="165"/>
      <c r="W96" s="165"/>
      <c r="X96" s="165"/>
      <c r="Y96" s="165"/>
      <c r="Z96" s="165"/>
      <c r="AA96" s="165"/>
      <c r="AB96" s="165"/>
      <c r="AC96" s="165"/>
      <c r="AD96" s="165"/>
      <c r="AE96" s="165"/>
      <c r="AF96" s="165"/>
    </row>
    <row r="97" spans="1:32" s="235" customFormat="1" ht="16.5" customHeight="1">
      <c r="A97" s="227"/>
      <c r="B97" s="228"/>
      <c r="C97" s="229"/>
      <c r="D97" s="228"/>
      <c r="E97" s="164"/>
      <c r="F97" s="164"/>
      <c r="G97" s="230"/>
      <c r="H97" s="231"/>
      <c r="I97" s="232"/>
      <c r="J97" s="232"/>
      <c r="K97" s="233"/>
      <c r="L97" s="233"/>
      <c r="M97" s="233"/>
      <c r="N97" s="234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</row>
    <row r="98" spans="1:32" s="235" customFormat="1" ht="16.5" customHeight="1">
      <c r="A98" s="227"/>
      <c r="B98" s="228"/>
      <c r="C98" s="229"/>
      <c r="D98" s="228"/>
      <c r="E98" s="164"/>
      <c r="F98" s="164"/>
      <c r="G98" s="230"/>
      <c r="H98" s="231"/>
      <c r="I98" s="232"/>
      <c r="J98" s="232"/>
      <c r="K98" s="233"/>
      <c r="L98" s="233"/>
      <c r="M98" s="233"/>
      <c r="N98" s="234"/>
      <c r="O98" s="165"/>
      <c r="P98" s="165"/>
      <c r="Q98" s="165"/>
      <c r="R98" s="165"/>
      <c r="S98" s="165"/>
      <c r="T98" s="165"/>
      <c r="U98" s="165"/>
      <c r="V98" s="165"/>
      <c r="W98" s="165"/>
      <c r="X98" s="165"/>
      <c r="Y98" s="165"/>
      <c r="Z98" s="165"/>
      <c r="AA98" s="165"/>
      <c r="AB98" s="165"/>
      <c r="AC98" s="165"/>
      <c r="AD98" s="165"/>
      <c r="AE98" s="165"/>
      <c r="AF98" s="165"/>
    </row>
    <row r="99" spans="1:32" s="235" customFormat="1" ht="16.5" customHeight="1">
      <c r="A99" s="227"/>
      <c r="B99" s="228"/>
      <c r="C99" s="229"/>
      <c r="D99" s="228"/>
      <c r="E99" s="164"/>
      <c r="F99" s="164"/>
      <c r="G99" s="230"/>
      <c r="H99" s="231"/>
      <c r="I99" s="236"/>
      <c r="J99" s="236"/>
      <c r="L99" s="233"/>
      <c r="M99" s="233"/>
      <c r="N99" s="234"/>
      <c r="O99" s="165"/>
      <c r="P99" s="165"/>
      <c r="Q99" s="165"/>
      <c r="R99" s="165"/>
      <c r="S99" s="165"/>
      <c r="T99" s="165"/>
      <c r="U99" s="165"/>
      <c r="V99" s="165"/>
      <c r="W99" s="165"/>
      <c r="X99" s="165"/>
      <c r="Y99" s="165"/>
      <c r="Z99" s="165"/>
      <c r="AA99" s="165"/>
      <c r="AB99" s="165"/>
      <c r="AC99" s="165"/>
      <c r="AD99" s="165"/>
      <c r="AE99" s="165"/>
      <c r="AF99" s="165"/>
    </row>
    <row r="100" spans="1:32" s="235" customFormat="1" ht="16.5" customHeight="1">
      <c r="A100" s="227"/>
      <c r="B100" s="228"/>
      <c r="C100" s="229"/>
      <c r="D100" s="228"/>
      <c r="E100" s="164"/>
      <c r="F100" s="164"/>
      <c r="G100" s="230"/>
      <c r="H100" s="231"/>
      <c r="I100" s="236"/>
      <c r="J100" s="236"/>
      <c r="L100" s="233"/>
      <c r="M100" s="233"/>
      <c r="N100" s="234"/>
      <c r="O100" s="165"/>
      <c r="P100" s="165"/>
      <c r="Q100" s="165"/>
      <c r="R100" s="165"/>
      <c r="S100" s="165"/>
      <c r="T100" s="165"/>
      <c r="U100" s="165"/>
      <c r="V100" s="165"/>
      <c r="W100" s="165"/>
      <c r="X100" s="165"/>
      <c r="Y100" s="165"/>
      <c r="Z100" s="165"/>
      <c r="AA100" s="165"/>
      <c r="AB100" s="165"/>
      <c r="AC100" s="165"/>
      <c r="AD100" s="165"/>
      <c r="AE100" s="165"/>
      <c r="AF100" s="165"/>
    </row>
    <row r="101" spans="1:32" s="235" customFormat="1" ht="16.5" customHeight="1">
      <c r="A101" s="227"/>
      <c r="B101" s="228"/>
      <c r="C101" s="229"/>
      <c r="D101" s="228"/>
      <c r="E101" s="164"/>
      <c r="F101" s="164"/>
      <c r="G101" s="230"/>
      <c r="H101" s="231"/>
      <c r="I101" s="236"/>
      <c r="J101" s="236"/>
      <c r="L101" s="233"/>
      <c r="O101" s="165"/>
      <c r="P101" s="165"/>
      <c r="Q101" s="165"/>
      <c r="R101" s="165"/>
      <c r="S101" s="165"/>
      <c r="T101" s="165"/>
      <c r="U101" s="165"/>
      <c r="V101" s="165"/>
      <c r="W101" s="165"/>
      <c r="X101" s="165"/>
      <c r="Y101" s="165"/>
      <c r="Z101" s="165"/>
      <c r="AA101" s="165"/>
      <c r="AB101" s="165"/>
      <c r="AC101" s="165"/>
      <c r="AD101" s="165"/>
      <c r="AE101" s="165"/>
      <c r="AF101" s="165"/>
    </row>
    <row r="102" spans="1:32" s="255" customFormat="1" ht="16.5" customHeight="1" thickBot="1">
      <c r="A102" s="250"/>
      <c r="B102" s="251"/>
      <c r="C102" s="252"/>
      <c r="D102" s="251"/>
      <c r="E102" s="183"/>
      <c r="F102" s="183"/>
      <c r="G102" s="230"/>
      <c r="H102" s="253"/>
      <c r="I102" s="254"/>
      <c r="J102" s="254"/>
      <c r="L102" s="256"/>
      <c r="M102" s="239"/>
      <c r="N102" s="240"/>
      <c r="O102" s="185"/>
      <c r="P102" s="185"/>
      <c r="Q102" s="185"/>
      <c r="R102" s="185"/>
      <c r="S102" s="185"/>
      <c r="T102" s="185"/>
      <c r="U102" s="185"/>
      <c r="V102" s="185"/>
      <c r="W102" s="185"/>
      <c r="X102" s="185"/>
      <c r="Y102" s="185"/>
      <c r="Z102" s="185"/>
      <c r="AA102" s="185"/>
      <c r="AB102" s="185"/>
      <c r="AC102" s="185"/>
      <c r="AD102" s="185"/>
      <c r="AE102" s="185"/>
      <c r="AF102" s="185"/>
    </row>
    <row r="103" spans="1:32" s="235" customFormat="1" ht="16.5" customHeight="1">
      <c r="A103" s="227"/>
      <c r="B103" s="228"/>
      <c r="C103" s="229"/>
      <c r="D103" s="228"/>
      <c r="E103" s="164"/>
      <c r="F103" s="164"/>
      <c r="G103" s="230"/>
      <c r="H103" s="231"/>
      <c r="I103" s="232"/>
      <c r="J103" s="232"/>
      <c r="K103" s="233"/>
      <c r="L103" s="233"/>
      <c r="M103" s="233"/>
      <c r="N103" s="234"/>
      <c r="O103" s="165"/>
      <c r="P103" s="165"/>
      <c r="Q103" s="165"/>
      <c r="R103" s="165"/>
      <c r="S103" s="165"/>
      <c r="T103" s="165"/>
      <c r="U103" s="165"/>
      <c r="V103" s="165"/>
      <c r="W103" s="165"/>
      <c r="X103" s="165"/>
      <c r="Y103" s="165"/>
      <c r="Z103" s="165"/>
      <c r="AA103" s="165"/>
      <c r="AB103" s="165"/>
      <c r="AC103" s="165"/>
      <c r="AD103" s="165"/>
      <c r="AE103" s="165"/>
      <c r="AF103" s="165"/>
    </row>
    <row r="104" spans="1:32" s="235" customFormat="1" ht="16.5" customHeight="1">
      <c r="A104" s="227"/>
      <c r="B104" s="228"/>
      <c r="C104" s="229"/>
      <c r="D104" s="228"/>
      <c r="E104" s="164"/>
      <c r="F104" s="164"/>
      <c r="G104" s="230"/>
      <c r="H104" s="231"/>
      <c r="I104" s="232"/>
      <c r="J104" s="232"/>
      <c r="K104" s="233"/>
      <c r="L104" s="233"/>
      <c r="M104" s="233"/>
      <c r="N104" s="234"/>
      <c r="O104" s="165"/>
      <c r="P104" s="165"/>
      <c r="Q104" s="165"/>
      <c r="R104" s="165"/>
      <c r="S104" s="165"/>
      <c r="T104" s="165"/>
      <c r="U104" s="165"/>
      <c r="V104" s="165"/>
      <c r="W104" s="165"/>
      <c r="X104" s="165"/>
      <c r="Y104" s="165"/>
      <c r="Z104" s="165"/>
      <c r="AA104" s="165"/>
      <c r="AB104" s="165"/>
      <c r="AC104" s="165"/>
      <c r="AD104" s="165"/>
      <c r="AE104" s="165"/>
      <c r="AF104" s="165"/>
    </row>
    <row r="105" spans="1:32" s="235" customFormat="1" ht="16.5" customHeight="1">
      <c r="A105" s="227"/>
      <c r="B105" s="228"/>
      <c r="C105" s="229"/>
      <c r="D105" s="228"/>
      <c r="E105" s="164"/>
      <c r="F105" s="164"/>
      <c r="G105" s="230"/>
      <c r="H105" s="231"/>
      <c r="I105" s="232"/>
      <c r="J105" s="232"/>
      <c r="K105" s="233"/>
      <c r="L105" s="233"/>
      <c r="M105" s="233"/>
      <c r="N105" s="234"/>
      <c r="O105" s="165"/>
      <c r="P105" s="165"/>
      <c r="Q105" s="165"/>
      <c r="R105" s="165"/>
      <c r="S105" s="165"/>
      <c r="T105" s="165"/>
      <c r="U105" s="165"/>
      <c r="V105" s="165"/>
      <c r="W105" s="165"/>
      <c r="X105" s="165"/>
      <c r="Y105" s="165"/>
      <c r="Z105" s="165"/>
      <c r="AA105" s="165"/>
      <c r="AB105" s="165"/>
      <c r="AC105" s="165"/>
      <c r="AD105" s="165"/>
      <c r="AE105" s="165"/>
      <c r="AF105" s="165"/>
    </row>
    <row r="106" spans="1:32" s="235" customFormat="1" ht="16.5" customHeight="1">
      <c r="A106" s="227"/>
      <c r="B106" s="228"/>
      <c r="C106" s="229"/>
      <c r="D106" s="228"/>
      <c r="E106" s="164"/>
      <c r="F106" s="164"/>
      <c r="G106" s="230"/>
      <c r="H106" s="231"/>
      <c r="I106" s="232"/>
      <c r="J106" s="232"/>
      <c r="K106" s="233"/>
      <c r="L106" s="233"/>
      <c r="M106" s="233"/>
      <c r="N106" s="234"/>
      <c r="O106" s="165"/>
      <c r="P106" s="165"/>
      <c r="Q106" s="165"/>
      <c r="R106" s="165"/>
      <c r="S106" s="165"/>
      <c r="T106" s="165"/>
      <c r="U106" s="165"/>
      <c r="V106" s="165"/>
      <c r="W106" s="165"/>
      <c r="X106" s="165"/>
      <c r="Y106" s="165"/>
      <c r="Z106" s="165"/>
      <c r="AA106" s="165"/>
      <c r="AB106" s="165"/>
      <c r="AC106" s="165"/>
      <c r="AD106" s="165"/>
      <c r="AE106" s="165"/>
      <c r="AF106" s="165"/>
    </row>
    <row r="107" spans="1:32" s="235" customFormat="1" ht="16.5" customHeight="1">
      <c r="A107" s="227"/>
      <c r="B107" s="228"/>
      <c r="C107" s="229"/>
      <c r="D107" s="228"/>
      <c r="E107" s="164"/>
      <c r="F107" s="164"/>
      <c r="G107" s="230"/>
      <c r="H107" s="231"/>
      <c r="I107" s="232"/>
      <c r="J107" s="232"/>
      <c r="K107" s="233"/>
      <c r="L107" s="233"/>
      <c r="M107" s="233"/>
      <c r="N107" s="234"/>
      <c r="O107" s="165"/>
      <c r="P107" s="165"/>
      <c r="Q107" s="165"/>
      <c r="R107" s="165"/>
      <c r="S107" s="165"/>
      <c r="T107" s="165"/>
      <c r="U107" s="165"/>
      <c r="V107" s="165"/>
      <c r="W107" s="165"/>
      <c r="X107" s="165"/>
      <c r="Y107" s="165"/>
      <c r="Z107" s="165"/>
      <c r="AA107" s="165"/>
      <c r="AB107" s="165"/>
      <c r="AC107" s="165"/>
      <c r="AD107" s="165"/>
      <c r="AE107" s="165"/>
      <c r="AF107" s="165"/>
    </row>
    <row r="108" spans="1:32" s="235" customFormat="1" ht="16.5" customHeight="1">
      <c r="A108" s="227"/>
      <c r="B108" s="228"/>
      <c r="C108" s="229"/>
      <c r="D108" s="228"/>
      <c r="E108" s="164"/>
      <c r="F108" s="164"/>
      <c r="G108" s="230"/>
      <c r="H108" s="231"/>
      <c r="I108" s="232"/>
      <c r="J108" s="232"/>
      <c r="K108" s="233"/>
      <c r="L108" s="233"/>
      <c r="M108" s="233"/>
      <c r="N108" s="234"/>
      <c r="O108" s="165"/>
      <c r="P108" s="165"/>
      <c r="Q108" s="165"/>
      <c r="R108" s="165"/>
      <c r="S108" s="165"/>
      <c r="T108" s="165"/>
      <c r="U108" s="165"/>
      <c r="V108" s="165"/>
      <c r="W108" s="165"/>
      <c r="X108" s="165"/>
      <c r="Y108" s="165"/>
      <c r="Z108" s="165"/>
      <c r="AA108" s="165"/>
      <c r="AB108" s="165"/>
      <c r="AC108" s="165"/>
      <c r="AD108" s="165"/>
      <c r="AE108" s="165"/>
      <c r="AF108" s="165"/>
    </row>
    <row r="109" spans="1:32" s="255" customFormat="1" ht="16.5" customHeight="1" thickBot="1">
      <c r="A109" s="250"/>
      <c r="B109" s="257"/>
      <c r="C109" s="258"/>
      <c r="D109" s="257"/>
      <c r="E109" s="183"/>
      <c r="F109" s="183"/>
      <c r="G109" s="259"/>
      <c r="H109" s="260"/>
      <c r="I109" s="250"/>
      <c r="J109" s="250"/>
      <c r="M109" s="239"/>
      <c r="N109" s="240"/>
      <c r="O109" s="186"/>
      <c r="P109" s="186"/>
      <c r="Q109" s="186"/>
      <c r="R109" s="186"/>
      <c r="S109" s="186"/>
      <c r="T109" s="186"/>
      <c r="U109" s="186"/>
      <c r="V109" s="186"/>
      <c r="W109" s="186"/>
      <c r="X109" s="186"/>
      <c r="Y109" s="186"/>
      <c r="Z109" s="186"/>
      <c r="AA109" s="186"/>
      <c r="AB109" s="186"/>
      <c r="AC109" s="186"/>
      <c r="AD109" s="186"/>
      <c r="AE109" s="186"/>
    </row>
    <row r="110" spans="1:32" s="235" customFormat="1" ht="16.5" customHeight="1">
      <c r="A110" s="227"/>
      <c r="B110" s="261"/>
      <c r="E110" s="152"/>
      <c r="F110" s="152"/>
      <c r="G110" s="262"/>
      <c r="H110" s="233"/>
      <c r="I110" s="233"/>
      <c r="J110" s="233"/>
      <c r="K110" s="233"/>
      <c r="L110" s="233"/>
      <c r="M110" s="233"/>
      <c r="N110" s="263"/>
      <c r="O110" s="152"/>
      <c r="P110" s="152"/>
      <c r="Q110" s="152"/>
      <c r="R110" s="152"/>
      <c r="S110" s="152"/>
      <c r="T110" s="152"/>
      <c r="U110" s="152"/>
      <c r="V110" s="152"/>
      <c r="W110" s="152"/>
      <c r="X110" s="152"/>
      <c r="Y110" s="152"/>
      <c r="Z110" s="152"/>
      <c r="AA110" s="152"/>
      <c r="AB110" s="152"/>
      <c r="AC110" s="152"/>
      <c r="AD110" s="152"/>
      <c r="AE110" s="152"/>
      <c r="AF110" s="152"/>
    </row>
    <row r="111" spans="1:32" s="235" customFormat="1" ht="16.5" customHeight="1">
      <c r="A111" s="227"/>
      <c r="B111" s="233"/>
      <c r="C111" s="233"/>
      <c r="D111" s="233"/>
      <c r="E111" s="262"/>
      <c r="F111" s="262"/>
      <c r="G111" s="233"/>
      <c r="H111" s="233"/>
      <c r="I111" s="233"/>
      <c r="J111" s="233"/>
      <c r="K111" s="233"/>
      <c r="L111" s="233"/>
      <c r="M111" s="233"/>
      <c r="N111" s="165"/>
      <c r="O111" s="233"/>
      <c r="P111" s="233"/>
      <c r="Q111" s="233"/>
      <c r="R111" s="233"/>
      <c r="S111" s="233"/>
      <c r="T111" s="233"/>
      <c r="U111" s="233"/>
      <c r="V111" s="233"/>
      <c r="W111" s="233"/>
      <c r="X111" s="233"/>
      <c r="Y111" s="233"/>
      <c r="Z111" s="233"/>
      <c r="AA111" s="233"/>
      <c r="AB111" s="233"/>
      <c r="AC111" s="233"/>
      <c r="AD111" s="233"/>
      <c r="AE111" s="233"/>
      <c r="AF111" s="233"/>
    </row>
    <row r="112" spans="1:32" s="235" customFormat="1" ht="16.5" customHeight="1">
      <c r="A112" s="227"/>
      <c r="B112" s="264"/>
      <c r="C112" s="233"/>
      <c r="D112" s="264"/>
      <c r="E112" s="265"/>
      <c r="F112" s="265"/>
      <c r="G112" s="233"/>
      <c r="H112" s="233"/>
      <c r="I112" s="233"/>
      <c r="J112" s="233"/>
      <c r="K112" s="233"/>
      <c r="L112" s="233"/>
      <c r="M112" s="233"/>
      <c r="N112" s="266"/>
      <c r="O112" s="267"/>
      <c r="P112" s="267"/>
      <c r="Q112" s="267"/>
      <c r="R112" s="267"/>
      <c r="S112" s="267"/>
      <c r="T112" s="268"/>
      <c r="U112" s="268"/>
      <c r="V112" s="268"/>
      <c r="W112" s="268"/>
      <c r="X112" s="268"/>
      <c r="Y112" s="268"/>
      <c r="Z112" s="268"/>
      <c r="AA112" s="268"/>
      <c r="AB112" s="268"/>
      <c r="AC112" s="233"/>
      <c r="AD112" s="233"/>
      <c r="AE112" s="233"/>
      <c r="AF112" s="233"/>
    </row>
    <row r="113" spans="1:32" s="235" customFormat="1" ht="16.5" customHeight="1" thickBot="1">
      <c r="A113" s="227"/>
      <c r="B113" s="269"/>
      <c r="E113" s="270"/>
      <c r="F113" s="270"/>
      <c r="G113" s="233"/>
      <c r="H113" s="233"/>
      <c r="I113" s="233"/>
      <c r="J113" s="233"/>
      <c r="K113" s="233"/>
      <c r="L113" s="233"/>
      <c r="M113" s="233"/>
      <c r="N113" s="271"/>
      <c r="O113" s="271"/>
      <c r="P113" s="271"/>
      <c r="Q113" s="271"/>
      <c r="R113" s="271"/>
      <c r="S113" s="271"/>
      <c r="T113" s="271"/>
      <c r="U113" s="271"/>
      <c r="V113" s="271"/>
      <c r="W113" s="271"/>
      <c r="X113" s="271"/>
      <c r="Y113" s="271"/>
      <c r="Z113" s="271"/>
      <c r="AA113" s="271"/>
      <c r="AB113" s="271"/>
      <c r="AC113" s="272"/>
      <c r="AD113" s="233"/>
      <c r="AE113" s="233"/>
      <c r="AF113" s="233"/>
    </row>
    <row r="114" spans="1:32" s="235" customFormat="1" ht="16.5" customHeight="1" thickBot="1">
      <c r="A114" s="227"/>
      <c r="B114" s="269"/>
      <c r="E114" s="270"/>
      <c r="F114" s="270"/>
      <c r="G114" s="233"/>
      <c r="H114" s="233"/>
      <c r="I114" s="233"/>
      <c r="J114" s="233"/>
      <c r="K114" s="233"/>
      <c r="L114" s="233"/>
      <c r="M114" s="233"/>
      <c r="N114" s="165"/>
      <c r="O114" s="273"/>
      <c r="P114" s="165"/>
      <c r="Q114" s="165"/>
      <c r="R114" s="273"/>
      <c r="S114" s="165"/>
      <c r="T114" s="165"/>
      <c r="U114" s="273"/>
      <c r="V114" s="165"/>
      <c r="W114" s="165"/>
      <c r="X114" s="165"/>
      <c r="Y114" s="165"/>
      <c r="Z114" s="165"/>
      <c r="AA114" s="165"/>
      <c r="AB114" s="165"/>
      <c r="AC114" s="274"/>
      <c r="AD114" s="233"/>
      <c r="AE114" s="233"/>
      <c r="AF114" s="233"/>
    </row>
    <row r="115" spans="1:32" s="235" customFormat="1" ht="16.5" customHeight="1">
      <c r="A115" s="227"/>
      <c r="B115" s="269"/>
      <c r="E115" s="270"/>
      <c r="F115" s="270"/>
      <c r="G115" s="233"/>
      <c r="H115" s="233"/>
      <c r="I115" s="233"/>
      <c r="J115" s="233"/>
      <c r="K115" s="233"/>
      <c r="L115" s="233"/>
      <c r="M115" s="233"/>
      <c r="N115" s="275"/>
      <c r="O115" s="275"/>
      <c r="P115" s="275"/>
      <c r="Q115" s="275"/>
      <c r="R115" s="275"/>
      <c r="S115" s="275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33"/>
      <c r="AD115" s="233"/>
      <c r="AE115" s="233"/>
      <c r="AF115" s="233"/>
    </row>
    <row r="116" spans="1:32" s="235" customFormat="1" ht="16.5" customHeight="1">
      <c r="A116" s="227"/>
      <c r="B116" s="269"/>
      <c r="E116" s="270"/>
      <c r="F116" s="270"/>
      <c r="G116" s="233"/>
      <c r="H116" s="233"/>
      <c r="I116" s="233"/>
      <c r="J116" s="233"/>
      <c r="K116" s="233"/>
      <c r="L116" s="233"/>
      <c r="M116" s="233"/>
      <c r="N116" s="276"/>
      <c r="O116" s="276"/>
      <c r="P116" s="275"/>
      <c r="Q116" s="275"/>
      <c r="R116" s="275"/>
      <c r="S116" s="275"/>
      <c r="T116" s="275"/>
      <c r="U116" s="275"/>
      <c r="V116" s="275"/>
      <c r="W116" s="275"/>
      <c r="X116" s="277"/>
      <c r="Y116" s="275"/>
      <c r="Z116" s="275"/>
      <c r="AA116" s="275"/>
      <c r="AB116" s="275"/>
      <c r="AC116" s="275"/>
      <c r="AD116" s="233"/>
      <c r="AE116" s="233"/>
      <c r="AF116" s="233"/>
    </row>
    <row r="117" spans="1:32" s="235" customFormat="1" ht="16.5" customHeight="1">
      <c r="A117" s="227"/>
      <c r="B117" s="269"/>
      <c r="E117" s="270"/>
      <c r="F117" s="270"/>
      <c r="G117" s="233"/>
      <c r="H117" s="233"/>
      <c r="I117" s="233"/>
      <c r="J117" s="233"/>
      <c r="K117" s="233"/>
      <c r="L117" s="233"/>
      <c r="M117" s="233"/>
      <c r="N117" s="276"/>
      <c r="O117" s="276"/>
      <c r="P117" s="275"/>
      <c r="Q117" s="275"/>
      <c r="R117" s="275"/>
      <c r="S117" s="275"/>
      <c r="T117" s="275"/>
      <c r="U117" s="275"/>
      <c r="V117" s="275"/>
      <c r="W117" s="275"/>
      <c r="X117" s="277"/>
      <c r="Y117" s="275"/>
      <c r="Z117" s="275"/>
      <c r="AA117" s="275"/>
      <c r="AB117" s="275"/>
      <c r="AC117" s="275"/>
      <c r="AD117" s="233"/>
      <c r="AE117" s="233"/>
      <c r="AF117" s="233"/>
    </row>
    <row r="118" spans="1:32" s="235" customFormat="1" ht="16.5" customHeight="1">
      <c r="A118" s="227"/>
      <c r="B118" s="269"/>
      <c r="E118" s="270"/>
      <c r="F118" s="270"/>
      <c r="G118" s="233"/>
      <c r="H118" s="233"/>
      <c r="I118" s="233"/>
      <c r="J118" s="233"/>
      <c r="K118" s="233"/>
      <c r="L118" s="233"/>
      <c r="M118" s="233"/>
      <c r="N118" s="276"/>
      <c r="O118" s="276"/>
      <c r="P118" s="276"/>
      <c r="Q118" s="276"/>
      <c r="R118" s="276"/>
      <c r="S118" s="276"/>
      <c r="T118" s="276"/>
      <c r="U118" s="276"/>
      <c r="V118" s="276"/>
      <c r="W118" s="233"/>
      <c r="X118" s="233"/>
      <c r="Y118" s="233"/>
      <c r="Z118" s="275"/>
      <c r="AA118" s="276"/>
      <c r="AB118" s="276"/>
      <c r="AC118" s="276"/>
      <c r="AD118" s="233"/>
      <c r="AE118" s="233"/>
      <c r="AF118" s="233"/>
    </row>
    <row r="119" spans="1:32" s="235" customFormat="1" ht="16.5" customHeight="1">
      <c r="A119" s="227"/>
      <c r="B119" s="269"/>
      <c r="E119" s="270"/>
      <c r="F119" s="270"/>
      <c r="G119" s="233"/>
      <c r="H119" s="233"/>
      <c r="I119" s="233"/>
      <c r="J119" s="233"/>
      <c r="K119" s="233"/>
      <c r="L119" s="233"/>
      <c r="M119" s="233"/>
      <c r="N119" s="266"/>
      <c r="O119" s="267"/>
      <c r="P119" s="267"/>
      <c r="Q119" s="267"/>
      <c r="R119" s="267"/>
      <c r="S119" s="267"/>
      <c r="T119" s="267"/>
      <c r="U119" s="276"/>
      <c r="V119" s="276"/>
      <c r="W119" s="233"/>
      <c r="X119" s="233"/>
      <c r="Y119" s="233"/>
      <c r="Z119" s="275"/>
      <c r="AA119" s="276"/>
      <c r="AB119" s="276"/>
      <c r="AC119" s="276"/>
      <c r="AD119" s="233"/>
      <c r="AE119" s="233"/>
      <c r="AF119" s="233"/>
    </row>
    <row r="120" spans="1:32" s="235" customFormat="1" ht="16.5" customHeight="1">
      <c r="A120" s="227"/>
      <c r="B120" s="269"/>
      <c r="E120" s="270"/>
      <c r="F120" s="270"/>
      <c r="G120" s="233"/>
      <c r="H120" s="233"/>
      <c r="I120" s="233"/>
      <c r="J120" s="233"/>
      <c r="K120" s="233"/>
      <c r="L120" s="233"/>
      <c r="M120" s="233"/>
      <c r="N120" s="276"/>
      <c r="O120" s="276"/>
      <c r="P120" s="276"/>
      <c r="Q120" s="276"/>
      <c r="R120" s="276"/>
      <c r="S120" s="276"/>
      <c r="T120" s="276"/>
      <c r="U120" s="276"/>
      <c r="V120" s="276"/>
      <c r="W120" s="233"/>
      <c r="X120" s="233"/>
      <c r="Y120" s="233"/>
      <c r="Z120" s="275"/>
      <c r="AA120" s="233"/>
      <c r="AB120" s="233"/>
      <c r="AC120" s="233"/>
      <c r="AD120" s="233"/>
      <c r="AE120" s="233"/>
      <c r="AF120" s="233"/>
    </row>
    <row r="121" spans="1:32" s="235" customFormat="1" ht="16.5" customHeight="1">
      <c r="A121" s="227"/>
      <c r="B121" s="269"/>
      <c r="E121" s="270"/>
      <c r="F121" s="270"/>
      <c r="G121" s="233"/>
      <c r="H121" s="233"/>
      <c r="I121" s="233"/>
      <c r="J121" s="233"/>
      <c r="K121" s="233"/>
      <c r="L121" s="233"/>
      <c r="M121" s="233"/>
      <c r="N121" s="267"/>
      <c r="O121" s="278"/>
      <c r="P121" s="267"/>
      <c r="Q121" s="267"/>
      <c r="R121" s="279"/>
      <c r="S121" s="279"/>
      <c r="T121" s="267"/>
      <c r="U121" s="267"/>
      <c r="V121" s="266"/>
      <c r="W121" s="233"/>
      <c r="X121" s="233"/>
      <c r="Y121" s="233"/>
      <c r="Z121" s="275"/>
      <c r="AA121" s="280"/>
      <c r="AB121" s="280"/>
      <c r="AC121" s="267"/>
      <c r="AD121" s="233"/>
      <c r="AE121" s="233"/>
      <c r="AF121" s="233"/>
    </row>
    <row r="122" spans="1:32" s="235" customFormat="1" ht="16.5" customHeight="1">
      <c r="A122" s="227"/>
      <c r="B122" s="269"/>
      <c r="E122" s="270"/>
      <c r="F122" s="270"/>
      <c r="G122" s="233"/>
      <c r="H122" s="233"/>
      <c r="I122" s="233"/>
      <c r="J122" s="233"/>
      <c r="K122" s="233"/>
      <c r="L122" s="233"/>
      <c r="M122" s="233"/>
      <c r="N122" s="267"/>
      <c r="O122" s="281"/>
      <c r="P122" s="282"/>
      <c r="Q122" s="283"/>
      <c r="R122" s="279"/>
      <c r="S122" s="279"/>
      <c r="T122" s="267"/>
      <c r="U122" s="267"/>
      <c r="V122" s="266"/>
      <c r="W122" s="267"/>
      <c r="X122" s="267"/>
      <c r="Y122" s="267"/>
      <c r="Z122" s="267"/>
      <c r="AA122" s="280"/>
      <c r="AB122" s="280"/>
      <c r="AC122" s="267"/>
      <c r="AD122" s="233"/>
      <c r="AE122" s="233"/>
      <c r="AF122" s="233"/>
    </row>
    <row r="123" spans="1:32" s="235" customFormat="1" ht="16.5" customHeight="1" thickBot="1">
      <c r="A123" s="227"/>
      <c r="B123" s="269"/>
      <c r="E123" s="270"/>
      <c r="F123" s="270"/>
      <c r="G123" s="233"/>
      <c r="H123" s="233"/>
      <c r="I123" s="233"/>
      <c r="J123" s="233"/>
      <c r="K123" s="233"/>
      <c r="L123" s="233"/>
      <c r="M123" s="233"/>
      <c r="N123" s="267"/>
      <c r="O123" s="282"/>
      <c r="P123" s="284"/>
      <c r="Q123" s="267"/>
      <c r="R123" s="279"/>
      <c r="S123" s="279"/>
      <c r="T123" s="267"/>
      <c r="U123" s="267"/>
      <c r="V123" s="266"/>
      <c r="W123" s="267"/>
      <c r="X123" s="267"/>
      <c r="Y123" s="267"/>
      <c r="Z123" s="267"/>
      <c r="AA123" s="280"/>
      <c r="AB123" s="280"/>
      <c r="AC123" s="267"/>
      <c r="AD123" s="233"/>
      <c r="AE123" s="233"/>
      <c r="AF123" s="233"/>
    </row>
    <row r="124" spans="1:32" s="235" customFormat="1" ht="16.5" customHeight="1" thickBot="1">
      <c r="A124" s="227"/>
      <c r="B124" s="269"/>
      <c r="E124" s="270"/>
      <c r="F124" s="270"/>
      <c r="G124" s="233"/>
      <c r="H124" s="233"/>
      <c r="I124" s="233"/>
      <c r="J124" s="233"/>
      <c r="K124" s="233"/>
      <c r="L124" s="233"/>
      <c r="M124" s="233"/>
      <c r="N124" s="285"/>
      <c r="O124" s="286"/>
      <c r="P124" s="287"/>
      <c r="Q124" s="271"/>
      <c r="R124" s="271"/>
      <c r="S124" s="271"/>
      <c r="T124" s="271"/>
      <c r="U124" s="267"/>
      <c r="V124" s="288"/>
      <c r="W124" s="289"/>
      <c r="X124" s="289"/>
      <c r="Y124" s="290"/>
      <c r="Z124" s="291"/>
      <c r="AA124" s="292"/>
      <c r="AB124" s="293"/>
      <c r="AC124" s="267"/>
      <c r="AD124" s="233"/>
      <c r="AE124" s="233"/>
      <c r="AF124" s="233"/>
    </row>
    <row r="125" spans="1:32" s="235" customFormat="1" ht="16.5" customHeight="1">
      <c r="B125" s="269"/>
      <c r="E125" s="270"/>
      <c r="F125" s="270"/>
      <c r="G125" s="233"/>
      <c r="H125" s="233"/>
      <c r="I125" s="233"/>
      <c r="J125" s="233"/>
      <c r="K125" s="233"/>
      <c r="L125" s="233"/>
      <c r="M125" s="233"/>
      <c r="N125" s="294"/>
      <c r="O125" s="267"/>
      <c r="P125" s="295"/>
      <c r="Q125" s="296"/>
      <c r="R125" s="297"/>
      <c r="S125" s="297"/>
      <c r="T125" s="296"/>
      <c r="U125" s="267"/>
      <c r="V125" s="298"/>
      <c r="W125" s="299"/>
      <c r="X125" s="267"/>
      <c r="Y125" s="300"/>
      <c r="Z125" s="301"/>
      <c r="AA125" s="302"/>
      <c r="AB125" s="278"/>
      <c r="AC125" s="267"/>
      <c r="AD125" s="233"/>
      <c r="AE125" s="233"/>
      <c r="AF125" s="233"/>
    </row>
    <row r="126" spans="1:32" s="235" customFormat="1">
      <c r="B126" s="269"/>
      <c r="E126" s="270"/>
      <c r="F126" s="270"/>
      <c r="G126" s="233"/>
      <c r="H126" s="233"/>
      <c r="I126" s="233"/>
      <c r="J126" s="233"/>
      <c r="K126" s="233"/>
      <c r="L126" s="233"/>
      <c r="M126" s="233"/>
      <c r="N126" s="303"/>
      <c r="O126" s="267"/>
      <c r="P126" s="304"/>
      <c r="Q126" s="305"/>
      <c r="R126" s="306"/>
      <c r="S126" s="306"/>
      <c r="T126" s="296"/>
      <c r="U126" s="267"/>
      <c r="V126" s="307"/>
      <c r="W126" s="267"/>
      <c r="X126" s="267"/>
      <c r="Y126" s="308"/>
      <c r="Z126" s="309"/>
      <c r="AA126" s="310"/>
      <c r="AB126" s="278"/>
      <c r="AC126" s="267"/>
      <c r="AD126" s="233"/>
      <c r="AE126" s="233"/>
      <c r="AF126" s="233"/>
    </row>
    <row r="127" spans="1:32" s="235" customFormat="1">
      <c r="E127" s="270"/>
      <c r="F127" s="311"/>
      <c r="G127" s="233"/>
      <c r="H127" s="233"/>
      <c r="I127" s="233"/>
      <c r="J127" s="233"/>
      <c r="K127" s="233"/>
      <c r="L127" s="233"/>
      <c r="M127" s="233"/>
      <c r="N127" s="312"/>
      <c r="O127" s="313"/>
      <c r="P127" s="314"/>
      <c r="Q127" s="296"/>
      <c r="R127" s="306"/>
      <c r="S127" s="306"/>
      <c r="T127" s="296"/>
      <c r="U127" s="267"/>
      <c r="V127" s="307"/>
      <c r="W127" s="267"/>
      <c r="X127" s="267"/>
      <c r="Y127" s="308"/>
      <c r="Z127" s="309"/>
      <c r="AA127" s="310"/>
      <c r="AB127" s="278"/>
      <c r="AC127" s="267"/>
      <c r="AD127" s="233"/>
      <c r="AE127" s="233"/>
      <c r="AF127" s="233"/>
    </row>
    <row r="128" spans="1:32" s="235" customFormat="1">
      <c r="B128" s="233"/>
      <c r="C128" s="233"/>
      <c r="D128" s="233"/>
      <c r="E128" s="233"/>
      <c r="F128" s="233"/>
      <c r="G128" s="233"/>
      <c r="H128" s="233"/>
      <c r="I128" s="233"/>
      <c r="J128" s="233"/>
      <c r="K128" s="233"/>
      <c r="L128" s="233"/>
      <c r="M128" s="233"/>
      <c r="N128" s="315"/>
      <c r="O128" s="267"/>
      <c r="P128" s="267"/>
      <c r="Q128" s="267"/>
      <c r="R128" s="267"/>
      <c r="S128" s="267"/>
      <c r="T128" s="296"/>
      <c r="U128" s="267"/>
      <c r="V128" s="307"/>
      <c r="W128" s="267"/>
      <c r="X128" s="267"/>
      <c r="Y128" s="308"/>
      <c r="Z128" s="309"/>
      <c r="AA128" s="310"/>
      <c r="AB128" s="278"/>
      <c r="AC128" s="267"/>
      <c r="AD128" s="233"/>
      <c r="AE128" s="233"/>
      <c r="AF128" s="233"/>
    </row>
    <row r="129" spans="2:32" s="235" customFormat="1">
      <c r="B129" s="233"/>
      <c r="C129" s="233"/>
      <c r="D129" s="233"/>
      <c r="E129" s="233"/>
      <c r="F129" s="233"/>
      <c r="G129" s="233"/>
      <c r="H129" s="233"/>
      <c r="I129" s="233"/>
      <c r="J129" s="233"/>
      <c r="K129" s="233"/>
      <c r="L129" s="233"/>
      <c r="M129" s="233"/>
      <c r="N129" s="267"/>
      <c r="O129" s="267"/>
      <c r="P129" s="267"/>
      <c r="Q129" s="267"/>
      <c r="R129" s="306"/>
      <c r="S129" s="306"/>
      <c r="T129" s="296"/>
      <c r="U129" s="267"/>
      <c r="V129" s="307"/>
      <c r="W129" s="267"/>
      <c r="X129" s="267"/>
      <c r="Y129" s="308"/>
      <c r="Z129" s="309"/>
      <c r="AA129" s="310"/>
      <c r="AB129" s="278"/>
      <c r="AC129" s="267"/>
      <c r="AD129" s="233"/>
      <c r="AE129" s="233"/>
      <c r="AF129" s="233"/>
    </row>
    <row r="130" spans="2:32" s="235" customFormat="1">
      <c r="B130" s="233"/>
      <c r="C130" s="233"/>
      <c r="D130" s="233"/>
      <c r="E130" s="233"/>
      <c r="F130" s="233"/>
      <c r="G130" s="233"/>
      <c r="H130" s="233"/>
      <c r="I130" s="233"/>
      <c r="J130" s="233"/>
      <c r="K130" s="233"/>
      <c r="L130" s="233"/>
      <c r="M130" s="233"/>
      <c r="N130" s="267"/>
      <c r="O130" s="267"/>
      <c r="P130" s="267"/>
      <c r="Q130" s="267"/>
      <c r="R130" s="267"/>
      <c r="S130" s="267"/>
      <c r="T130" s="296"/>
      <c r="U130" s="267"/>
      <c r="V130" s="307"/>
      <c r="W130" s="267"/>
      <c r="X130" s="267"/>
      <c r="Y130" s="308"/>
      <c r="Z130" s="309"/>
      <c r="AA130" s="310"/>
      <c r="AB130" s="278"/>
      <c r="AC130" s="267"/>
      <c r="AD130" s="233"/>
      <c r="AE130" s="233"/>
      <c r="AF130" s="233"/>
    </row>
    <row r="131" spans="2:32" s="235" customFormat="1">
      <c r="B131" s="233"/>
      <c r="C131" s="233"/>
      <c r="D131" s="233"/>
      <c r="E131" s="233"/>
      <c r="F131" s="233"/>
      <c r="G131" s="233"/>
      <c r="H131" s="233"/>
      <c r="I131" s="233"/>
      <c r="J131" s="233"/>
      <c r="K131" s="233"/>
      <c r="L131" s="233"/>
      <c r="M131" s="233"/>
      <c r="N131" s="315"/>
      <c r="O131" s="267"/>
      <c r="P131" s="267"/>
      <c r="Q131" s="267"/>
      <c r="R131" s="267"/>
      <c r="S131" s="267"/>
      <c r="T131" s="296"/>
      <c r="U131" s="267"/>
      <c r="V131" s="307"/>
      <c r="W131" s="267"/>
      <c r="X131" s="267"/>
      <c r="Y131" s="308"/>
      <c r="Z131" s="309"/>
      <c r="AA131" s="310"/>
      <c r="AB131" s="278"/>
      <c r="AC131" s="267"/>
      <c r="AD131" s="233"/>
      <c r="AE131" s="233"/>
      <c r="AF131" s="233"/>
    </row>
    <row r="132" spans="2:32" s="235" customFormat="1">
      <c r="B132" s="233"/>
      <c r="C132" s="233"/>
      <c r="D132" s="233"/>
      <c r="E132" s="233"/>
      <c r="F132" s="233"/>
      <c r="G132" s="233"/>
      <c r="H132" s="233"/>
      <c r="I132" s="233"/>
      <c r="J132" s="233"/>
      <c r="K132" s="233"/>
      <c r="L132" s="233"/>
      <c r="M132" s="233"/>
      <c r="N132" s="267"/>
      <c r="O132" s="267"/>
      <c r="P132" s="267"/>
      <c r="Q132" s="267"/>
      <c r="R132" s="267"/>
      <c r="S132" s="267"/>
      <c r="T132" s="278"/>
      <c r="U132" s="267"/>
      <c r="V132" s="307"/>
      <c r="W132" s="267"/>
      <c r="X132" s="267"/>
      <c r="Y132" s="308"/>
      <c r="Z132" s="309"/>
      <c r="AA132" s="310"/>
      <c r="AB132" s="278"/>
      <c r="AC132" s="267"/>
      <c r="AD132" s="233"/>
      <c r="AE132" s="233"/>
      <c r="AF132" s="233"/>
    </row>
    <row r="133" spans="2:32" s="235" customFormat="1" ht="13.5" thickBot="1">
      <c r="B133" s="233"/>
      <c r="C133" s="233"/>
      <c r="D133" s="233"/>
      <c r="E133" s="233"/>
      <c r="F133" s="233"/>
      <c r="G133" s="233"/>
      <c r="H133" s="233"/>
      <c r="I133" s="233"/>
      <c r="J133" s="233"/>
      <c r="K133" s="233"/>
      <c r="L133" s="233"/>
      <c r="M133" s="233"/>
      <c r="N133" s="267"/>
      <c r="O133" s="267"/>
      <c r="P133" s="267"/>
      <c r="Q133" s="316"/>
      <c r="R133" s="317"/>
      <c r="S133" s="317"/>
      <c r="T133" s="305"/>
      <c r="U133" s="278"/>
      <c r="V133" s="318"/>
      <c r="W133" s="319"/>
      <c r="X133" s="319"/>
      <c r="Y133" s="320"/>
      <c r="Z133" s="321"/>
      <c r="AA133" s="322"/>
      <c r="AB133" s="323"/>
      <c r="AC133" s="267"/>
      <c r="AD133" s="233"/>
      <c r="AE133" s="233"/>
      <c r="AF133" s="233"/>
    </row>
    <row r="134" spans="2:32" s="235" customFormat="1">
      <c r="B134" s="233"/>
      <c r="C134" s="233"/>
      <c r="D134" s="233"/>
      <c r="E134" s="233"/>
      <c r="F134" s="233"/>
      <c r="G134" s="233"/>
      <c r="H134" s="233"/>
      <c r="I134" s="233"/>
      <c r="J134" s="233"/>
      <c r="K134" s="233"/>
      <c r="L134" s="233"/>
      <c r="M134" s="233"/>
      <c r="N134" s="267"/>
      <c r="O134" s="267"/>
      <c r="P134" s="267"/>
      <c r="Q134" s="267"/>
      <c r="R134" s="267"/>
      <c r="S134" s="267"/>
      <c r="T134" s="267"/>
      <c r="U134" s="278"/>
      <c r="V134" s="278"/>
      <c r="W134" s="278"/>
      <c r="X134" s="278"/>
      <c r="Y134" s="267"/>
      <c r="Z134" s="267"/>
      <c r="AA134" s="279"/>
      <c r="AB134" s="279"/>
      <c r="AC134" s="267"/>
      <c r="AD134" s="233"/>
      <c r="AE134" s="233"/>
      <c r="AF134" s="233"/>
    </row>
    <row r="135" spans="2:32" s="235" customFormat="1" ht="15">
      <c r="B135" s="233"/>
      <c r="C135" s="233"/>
      <c r="D135" s="233"/>
      <c r="E135" s="233"/>
      <c r="F135" s="233"/>
      <c r="G135" s="233"/>
      <c r="H135" s="233"/>
      <c r="I135" s="233"/>
      <c r="J135" s="233"/>
      <c r="K135" s="233"/>
      <c r="L135" s="233"/>
      <c r="M135" s="233"/>
      <c r="N135" s="324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</row>
    <row r="136" spans="2:32" s="235" customFormat="1">
      <c r="B136" s="233"/>
      <c r="C136" s="233"/>
      <c r="D136" s="233"/>
      <c r="E136" s="233"/>
      <c r="F136" s="233"/>
      <c r="G136" s="233"/>
      <c r="H136" s="233"/>
      <c r="I136" s="233"/>
      <c r="J136" s="233"/>
      <c r="K136" s="233"/>
      <c r="L136" s="233"/>
      <c r="M136" s="233"/>
      <c r="N136" s="267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</row>
    <row r="137" spans="2:32" s="235" customFormat="1">
      <c r="B137" s="233"/>
      <c r="C137" s="233"/>
      <c r="D137" s="233"/>
      <c r="E137" s="233"/>
      <c r="F137" s="233"/>
      <c r="G137" s="233"/>
      <c r="H137" s="233"/>
      <c r="I137" s="233"/>
      <c r="J137" s="233"/>
      <c r="K137" s="233"/>
      <c r="L137" s="233"/>
      <c r="M137" s="233"/>
      <c r="N137" s="267"/>
      <c r="O137" s="233"/>
      <c r="P137" s="233"/>
      <c r="Q137" s="233"/>
      <c r="R137" s="233"/>
      <c r="S137" s="233"/>
      <c r="T137" s="233"/>
      <c r="U137" s="233"/>
      <c r="V137" s="233"/>
      <c r="W137" s="233"/>
      <c r="X137" s="233"/>
      <c r="Y137" s="233"/>
      <c r="Z137" s="233"/>
      <c r="AA137" s="233"/>
      <c r="AB137" s="233"/>
      <c r="AC137" s="233"/>
      <c r="AD137" s="233"/>
      <c r="AE137" s="233"/>
      <c r="AF137" s="233"/>
    </row>
    <row r="138" spans="2:32" s="235" customFormat="1" ht="13.5" thickBot="1">
      <c r="B138" s="233"/>
      <c r="C138" s="233"/>
      <c r="D138" s="233"/>
      <c r="E138" s="233"/>
      <c r="F138" s="233"/>
      <c r="G138" s="233"/>
      <c r="H138" s="233"/>
      <c r="I138" s="233"/>
      <c r="J138" s="233"/>
      <c r="K138" s="233"/>
      <c r="L138" s="233"/>
      <c r="M138" s="233"/>
      <c r="N138" s="267"/>
      <c r="O138" s="233"/>
      <c r="P138" s="233"/>
      <c r="Q138" s="233"/>
      <c r="R138" s="233"/>
      <c r="S138" s="233"/>
      <c r="T138" s="233"/>
      <c r="U138" s="233"/>
      <c r="V138" s="233"/>
      <c r="W138" s="233"/>
      <c r="X138" s="233"/>
      <c r="Y138" s="233"/>
      <c r="Z138" s="233"/>
      <c r="AA138" s="233"/>
      <c r="AB138" s="233"/>
      <c r="AC138" s="233"/>
      <c r="AD138" s="233"/>
      <c r="AE138" s="233"/>
      <c r="AF138" s="233"/>
    </row>
    <row r="139" spans="2:32" s="235" customFormat="1" ht="13.5" thickBot="1">
      <c r="B139" s="233"/>
      <c r="C139" s="233"/>
      <c r="D139" s="233"/>
      <c r="E139" s="233"/>
      <c r="F139" s="233"/>
      <c r="G139" s="233"/>
      <c r="H139" s="233"/>
      <c r="I139" s="233"/>
      <c r="J139" s="233"/>
      <c r="K139" s="233"/>
      <c r="L139" s="233"/>
      <c r="M139" s="233"/>
      <c r="N139" s="325"/>
      <c r="O139" s="326"/>
      <c r="P139" s="326"/>
      <c r="Q139" s="326"/>
      <c r="R139" s="327"/>
      <c r="S139" s="328"/>
      <c r="T139" s="329"/>
      <c r="U139" s="233"/>
      <c r="V139" s="330"/>
      <c r="W139" s="331"/>
      <c r="X139" s="331"/>
      <c r="Y139" s="332"/>
      <c r="Z139" s="291"/>
      <c r="AA139" s="292"/>
      <c r="AB139" s="293"/>
      <c r="AC139" s="233"/>
      <c r="AD139" s="233"/>
      <c r="AE139" s="233"/>
      <c r="AF139" s="233"/>
    </row>
    <row r="140" spans="2:32" s="235" customFormat="1">
      <c r="B140" s="233"/>
      <c r="C140" s="233"/>
      <c r="D140" s="233"/>
      <c r="E140" s="233"/>
      <c r="F140" s="233"/>
      <c r="G140" s="233"/>
      <c r="H140" s="233"/>
      <c r="I140" s="233"/>
      <c r="J140" s="233"/>
      <c r="K140" s="233"/>
      <c r="L140" s="233"/>
      <c r="M140" s="233"/>
      <c r="N140" s="333"/>
      <c r="O140" s="334"/>
      <c r="P140" s="335"/>
      <c r="Q140" s="334"/>
      <c r="R140" s="336"/>
      <c r="S140" s="337"/>
      <c r="T140" s="338"/>
      <c r="U140" s="339"/>
      <c r="V140" s="307"/>
      <c r="W140" s="267"/>
      <c r="X140" s="267"/>
      <c r="Y140" s="300"/>
      <c r="Z140" s="301"/>
      <c r="AA140" s="302"/>
      <c r="AB140" s="278"/>
      <c r="AC140" s="233"/>
      <c r="AD140" s="233"/>
      <c r="AE140" s="233"/>
      <c r="AF140" s="233"/>
    </row>
    <row r="141" spans="2:32" s="235" customFormat="1">
      <c r="B141" s="233"/>
      <c r="C141" s="233"/>
      <c r="D141" s="233"/>
      <c r="E141" s="233"/>
      <c r="F141" s="233"/>
      <c r="G141" s="233"/>
      <c r="H141" s="233"/>
      <c r="I141" s="233"/>
      <c r="J141" s="233"/>
      <c r="K141" s="233"/>
      <c r="L141" s="233"/>
      <c r="M141" s="233"/>
      <c r="N141" s="340"/>
      <c r="O141" s="341"/>
      <c r="P141" s="335"/>
      <c r="Q141" s="341"/>
      <c r="R141" s="342"/>
      <c r="S141" s="343"/>
      <c r="T141" s="344"/>
      <c r="U141" s="339"/>
      <c r="V141" s="307"/>
      <c r="W141" s="267"/>
      <c r="X141" s="267"/>
      <c r="Y141" s="345"/>
      <c r="Z141" s="309"/>
      <c r="AA141" s="310"/>
      <c r="AB141" s="278"/>
      <c r="AC141" s="233"/>
      <c r="AD141" s="233"/>
      <c r="AE141" s="233"/>
      <c r="AF141" s="233"/>
    </row>
    <row r="142" spans="2:32" s="235" customFormat="1">
      <c r="B142" s="233"/>
      <c r="C142" s="233"/>
      <c r="D142" s="233"/>
      <c r="E142" s="233"/>
      <c r="F142" s="233"/>
      <c r="G142" s="233"/>
      <c r="H142" s="233"/>
      <c r="I142" s="233"/>
      <c r="J142" s="233"/>
      <c r="K142" s="233"/>
      <c r="L142" s="233"/>
      <c r="M142" s="233"/>
      <c r="N142" s="340"/>
      <c r="O142" s="341"/>
      <c r="P142" s="335"/>
      <c r="Q142" s="341"/>
      <c r="R142" s="342"/>
      <c r="S142" s="343"/>
      <c r="T142" s="344"/>
      <c r="U142" s="346"/>
      <c r="V142" s="307"/>
      <c r="W142" s="267"/>
      <c r="X142" s="267"/>
      <c r="Y142" s="345"/>
      <c r="Z142" s="309"/>
      <c r="AA142" s="310"/>
      <c r="AB142" s="278"/>
      <c r="AC142" s="233"/>
      <c r="AD142" s="233"/>
      <c r="AE142" s="233"/>
      <c r="AF142" s="233"/>
    </row>
    <row r="143" spans="2:32" s="235" customFormat="1">
      <c r="B143" s="233"/>
      <c r="C143" s="233"/>
      <c r="D143" s="233"/>
      <c r="E143" s="233"/>
      <c r="F143" s="233"/>
      <c r="G143" s="233"/>
      <c r="H143" s="233"/>
      <c r="I143" s="233"/>
      <c r="J143" s="233"/>
      <c r="K143" s="233"/>
      <c r="L143" s="233"/>
      <c r="M143" s="233"/>
      <c r="N143" s="347"/>
      <c r="O143" s="348"/>
      <c r="P143" s="335"/>
      <c r="Q143" s="348"/>
      <c r="R143" s="349"/>
      <c r="S143" s="350"/>
      <c r="T143" s="351"/>
      <c r="U143" s="352"/>
      <c r="V143" s="307"/>
      <c r="W143" s="267"/>
      <c r="X143" s="267"/>
      <c r="Y143" s="345"/>
      <c r="Z143" s="309"/>
      <c r="AA143" s="310"/>
      <c r="AB143" s="278"/>
      <c r="AC143" s="233"/>
      <c r="AD143" s="233"/>
      <c r="AE143" s="233"/>
      <c r="AF143" s="233"/>
    </row>
    <row r="144" spans="2:32" s="235" customFormat="1" ht="13.5" thickBot="1">
      <c r="B144" s="233"/>
      <c r="C144" s="233"/>
      <c r="D144" s="233"/>
      <c r="E144" s="233"/>
      <c r="F144" s="233"/>
      <c r="G144" s="233"/>
      <c r="H144" s="233"/>
      <c r="I144" s="233"/>
      <c r="J144" s="233"/>
      <c r="K144" s="233"/>
      <c r="L144" s="233"/>
      <c r="M144" s="233"/>
      <c r="N144" s="353"/>
      <c r="O144" s="354"/>
      <c r="P144" s="354"/>
      <c r="Q144" s="354"/>
      <c r="R144" s="354"/>
      <c r="S144" s="355"/>
      <c r="T144" s="356"/>
      <c r="U144" s="234"/>
      <c r="V144" s="307"/>
      <c r="W144" s="267"/>
      <c r="X144" s="267"/>
      <c r="Y144" s="345"/>
      <c r="Z144" s="309"/>
      <c r="AA144" s="310"/>
      <c r="AB144" s="278"/>
      <c r="AC144" s="233"/>
      <c r="AD144" s="233"/>
      <c r="AE144" s="233"/>
      <c r="AF144" s="233"/>
    </row>
    <row r="145" spans="2:32" s="235" customFormat="1" ht="13.5" thickBot="1">
      <c r="B145" s="233"/>
      <c r="C145" s="233"/>
      <c r="D145" s="233"/>
      <c r="E145" s="233"/>
      <c r="F145" s="233"/>
      <c r="G145" s="233"/>
      <c r="H145" s="233"/>
      <c r="I145" s="233"/>
      <c r="J145" s="233"/>
      <c r="K145" s="233"/>
      <c r="L145" s="233"/>
      <c r="M145" s="233"/>
      <c r="N145" s="357"/>
      <c r="O145" s="319"/>
      <c r="P145" s="358"/>
      <c r="Q145" s="358"/>
      <c r="R145" s="359"/>
      <c r="S145" s="359"/>
      <c r="T145" s="360"/>
      <c r="U145" s="278"/>
      <c r="V145" s="307"/>
      <c r="W145" s="267"/>
      <c r="X145" s="267"/>
      <c r="Y145" s="345"/>
      <c r="Z145" s="309"/>
      <c r="AA145" s="310"/>
      <c r="AB145" s="278"/>
      <c r="AC145" s="233"/>
      <c r="AD145" s="233"/>
      <c r="AE145" s="233"/>
      <c r="AF145" s="233"/>
    </row>
    <row r="146" spans="2:32" s="235" customFormat="1" ht="13.5" thickBot="1">
      <c r="B146" s="233"/>
      <c r="C146" s="233"/>
      <c r="D146" s="233"/>
      <c r="E146" s="233"/>
      <c r="F146" s="233"/>
      <c r="G146" s="233"/>
      <c r="H146" s="233"/>
      <c r="I146" s="233"/>
      <c r="J146" s="233"/>
      <c r="K146" s="233"/>
      <c r="L146" s="233"/>
      <c r="M146" s="233"/>
      <c r="N146" s="233"/>
      <c r="O146" s="233"/>
      <c r="P146" s="233"/>
      <c r="Q146" s="233"/>
      <c r="R146" s="233"/>
      <c r="S146" s="233"/>
      <c r="T146" s="233"/>
      <c r="U146" s="233"/>
      <c r="V146" s="361"/>
      <c r="W146" s="358"/>
      <c r="X146" s="358"/>
      <c r="Y146" s="362"/>
      <c r="Z146" s="321"/>
      <c r="AA146" s="322"/>
      <c r="AB146" s="323"/>
      <c r="AC146" s="233"/>
      <c r="AD146" s="233"/>
      <c r="AE146" s="233"/>
      <c r="AF146" s="233"/>
    </row>
    <row r="147" spans="2:32" s="235" customFormat="1" ht="13.5" thickBot="1">
      <c r="B147" s="233"/>
      <c r="C147" s="233"/>
      <c r="D147" s="233"/>
      <c r="E147" s="233"/>
      <c r="F147" s="233"/>
      <c r="G147" s="233"/>
      <c r="H147" s="233"/>
      <c r="I147" s="233"/>
      <c r="J147" s="233"/>
      <c r="K147" s="233"/>
      <c r="L147" s="233"/>
      <c r="M147" s="233"/>
      <c r="N147" s="233"/>
      <c r="O147" s="233"/>
      <c r="P147" s="233"/>
      <c r="Q147" s="233"/>
      <c r="R147" s="363"/>
      <c r="S147" s="363"/>
      <c r="T147" s="364"/>
      <c r="U147" s="278"/>
      <c r="V147" s="233"/>
      <c r="W147" s="233"/>
      <c r="X147" s="233"/>
      <c r="Y147" s="233"/>
      <c r="Z147" s="233"/>
      <c r="AA147" s="279"/>
      <c r="AB147" s="365"/>
      <c r="AC147" s="233"/>
      <c r="AD147" s="233"/>
      <c r="AE147" s="233"/>
      <c r="AF147" s="233"/>
    </row>
    <row r="148" spans="2:32" s="235" customFormat="1">
      <c r="B148" s="233"/>
      <c r="C148" s="233"/>
      <c r="D148" s="233"/>
      <c r="E148" s="233"/>
      <c r="F148" s="233"/>
      <c r="G148" s="233"/>
      <c r="H148" s="233"/>
      <c r="I148" s="233"/>
      <c r="J148" s="233"/>
      <c r="K148" s="233"/>
      <c r="L148" s="233"/>
      <c r="M148" s="233"/>
      <c r="AA148" s="366"/>
      <c r="AD148" s="233"/>
      <c r="AE148" s="233"/>
      <c r="AF148" s="233"/>
    </row>
    <row r="149" spans="2:32" s="235" customFormat="1" ht="15.75" thickBot="1">
      <c r="B149" s="233"/>
      <c r="C149" s="233"/>
      <c r="D149" s="233"/>
      <c r="E149" s="233"/>
      <c r="F149" s="233"/>
      <c r="G149" s="233"/>
      <c r="H149" s="233"/>
      <c r="I149" s="233"/>
      <c r="J149" s="233"/>
      <c r="K149" s="233"/>
      <c r="L149" s="233"/>
      <c r="M149" s="233"/>
      <c r="V149" s="367"/>
      <c r="W149" s="368"/>
      <c r="X149" s="369"/>
      <c r="Y149" s="233"/>
      <c r="Z149" s="370"/>
      <c r="AA149" s="370"/>
      <c r="AD149" s="233"/>
      <c r="AE149" s="233"/>
      <c r="AF149" s="233"/>
    </row>
    <row r="150" spans="2:32" s="235" customFormat="1">
      <c r="B150" s="233"/>
      <c r="C150" s="233"/>
      <c r="D150" s="233"/>
      <c r="E150" s="233"/>
      <c r="F150" s="233"/>
      <c r="G150" s="233"/>
      <c r="H150" s="233"/>
      <c r="I150" s="233"/>
      <c r="J150" s="233"/>
      <c r="K150" s="233"/>
      <c r="L150" s="233"/>
      <c r="M150" s="233"/>
      <c r="V150" s="371"/>
      <c r="W150" s="372"/>
      <c r="X150" s="331"/>
      <c r="Y150" s="332"/>
      <c r="Z150" s="373"/>
      <c r="AA150" s="374"/>
      <c r="AD150" s="233"/>
      <c r="AE150" s="233"/>
      <c r="AF150" s="233"/>
    </row>
    <row r="151" spans="2:32" s="235" customFormat="1">
      <c r="B151" s="233"/>
      <c r="C151" s="233"/>
      <c r="D151" s="233"/>
      <c r="E151" s="233"/>
      <c r="F151" s="233"/>
      <c r="G151" s="233"/>
      <c r="H151" s="233"/>
      <c r="I151" s="233"/>
      <c r="J151" s="233"/>
      <c r="K151" s="233"/>
      <c r="L151" s="233"/>
      <c r="M151" s="233"/>
      <c r="V151" s="375"/>
      <c r="W151" s="233"/>
      <c r="X151" s="233"/>
      <c r="Y151" s="345"/>
      <c r="Z151" s="233"/>
      <c r="AA151" s="376"/>
      <c r="AD151" s="233"/>
      <c r="AE151" s="233"/>
      <c r="AF151" s="233"/>
    </row>
    <row r="152" spans="2:32" s="235" customFormat="1">
      <c r="B152" s="233"/>
      <c r="C152" s="233"/>
      <c r="D152" s="233"/>
      <c r="E152" s="233"/>
      <c r="F152" s="233"/>
      <c r="G152" s="233"/>
      <c r="H152" s="233"/>
      <c r="I152" s="233"/>
      <c r="J152" s="233"/>
      <c r="K152" s="233"/>
      <c r="L152" s="233"/>
      <c r="M152" s="233"/>
      <c r="V152" s="377"/>
      <c r="W152" s="378"/>
      <c r="X152" s="233"/>
      <c r="Y152" s="345"/>
      <c r="Z152" s="379"/>
      <c r="AA152" s="380"/>
      <c r="AD152" s="233"/>
      <c r="AE152" s="233"/>
      <c r="AF152" s="233"/>
    </row>
    <row r="153" spans="2:32" s="235" customFormat="1">
      <c r="B153" s="233"/>
      <c r="C153" s="233"/>
      <c r="D153" s="233"/>
      <c r="E153" s="233"/>
      <c r="F153" s="233"/>
      <c r="G153" s="233"/>
      <c r="H153" s="233"/>
      <c r="I153" s="233"/>
      <c r="J153" s="233"/>
      <c r="K153" s="233"/>
      <c r="L153" s="233"/>
      <c r="M153" s="233"/>
      <c r="V153" s="381"/>
      <c r="W153" s="267"/>
      <c r="X153" s="233"/>
      <c r="Y153" s="345"/>
      <c r="Z153" s="382"/>
      <c r="AA153" s="380"/>
      <c r="AD153" s="233"/>
      <c r="AE153" s="233"/>
      <c r="AF153" s="233"/>
    </row>
    <row r="154" spans="2:32" s="235" customFormat="1">
      <c r="B154" s="233"/>
      <c r="C154" s="233"/>
      <c r="D154" s="233"/>
      <c r="E154" s="233"/>
      <c r="F154" s="233"/>
      <c r="G154" s="233"/>
      <c r="H154" s="233"/>
      <c r="I154" s="233"/>
      <c r="J154" s="233"/>
      <c r="K154" s="233"/>
      <c r="L154" s="233"/>
      <c r="M154" s="233"/>
      <c r="V154" s="375"/>
      <c r="W154" s="233"/>
      <c r="X154" s="233"/>
      <c r="Y154" s="345"/>
      <c r="Z154" s="233"/>
      <c r="AA154" s="376"/>
      <c r="AD154" s="233"/>
      <c r="AE154" s="233"/>
      <c r="AF154" s="233"/>
    </row>
    <row r="155" spans="2:32" s="235" customFormat="1">
      <c r="B155" s="233"/>
      <c r="C155" s="233"/>
      <c r="D155" s="233"/>
      <c r="E155" s="233"/>
      <c r="F155" s="233"/>
      <c r="G155" s="233"/>
      <c r="H155" s="233"/>
      <c r="I155" s="233"/>
      <c r="J155" s="233"/>
      <c r="K155" s="233"/>
      <c r="L155" s="233"/>
      <c r="M155" s="233"/>
      <c r="V155" s="383"/>
      <c r="W155" s="384"/>
      <c r="X155" s="233"/>
      <c r="Y155" s="345"/>
      <c r="Z155" s="233"/>
      <c r="AA155" s="376"/>
      <c r="AD155" s="233"/>
      <c r="AE155" s="233"/>
      <c r="AF155" s="233"/>
    </row>
    <row r="156" spans="2:32" s="235" customFormat="1">
      <c r="B156" s="233"/>
      <c r="C156" s="233"/>
      <c r="D156" s="233"/>
      <c r="E156" s="233"/>
      <c r="F156" s="233"/>
      <c r="G156" s="233"/>
      <c r="H156" s="233"/>
      <c r="I156" s="233"/>
      <c r="J156" s="233"/>
      <c r="K156" s="233"/>
      <c r="L156" s="233"/>
      <c r="M156" s="233"/>
      <c r="V156" s="375"/>
      <c r="W156" s="233"/>
      <c r="X156" s="233"/>
      <c r="Y156" s="345"/>
      <c r="Z156" s="233"/>
      <c r="AA156" s="376"/>
      <c r="AD156" s="233"/>
      <c r="AE156" s="233"/>
      <c r="AF156" s="233"/>
    </row>
    <row r="157" spans="2:32" s="235" customFormat="1">
      <c r="B157" s="233"/>
      <c r="C157" s="233"/>
      <c r="D157" s="233"/>
      <c r="E157" s="233"/>
      <c r="F157" s="233"/>
      <c r="G157" s="233"/>
      <c r="H157" s="233"/>
      <c r="I157" s="233"/>
      <c r="J157" s="233"/>
      <c r="K157" s="233"/>
      <c r="L157" s="233"/>
      <c r="M157" s="233"/>
      <c r="V157" s="385"/>
      <c r="W157" s="386"/>
      <c r="X157" s="233"/>
      <c r="Y157" s="345"/>
      <c r="Z157" s="379"/>
      <c r="AA157" s="379"/>
      <c r="AD157" s="233"/>
      <c r="AE157" s="233"/>
      <c r="AF157" s="233"/>
    </row>
    <row r="158" spans="2:32" s="235" customFormat="1" ht="13.5" thickBot="1">
      <c r="B158" s="233"/>
      <c r="C158" s="233"/>
      <c r="D158" s="233"/>
      <c r="E158" s="233"/>
      <c r="F158" s="233"/>
      <c r="G158" s="233"/>
      <c r="H158" s="233"/>
      <c r="I158" s="233"/>
      <c r="J158" s="233"/>
      <c r="K158" s="233"/>
      <c r="L158" s="233"/>
      <c r="M158" s="233"/>
      <c r="V158" s="387"/>
      <c r="W158" s="388"/>
      <c r="X158" s="358"/>
      <c r="Y158" s="362"/>
      <c r="Z158" s="389"/>
      <c r="AA158" s="389"/>
      <c r="AD158" s="233"/>
      <c r="AE158" s="233"/>
      <c r="AF158" s="233"/>
    </row>
    <row r="159" spans="2:32" s="235" customFormat="1">
      <c r="B159" s="233"/>
      <c r="C159" s="233"/>
      <c r="D159" s="233"/>
      <c r="E159" s="233"/>
      <c r="F159" s="233"/>
      <c r="G159" s="233"/>
      <c r="H159" s="233"/>
      <c r="I159" s="233"/>
      <c r="J159" s="233"/>
      <c r="K159" s="233"/>
      <c r="L159" s="233"/>
      <c r="M159" s="233"/>
      <c r="V159" s="180"/>
      <c r="W159" s="180"/>
      <c r="X159" s="180"/>
      <c r="Y159" s="233"/>
      <c r="Z159" s="181"/>
      <c r="AA159" s="279"/>
      <c r="AD159" s="233"/>
      <c r="AE159" s="233"/>
      <c r="AF159" s="233"/>
    </row>
    <row r="160" spans="2:32" s="235" customFormat="1" ht="15.75" thickBot="1">
      <c r="B160" s="233"/>
      <c r="C160" s="233"/>
      <c r="D160" s="233"/>
      <c r="E160" s="233"/>
      <c r="F160" s="233"/>
      <c r="G160" s="233"/>
      <c r="H160" s="233"/>
      <c r="I160" s="233"/>
      <c r="J160" s="233"/>
      <c r="K160" s="233"/>
      <c r="L160" s="233"/>
      <c r="M160" s="233"/>
      <c r="V160" s="367"/>
      <c r="W160" s="368"/>
      <c r="X160" s="369"/>
      <c r="Y160" s="233"/>
      <c r="Z160" s="390"/>
      <c r="AA160" s="390"/>
      <c r="AD160" s="233"/>
      <c r="AE160" s="233"/>
      <c r="AF160" s="233"/>
    </row>
    <row r="161" spans="2:32" s="235" customFormat="1">
      <c r="B161" s="233"/>
      <c r="C161" s="233"/>
      <c r="D161" s="233"/>
      <c r="E161" s="233"/>
      <c r="F161" s="233"/>
      <c r="G161" s="233"/>
      <c r="H161" s="233"/>
      <c r="I161" s="233"/>
      <c r="J161" s="233"/>
      <c r="K161" s="233"/>
      <c r="L161" s="233"/>
      <c r="M161" s="233"/>
      <c r="V161" s="371"/>
      <c r="W161" s="372"/>
      <c r="X161" s="331"/>
      <c r="Y161" s="332"/>
      <c r="Z161" s="374"/>
      <c r="AA161" s="373"/>
      <c r="AD161" s="233"/>
      <c r="AE161" s="233"/>
      <c r="AF161" s="233"/>
    </row>
    <row r="162" spans="2:32" s="235" customFormat="1">
      <c r="B162" s="233"/>
      <c r="C162" s="233"/>
      <c r="D162" s="233"/>
      <c r="E162" s="233"/>
      <c r="F162" s="233"/>
      <c r="G162" s="233"/>
      <c r="H162" s="233"/>
      <c r="I162" s="233"/>
      <c r="J162" s="233"/>
      <c r="K162" s="233"/>
      <c r="L162" s="233"/>
      <c r="M162" s="233"/>
      <c r="V162" s="377"/>
      <c r="W162" s="378"/>
      <c r="X162" s="233"/>
      <c r="Y162" s="345"/>
      <c r="Z162" s="380"/>
      <c r="AA162" s="379"/>
      <c r="AD162" s="233"/>
      <c r="AE162" s="233"/>
      <c r="AF162" s="233"/>
    </row>
    <row r="163" spans="2:32" s="235" customFormat="1">
      <c r="B163" s="233"/>
      <c r="C163" s="233"/>
      <c r="D163" s="233"/>
      <c r="E163" s="233"/>
      <c r="F163" s="233"/>
      <c r="G163" s="233"/>
      <c r="H163" s="233"/>
      <c r="I163" s="233"/>
      <c r="J163" s="233"/>
      <c r="K163" s="233"/>
      <c r="L163" s="233"/>
      <c r="M163" s="233"/>
      <c r="V163" s="385"/>
      <c r="W163" s="386"/>
      <c r="X163" s="233"/>
      <c r="Y163" s="345"/>
      <c r="Z163" s="380"/>
      <c r="AA163" s="379"/>
      <c r="AD163" s="233"/>
      <c r="AE163" s="233"/>
      <c r="AF163" s="233"/>
    </row>
    <row r="164" spans="2:32" s="235" customFormat="1" ht="13.5" thickBot="1">
      <c r="B164" s="233"/>
      <c r="C164" s="233"/>
      <c r="D164" s="233"/>
      <c r="E164" s="233"/>
      <c r="F164" s="233"/>
      <c r="G164" s="233"/>
      <c r="H164" s="233"/>
      <c r="I164" s="233"/>
      <c r="J164" s="233"/>
      <c r="K164" s="233"/>
      <c r="L164" s="233"/>
      <c r="M164" s="233"/>
      <c r="V164" s="387"/>
      <c r="W164" s="388"/>
      <c r="X164" s="358"/>
      <c r="Y164" s="362"/>
      <c r="Z164" s="389"/>
      <c r="AA164" s="389"/>
      <c r="AD164" s="233"/>
      <c r="AE164" s="233"/>
      <c r="AF164" s="233"/>
    </row>
    <row r="165" spans="2:32" s="235" customFormat="1">
      <c r="B165" s="233"/>
      <c r="C165" s="233"/>
      <c r="D165" s="233"/>
      <c r="E165" s="233"/>
      <c r="F165" s="233"/>
      <c r="G165" s="233"/>
      <c r="H165" s="233"/>
      <c r="I165" s="233"/>
      <c r="J165" s="233"/>
      <c r="K165" s="233"/>
      <c r="L165" s="233"/>
      <c r="M165" s="233"/>
      <c r="V165" s="180"/>
      <c r="W165" s="180"/>
      <c r="X165" s="180"/>
      <c r="Y165" s="233"/>
      <c r="Z165" s="181"/>
      <c r="AA165" s="279"/>
      <c r="AD165" s="233"/>
      <c r="AE165" s="233"/>
      <c r="AF165" s="233"/>
    </row>
    <row r="166" spans="2:32" s="235" customFormat="1">
      <c r="B166" s="233"/>
      <c r="C166" s="233"/>
      <c r="D166" s="233"/>
      <c r="E166" s="233"/>
      <c r="F166" s="233"/>
      <c r="G166" s="233"/>
      <c r="H166" s="233"/>
      <c r="I166" s="233"/>
      <c r="J166" s="233"/>
      <c r="K166" s="233"/>
      <c r="L166" s="233"/>
      <c r="M166" s="233"/>
      <c r="V166" s="180"/>
      <c r="W166" s="180"/>
      <c r="X166" s="180"/>
      <c r="Y166" s="233"/>
      <c r="Z166" s="181"/>
      <c r="AA166" s="391"/>
      <c r="AD166" s="233"/>
      <c r="AE166" s="233"/>
      <c r="AF166" s="233"/>
    </row>
    <row r="167" spans="2:32" s="235" customFormat="1">
      <c r="B167" s="233"/>
      <c r="C167" s="233"/>
      <c r="D167" s="233"/>
      <c r="E167" s="233"/>
      <c r="F167" s="233"/>
      <c r="G167" s="233"/>
      <c r="H167" s="233"/>
      <c r="I167" s="233"/>
      <c r="J167" s="233"/>
      <c r="K167" s="233"/>
      <c r="L167" s="233"/>
      <c r="M167" s="233"/>
      <c r="V167" s="392"/>
      <c r="W167" s="392"/>
      <c r="X167" s="233"/>
      <c r="Y167" s="233"/>
      <c r="Z167" s="393"/>
      <c r="AA167" s="393"/>
      <c r="AD167" s="233"/>
      <c r="AE167" s="233"/>
      <c r="AF167" s="233"/>
    </row>
    <row r="168" spans="2:32" s="235" customFormat="1" ht="15.75" thickBot="1">
      <c r="B168" s="233"/>
      <c r="C168" s="233"/>
      <c r="D168" s="233"/>
      <c r="E168" s="233"/>
      <c r="F168" s="233"/>
      <c r="G168" s="233"/>
      <c r="H168" s="233"/>
      <c r="I168" s="233"/>
      <c r="J168" s="233"/>
      <c r="K168" s="233"/>
      <c r="L168" s="233"/>
      <c r="M168" s="233"/>
      <c r="V168" s="367"/>
      <c r="W168" s="394"/>
      <c r="X168" s="368"/>
      <c r="Y168" s="233"/>
      <c r="Z168" s="390"/>
      <c r="AA168" s="390"/>
      <c r="AD168" s="233"/>
      <c r="AE168" s="233"/>
      <c r="AF168" s="233"/>
    </row>
    <row r="169" spans="2:32" s="235" customFormat="1">
      <c r="B169" s="233"/>
      <c r="C169" s="233"/>
      <c r="D169" s="233"/>
      <c r="E169" s="233"/>
      <c r="F169" s="233"/>
      <c r="G169" s="233"/>
      <c r="H169" s="233"/>
      <c r="I169" s="233"/>
      <c r="J169" s="233"/>
      <c r="K169" s="233"/>
      <c r="L169" s="233"/>
      <c r="M169" s="233"/>
      <c r="V169" s="395"/>
      <c r="W169" s="396"/>
      <c r="X169" s="331"/>
      <c r="Y169" s="397"/>
      <c r="Z169" s="374"/>
      <c r="AA169" s="373"/>
      <c r="AD169" s="233"/>
      <c r="AE169" s="233"/>
      <c r="AF169" s="233"/>
    </row>
    <row r="170" spans="2:32" s="235" customFormat="1">
      <c r="B170" s="233"/>
      <c r="C170" s="233"/>
      <c r="D170" s="233"/>
      <c r="E170" s="233"/>
      <c r="F170" s="233"/>
      <c r="G170" s="233"/>
      <c r="H170" s="233"/>
      <c r="I170" s="233"/>
      <c r="J170" s="233"/>
      <c r="K170" s="233"/>
      <c r="L170" s="233"/>
      <c r="M170" s="233"/>
      <c r="V170" s="398"/>
      <c r="W170" s="399"/>
      <c r="X170" s="233"/>
      <c r="Y170" s="400"/>
      <c r="Z170" s="380"/>
      <c r="AA170" s="379"/>
      <c r="AD170" s="233"/>
      <c r="AE170" s="233"/>
      <c r="AF170" s="233"/>
    </row>
    <row r="171" spans="2:32" s="235" customFormat="1">
      <c r="B171" s="233"/>
      <c r="C171" s="233"/>
      <c r="D171" s="233"/>
      <c r="E171" s="233"/>
      <c r="F171" s="233"/>
      <c r="G171" s="233"/>
      <c r="H171" s="233"/>
      <c r="I171" s="233"/>
      <c r="J171" s="233"/>
      <c r="K171" s="233"/>
      <c r="L171" s="233"/>
      <c r="M171" s="233"/>
      <c r="V171" s="398"/>
      <c r="W171" s="399"/>
      <c r="X171" s="233"/>
      <c r="Y171" s="400"/>
      <c r="Z171" s="380"/>
      <c r="AA171" s="379"/>
      <c r="AD171" s="233"/>
      <c r="AE171" s="233"/>
      <c r="AF171" s="233"/>
    </row>
    <row r="172" spans="2:32" s="235" customFormat="1">
      <c r="B172" s="233"/>
      <c r="C172" s="233"/>
      <c r="D172" s="233"/>
      <c r="E172" s="233"/>
      <c r="F172" s="233"/>
      <c r="G172" s="233"/>
      <c r="H172" s="233"/>
      <c r="I172" s="233"/>
      <c r="J172" s="233"/>
      <c r="K172" s="233"/>
      <c r="L172" s="233"/>
      <c r="M172" s="233"/>
      <c r="V172" s="398"/>
      <c r="W172" s="399"/>
      <c r="X172" s="233"/>
      <c r="Y172" s="401"/>
      <c r="Z172" s="380"/>
      <c r="AA172" s="379"/>
      <c r="AD172" s="233"/>
      <c r="AE172" s="233"/>
      <c r="AF172" s="233"/>
    </row>
    <row r="173" spans="2:32" s="235" customFormat="1">
      <c r="B173" s="233"/>
      <c r="C173" s="233"/>
      <c r="D173" s="233"/>
      <c r="E173" s="233"/>
      <c r="F173" s="233"/>
      <c r="G173" s="233"/>
      <c r="H173" s="233"/>
      <c r="I173" s="233"/>
      <c r="J173" s="233"/>
      <c r="K173" s="233"/>
      <c r="L173" s="233"/>
      <c r="M173" s="233"/>
      <c r="V173" s="398"/>
      <c r="W173" s="399"/>
      <c r="X173" s="233"/>
      <c r="Y173" s="402"/>
      <c r="Z173" s="380"/>
      <c r="AA173" s="379"/>
      <c r="AD173" s="233"/>
      <c r="AE173" s="233"/>
      <c r="AF173" s="233"/>
    </row>
    <row r="174" spans="2:32" s="235" customFormat="1">
      <c r="B174" s="233"/>
      <c r="C174" s="233"/>
      <c r="D174" s="233"/>
      <c r="E174" s="233"/>
      <c r="F174" s="233"/>
      <c r="G174" s="233"/>
      <c r="H174" s="233"/>
      <c r="I174" s="233"/>
      <c r="J174" s="233"/>
      <c r="K174" s="233"/>
      <c r="L174" s="233"/>
      <c r="M174" s="233"/>
      <c r="V174" s="398"/>
      <c r="W174" s="399"/>
      <c r="X174" s="233"/>
      <c r="Y174" s="401"/>
      <c r="Z174" s="380"/>
      <c r="AA174" s="379"/>
      <c r="AD174" s="233"/>
      <c r="AE174" s="233"/>
      <c r="AF174" s="233"/>
    </row>
    <row r="175" spans="2:32" s="235" customFormat="1">
      <c r="B175" s="233"/>
      <c r="C175" s="233"/>
      <c r="D175" s="233"/>
      <c r="E175" s="233"/>
      <c r="F175" s="233"/>
      <c r="G175" s="233"/>
      <c r="H175" s="233"/>
      <c r="I175" s="233"/>
      <c r="J175" s="233"/>
      <c r="K175" s="233"/>
      <c r="L175" s="233"/>
      <c r="M175" s="233"/>
      <c r="U175" s="36"/>
      <c r="V175" s="398"/>
      <c r="W175" s="399"/>
      <c r="X175" s="233"/>
      <c r="Y175" s="401"/>
      <c r="Z175" s="380"/>
      <c r="AA175" s="379"/>
      <c r="AD175" s="233"/>
      <c r="AE175" s="233"/>
      <c r="AF175" s="233"/>
    </row>
    <row r="176" spans="2:32" s="235" customFormat="1">
      <c r="B176" s="233"/>
      <c r="C176" s="233"/>
      <c r="D176" s="233"/>
      <c r="E176" s="233"/>
      <c r="F176" s="233"/>
      <c r="G176" s="233"/>
      <c r="H176" s="233"/>
      <c r="I176" s="233"/>
      <c r="J176" s="233"/>
      <c r="K176" s="233"/>
      <c r="L176" s="233"/>
      <c r="M176" s="233"/>
      <c r="U176" s="36"/>
      <c r="V176" s="398"/>
      <c r="W176" s="399"/>
      <c r="X176" s="233"/>
      <c r="Y176" s="401"/>
      <c r="Z176" s="380"/>
      <c r="AA176" s="379"/>
      <c r="AD176" s="233"/>
      <c r="AE176" s="233"/>
      <c r="AF176" s="233"/>
    </row>
    <row r="177" spans="2:32" s="235" customFormat="1">
      <c r="B177" s="233"/>
      <c r="C177" s="233"/>
      <c r="D177" s="233"/>
      <c r="E177" s="233"/>
      <c r="F177" s="233"/>
      <c r="G177" s="233"/>
      <c r="H177" s="233"/>
      <c r="I177" s="233"/>
      <c r="J177" s="233"/>
      <c r="K177" s="233"/>
      <c r="L177" s="233"/>
      <c r="M177" s="233"/>
      <c r="U177" s="36"/>
      <c r="V177" s="398"/>
      <c r="W177" s="399"/>
      <c r="X177" s="233"/>
      <c r="Y177" s="401"/>
      <c r="Z177" s="380"/>
      <c r="AA177" s="379"/>
      <c r="AD177" s="233"/>
      <c r="AE177" s="233"/>
      <c r="AF177" s="233"/>
    </row>
    <row r="178" spans="2:32" s="235" customFormat="1">
      <c r="B178" s="233"/>
      <c r="C178" s="233"/>
      <c r="D178" s="233"/>
      <c r="E178" s="233"/>
      <c r="F178" s="233"/>
      <c r="G178" s="233"/>
      <c r="H178" s="233"/>
      <c r="I178" s="233"/>
      <c r="J178" s="233"/>
      <c r="K178" s="233"/>
      <c r="L178" s="233"/>
      <c r="M178" s="233"/>
      <c r="U178" s="36"/>
      <c r="V178" s="398"/>
      <c r="W178" s="399"/>
      <c r="X178" s="233"/>
      <c r="Y178" s="401"/>
      <c r="Z178" s="380"/>
      <c r="AA178" s="379"/>
      <c r="AD178" s="233"/>
      <c r="AE178" s="233"/>
      <c r="AF178" s="233"/>
    </row>
    <row r="179" spans="2:32" s="235" customFormat="1">
      <c r="B179" s="233"/>
      <c r="C179" s="233"/>
      <c r="D179" s="233"/>
      <c r="E179" s="233"/>
      <c r="F179" s="233"/>
      <c r="G179" s="233"/>
      <c r="H179" s="233"/>
      <c r="I179" s="233"/>
      <c r="J179" s="233"/>
      <c r="K179" s="233"/>
      <c r="L179" s="233"/>
      <c r="M179" s="233"/>
      <c r="U179" s="36"/>
      <c r="V179" s="398"/>
      <c r="W179" s="399"/>
      <c r="X179" s="233"/>
      <c r="Y179" s="401"/>
      <c r="Z179" s="380"/>
      <c r="AA179" s="379"/>
      <c r="AD179" s="233"/>
      <c r="AE179" s="233"/>
      <c r="AF179" s="233"/>
    </row>
    <row r="180" spans="2:32" s="235" customFormat="1">
      <c r="B180" s="233"/>
      <c r="C180" s="233"/>
      <c r="D180" s="233"/>
      <c r="E180" s="233"/>
      <c r="F180" s="233"/>
      <c r="G180" s="233"/>
      <c r="H180" s="233"/>
      <c r="I180" s="233"/>
      <c r="J180" s="233"/>
      <c r="K180" s="233"/>
      <c r="L180" s="233"/>
      <c r="M180" s="233"/>
      <c r="U180" s="36"/>
      <c r="V180" s="398"/>
      <c r="W180" s="399"/>
      <c r="X180" s="233"/>
      <c r="Y180" s="401"/>
      <c r="Z180" s="380"/>
      <c r="AA180" s="379"/>
      <c r="AD180" s="233"/>
      <c r="AE180" s="233"/>
      <c r="AF180" s="233"/>
    </row>
    <row r="181" spans="2:32" s="235" customFormat="1">
      <c r="B181" s="233"/>
      <c r="C181" s="233"/>
      <c r="D181" s="233"/>
      <c r="E181" s="233"/>
      <c r="F181" s="233"/>
      <c r="G181" s="233"/>
      <c r="H181" s="233"/>
      <c r="I181" s="233"/>
      <c r="J181" s="233"/>
      <c r="K181" s="233"/>
      <c r="L181" s="233"/>
      <c r="M181" s="233"/>
      <c r="U181" s="36"/>
      <c r="V181" s="398"/>
      <c r="W181" s="399"/>
      <c r="X181" s="233"/>
      <c r="Y181" s="402"/>
      <c r="Z181" s="380"/>
      <c r="AA181" s="379"/>
      <c r="AD181" s="233"/>
      <c r="AE181" s="233"/>
      <c r="AF181" s="233"/>
    </row>
    <row r="182" spans="2:32" s="235" customFormat="1">
      <c r="B182" s="233"/>
      <c r="C182" s="233"/>
      <c r="D182" s="233"/>
      <c r="E182" s="233"/>
      <c r="F182" s="233"/>
      <c r="G182" s="233"/>
      <c r="H182" s="233"/>
      <c r="I182" s="233"/>
      <c r="J182" s="233"/>
      <c r="K182" s="233"/>
      <c r="L182" s="233"/>
      <c r="M182" s="233"/>
      <c r="U182" s="403"/>
      <c r="V182" s="398"/>
      <c r="W182" s="399"/>
      <c r="X182" s="233"/>
      <c r="Y182" s="402"/>
      <c r="Z182" s="404"/>
      <c r="AA182" s="379"/>
      <c r="AD182" s="233"/>
      <c r="AE182" s="233"/>
      <c r="AF182" s="233"/>
    </row>
    <row r="183" spans="2:32" s="235" customFormat="1">
      <c r="B183" s="233"/>
      <c r="C183" s="233"/>
      <c r="D183" s="233"/>
      <c r="E183" s="233"/>
      <c r="F183" s="233"/>
      <c r="G183" s="233"/>
      <c r="H183" s="233"/>
      <c r="I183" s="233"/>
      <c r="J183" s="233"/>
      <c r="K183" s="233"/>
      <c r="L183" s="233"/>
      <c r="M183" s="233"/>
      <c r="U183" s="403"/>
      <c r="V183" s="398"/>
      <c r="W183" s="399"/>
      <c r="X183" s="233"/>
      <c r="Y183" s="402"/>
      <c r="Z183" s="404"/>
      <c r="AA183" s="379"/>
      <c r="AD183" s="233"/>
      <c r="AE183" s="233"/>
      <c r="AF183" s="233"/>
    </row>
    <row r="184" spans="2:32" s="235" customFormat="1">
      <c r="B184" s="233"/>
      <c r="C184" s="233"/>
      <c r="D184" s="233"/>
      <c r="E184" s="233"/>
      <c r="F184" s="233"/>
      <c r="G184" s="233"/>
      <c r="H184" s="233"/>
      <c r="I184" s="233"/>
      <c r="J184" s="233"/>
      <c r="K184" s="233"/>
      <c r="L184" s="233"/>
      <c r="M184" s="233"/>
      <c r="U184" s="403"/>
      <c r="V184" s="398"/>
      <c r="W184" s="399"/>
      <c r="X184" s="233"/>
      <c r="Y184" s="402"/>
      <c r="Z184" s="380"/>
      <c r="AA184" s="379"/>
      <c r="AD184" s="233"/>
      <c r="AE184" s="233"/>
      <c r="AF184" s="233"/>
    </row>
    <row r="185" spans="2:32" s="235" customFormat="1">
      <c r="B185" s="233"/>
      <c r="C185" s="233"/>
      <c r="D185" s="233"/>
      <c r="E185" s="233"/>
      <c r="F185" s="233"/>
      <c r="G185" s="233"/>
      <c r="H185" s="233"/>
      <c r="I185" s="233"/>
      <c r="J185" s="233"/>
      <c r="K185" s="233"/>
      <c r="L185" s="233"/>
      <c r="M185" s="233"/>
      <c r="V185" s="398"/>
      <c r="W185" s="405"/>
      <c r="X185" s="233"/>
      <c r="Y185" s="402"/>
      <c r="Z185" s="380"/>
      <c r="AA185" s="379"/>
      <c r="AD185" s="233"/>
      <c r="AE185" s="233"/>
      <c r="AF185" s="233"/>
    </row>
    <row r="186" spans="2:32" s="235" customFormat="1">
      <c r="B186" s="233"/>
      <c r="C186" s="233"/>
      <c r="D186" s="233"/>
      <c r="E186" s="233"/>
      <c r="F186" s="233"/>
      <c r="G186" s="233"/>
      <c r="H186" s="233"/>
      <c r="I186" s="233"/>
      <c r="J186" s="233"/>
      <c r="K186" s="233"/>
      <c r="L186" s="233"/>
      <c r="M186" s="233"/>
      <c r="V186" s="398"/>
      <c r="W186" s="399"/>
      <c r="X186" s="233"/>
      <c r="Y186" s="402"/>
      <c r="Z186" s="380"/>
      <c r="AA186" s="379"/>
      <c r="AD186" s="233"/>
      <c r="AE186" s="233"/>
      <c r="AF186" s="233"/>
    </row>
    <row r="187" spans="2:32" s="235" customFormat="1">
      <c r="B187" s="233"/>
      <c r="C187" s="233"/>
      <c r="D187" s="233"/>
      <c r="E187" s="233"/>
      <c r="F187" s="233"/>
      <c r="G187" s="233"/>
      <c r="H187" s="233"/>
      <c r="I187" s="233"/>
      <c r="J187" s="233"/>
      <c r="K187" s="233"/>
      <c r="L187" s="233"/>
      <c r="M187" s="233"/>
      <c r="U187" s="406"/>
      <c r="V187" s="398"/>
      <c r="W187" s="399"/>
      <c r="X187" s="233"/>
      <c r="Y187" s="402"/>
      <c r="Z187" s="380"/>
      <c r="AA187" s="379"/>
      <c r="AD187" s="233"/>
      <c r="AE187" s="233"/>
      <c r="AF187" s="233"/>
    </row>
    <row r="188" spans="2:32" s="235" customFormat="1">
      <c r="B188" s="233"/>
      <c r="C188" s="233"/>
      <c r="D188" s="233"/>
      <c r="E188" s="233"/>
      <c r="F188" s="233"/>
      <c r="G188" s="233"/>
      <c r="H188" s="233"/>
      <c r="I188" s="233"/>
      <c r="J188" s="233"/>
      <c r="K188" s="233"/>
      <c r="L188" s="233"/>
      <c r="M188" s="233"/>
      <c r="U188" s="406"/>
      <c r="V188" s="398"/>
      <c r="W188" s="399"/>
      <c r="X188" s="233"/>
      <c r="Y188" s="402"/>
      <c r="Z188" s="380"/>
      <c r="AA188" s="379"/>
      <c r="AD188" s="233"/>
      <c r="AE188" s="233"/>
      <c r="AF188" s="233"/>
    </row>
    <row r="189" spans="2:32" s="235" customFormat="1">
      <c r="B189" s="233"/>
      <c r="C189" s="233"/>
      <c r="D189" s="233"/>
      <c r="E189" s="233"/>
      <c r="F189" s="233"/>
      <c r="G189" s="233"/>
      <c r="H189" s="233"/>
      <c r="I189" s="233"/>
      <c r="J189" s="233"/>
      <c r="K189" s="233"/>
      <c r="L189" s="233"/>
      <c r="M189" s="233"/>
      <c r="V189" s="398"/>
      <c r="W189" s="399"/>
      <c r="X189" s="233"/>
      <c r="Y189" s="402"/>
      <c r="Z189" s="380"/>
      <c r="AA189" s="379"/>
      <c r="AB189" s="279"/>
      <c r="AD189" s="233"/>
      <c r="AE189" s="233"/>
      <c r="AF189" s="233"/>
    </row>
    <row r="190" spans="2:32" s="235" customFormat="1">
      <c r="B190" s="233"/>
      <c r="C190" s="233"/>
      <c r="D190" s="233"/>
      <c r="E190" s="233"/>
      <c r="F190" s="233"/>
      <c r="G190" s="233"/>
      <c r="H190" s="233"/>
      <c r="I190" s="233"/>
      <c r="J190" s="233"/>
      <c r="K190" s="233"/>
      <c r="L190" s="233"/>
      <c r="M190" s="233"/>
      <c r="V190" s="398"/>
      <c r="W190" s="399"/>
      <c r="X190" s="233"/>
      <c r="Y190" s="402"/>
      <c r="Z190" s="380"/>
      <c r="AA190" s="379"/>
      <c r="AD190" s="233"/>
      <c r="AE190" s="233"/>
      <c r="AF190" s="233"/>
    </row>
    <row r="191" spans="2:32" s="235" customFormat="1">
      <c r="B191" s="233"/>
      <c r="C191" s="233"/>
      <c r="D191" s="233"/>
      <c r="E191" s="233"/>
      <c r="F191" s="233"/>
      <c r="G191" s="233"/>
      <c r="H191" s="233"/>
      <c r="I191" s="233"/>
      <c r="J191" s="233"/>
      <c r="K191" s="233"/>
      <c r="L191" s="233"/>
      <c r="M191" s="233"/>
      <c r="U191" s="407"/>
      <c r="V191" s="398"/>
      <c r="W191" s="399"/>
      <c r="X191" s="233"/>
      <c r="Y191" s="402"/>
      <c r="Z191" s="380"/>
      <c r="AA191" s="379"/>
      <c r="AD191" s="233"/>
      <c r="AE191" s="233"/>
      <c r="AF191" s="233"/>
    </row>
    <row r="192" spans="2:32" s="235" customFormat="1">
      <c r="B192" s="233"/>
      <c r="C192" s="233"/>
      <c r="D192" s="233"/>
      <c r="E192" s="233"/>
      <c r="F192" s="233"/>
      <c r="G192" s="233"/>
      <c r="H192" s="233"/>
      <c r="I192" s="233"/>
      <c r="J192" s="233"/>
      <c r="K192" s="233"/>
      <c r="L192" s="233"/>
      <c r="M192" s="233"/>
      <c r="U192" s="403"/>
      <c r="V192" s="398"/>
      <c r="W192" s="399"/>
      <c r="X192" s="233"/>
      <c r="Y192" s="402"/>
      <c r="Z192" s="404"/>
      <c r="AA192" s="379"/>
      <c r="AD192" s="233"/>
      <c r="AE192" s="233"/>
      <c r="AF192" s="233"/>
    </row>
    <row r="193" spans="2:32" s="235" customFormat="1">
      <c r="B193" s="233"/>
      <c r="C193" s="233"/>
      <c r="D193" s="233"/>
      <c r="E193" s="233"/>
      <c r="F193" s="233"/>
      <c r="G193" s="233"/>
      <c r="H193" s="233"/>
      <c r="I193" s="233"/>
      <c r="J193" s="233"/>
      <c r="K193" s="233"/>
      <c r="L193" s="233"/>
      <c r="M193" s="233"/>
      <c r="U193" s="403"/>
      <c r="V193" s="398"/>
      <c r="W193" s="399"/>
      <c r="X193" s="233"/>
      <c r="Y193" s="402"/>
      <c r="Z193" s="404"/>
      <c r="AA193" s="379"/>
      <c r="AD193" s="233"/>
      <c r="AE193" s="233"/>
      <c r="AF193" s="233"/>
    </row>
    <row r="194" spans="2:32" s="235" customFormat="1">
      <c r="B194" s="233"/>
      <c r="C194" s="233"/>
      <c r="D194" s="233"/>
      <c r="E194" s="233"/>
      <c r="F194" s="233"/>
      <c r="G194" s="233"/>
      <c r="H194" s="233"/>
      <c r="I194" s="233"/>
      <c r="J194" s="233"/>
      <c r="K194" s="233"/>
      <c r="L194" s="233"/>
      <c r="M194" s="233"/>
      <c r="U194" s="403"/>
      <c r="V194" s="398"/>
      <c r="W194" s="399"/>
      <c r="X194" s="233"/>
      <c r="Y194" s="402"/>
      <c r="Z194" s="404"/>
      <c r="AA194" s="379"/>
      <c r="AD194" s="233"/>
      <c r="AE194" s="233"/>
      <c r="AF194" s="233"/>
    </row>
    <row r="195" spans="2:32" s="235" customFormat="1">
      <c r="B195" s="233"/>
      <c r="C195" s="233"/>
      <c r="D195" s="233"/>
      <c r="E195" s="233"/>
      <c r="F195" s="233"/>
      <c r="G195" s="233"/>
      <c r="H195" s="233"/>
      <c r="I195" s="233"/>
      <c r="J195" s="233"/>
      <c r="K195" s="233"/>
      <c r="L195" s="233"/>
      <c r="M195" s="233"/>
      <c r="V195" s="398"/>
      <c r="W195" s="399"/>
      <c r="X195" s="233"/>
      <c r="Y195" s="402"/>
      <c r="Z195" s="380"/>
      <c r="AA195" s="379"/>
      <c r="AB195" s="408"/>
      <c r="AD195" s="233"/>
      <c r="AE195" s="233"/>
      <c r="AF195" s="233"/>
    </row>
    <row r="196" spans="2:32" s="235" customFormat="1">
      <c r="B196" s="233"/>
      <c r="C196" s="233"/>
      <c r="D196" s="233"/>
      <c r="E196" s="233"/>
      <c r="F196" s="233"/>
      <c r="G196" s="233"/>
      <c r="H196" s="233"/>
      <c r="I196" s="233"/>
      <c r="J196" s="233"/>
      <c r="K196" s="233"/>
      <c r="L196" s="233"/>
      <c r="M196" s="233"/>
      <c r="V196" s="398"/>
      <c r="W196" s="399"/>
      <c r="X196" s="233"/>
      <c r="Y196" s="401"/>
      <c r="Z196" s="380"/>
      <c r="AA196" s="379"/>
      <c r="AD196" s="233"/>
      <c r="AE196" s="233"/>
      <c r="AF196" s="233"/>
    </row>
    <row r="197" spans="2:32" s="235" customFormat="1">
      <c r="B197" s="233"/>
      <c r="C197" s="233"/>
      <c r="D197" s="233"/>
      <c r="E197" s="233"/>
      <c r="F197" s="233"/>
      <c r="G197" s="233"/>
      <c r="H197" s="233"/>
      <c r="I197" s="233"/>
      <c r="J197" s="233"/>
      <c r="K197" s="233"/>
      <c r="L197" s="233"/>
      <c r="M197" s="233"/>
      <c r="V197" s="398"/>
      <c r="W197" s="399"/>
      <c r="X197" s="233"/>
      <c r="Y197" s="401"/>
      <c r="Z197" s="380"/>
      <c r="AA197" s="379"/>
      <c r="AD197" s="233"/>
      <c r="AE197" s="233"/>
      <c r="AF197" s="233"/>
    </row>
    <row r="198" spans="2:32" s="235" customFormat="1">
      <c r="B198" s="233"/>
      <c r="C198" s="233"/>
      <c r="D198" s="233"/>
      <c r="E198" s="233"/>
      <c r="F198" s="233"/>
      <c r="G198" s="233"/>
      <c r="H198" s="233"/>
      <c r="I198" s="233"/>
      <c r="J198" s="233"/>
      <c r="K198" s="233"/>
      <c r="L198" s="233"/>
      <c r="M198" s="233"/>
      <c r="V198" s="398"/>
      <c r="W198" s="399"/>
      <c r="X198" s="233"/>
      <c r="Y198" s="401"/>
      <c r="Z198" s="380"/>
      <c r="AA198" s="379"/>
      <c r="AD198" s="233"/>
      <c r="AE198" s="233"/>
      <c r="AF198" s="233"/>
    </row>
    <row r="199" spans="2:32" s="235" customFormat="1">
      <c r="B199" s="233"/>
      <c r="C199" s="233"/>
      <c r="D199" s="233"/>
      <c r="E199" s="233"/>
      <c r="F199" s="233"/>
      <c r="G199" s="233"/>
      <c r="H199" s="233"/>
      <c r="I199" s="233"/>
      <c r="J199" s="233"/>
      <c r="K199" s="233"/>
      <c r="L199" s="233"/>
      <c r="M199" s="233"/>
      <c r="V199" s="409"/>
      <c r="W199" s="233"/>
      <c r="X199" s="233"/>
      <c r="Y199" s="401"/>
      <c r="Z199" s="380"/>
      <c r="AA199" s="379"/>
      <c r="AD199" s="233"/>
      <c r="AE199" s="233"/>
      <c r="AF199" s="233"/>
    </row>
    <row r="200" spans="2:32" s="235" customFormat="1">
      <c r="B200" s="233"/>
      <c r="C200" s="233"/>
      <c r="D200" s="233"/>
      <c r="E200" s="233"/>
      <c r="F200" s="233"/>
      <c r="G200" s="233"/>
      <c r="H200" s="233"/>
      <c r="I200" s="233"/>
      <c r="J200" s="233"/>
      <c r="K200" s="233"/>
      <c r="L200" s="233"/>
      <c r="M200" s="233"/>
      <c r="V200" s="398"/>
      <c r="W200" s="399"/>
      <c r="X200" s="233"/>
      <c r="Y200" s="401"/>
      <c r="Z200" s="380"/>
      <c r="AA200" s="379"/>
      <c r="AD200" s="233"/>
      <c r="AE200" s="233"/>
      <c r="AF200" s="233"/>
    </row>
    <row r="201" spans="2:32" s="235" customFormat="1">
      <c r="B201" s="233"/>
      <c r="C201" s="233"/>
      <c r="D201" s="233"/>
      <c r="E201" s="233"/>
      <c r="F201" s="233"/>
      <c r="G201" s="233"/>
      <c r="H201" s="233"/>
      <c r="I201" s="233"/>
      <c r="J201" s="233"/>
      <c r="K201" s="233"/>
      <c r="L201" s="233"/>
      <c r="M201" s="233"/>
      <c r="V201" s="410"/>
      <c r="W201" s="405"/>
      <c r="X201" s="233"/>
      <c r="Y201" s="345"/>
      <c r="Z201" s="380"/>
      <c r="AA201" s="379"/>
      <c r="AD201" s="233"/>
      <c r="AE201" s="233"/>
      <c r="AF201" s="233"/>
    </row>
    <row r="202" spans="2:32" s="235" customFormat="1">
      <c r="B202" s="233"/>
      <c r="C202" s="233"/>
      <c r="D202" s="233"/>
      <c r="E202" s="233"/>
      <c r="F202" s="233"/>
      <c r="G202" s="233"/>
      <c r="H202" s="233"/>
      <c r="I202" s="233"/>
      <c r="J202" s="233"/>
      <c r="K202" s="233"/>
      <c r="L202" s="233"/>
      <c r="M202" s="233"/>
      <c r="V202" s="410"/>
      <c r="W202" s="405"/>
      <c r="X202" s="233"/>
      <c r="Y202" s="345"/>
      <c r="Z202" s="380"/>
      <c r="AA202" s="379"/>
      <c r="AD202" s="233"/>
      <c r="AE202" s="233"/>
      <c r="AF202" s="233"/>
    </row>
    <row r="203" spans="2:32" s="235" customFormat="1" ht="13.5" thickBot="1">
      <c r="B203" s="233"/>
      <c r="C203" s="233"/>
      <c r="D203" s="233"/>
      <c r="E203" s="233"/>
      <c r="F203" s="233"/>
      <c r="G203" s="233"/>
      <c r="H203" s="233"/>
      <c r="I203" s="233"/>
      <c r="J203" s="233"/>
      <c r="K203" s="233"/>
      <c r="L203" s="233"/>
      <c r="M203" s="233"/>
      <c r="V203" s="411"/>
      <c r="W203" s="412"/>
      <c r="X203" s="358"/>
      <c r="Y203" s="362"/>
      <c r="Z203" s="389"/>
      <c r="AA203" s="413"/>
      <c r="AD203" s="233"/>
      <c r="AE203" s="233"/>
      <c r="AF203" s="233"/>
    </row>
    <row r="204" spans="2:32" s="235" customFormat="1">
      <c r="B204" s="233"/>
      <c r="C204" s="233"/>
      <c r="D204" s="233"/>
      <c r="E204" s="233"/>
      <c r="F204" s="233"/>
      <c r="G204" s="233"/>
      <c r="H204" s="233"/>
      <c r="I204" s="233"/>
      <c r="J204" s="233"/>
      <c r="K204" s="233"/>
      <c r="L204" s="233"/>
      <c r="M204" s="233"/>
      <c r="V204" s="180"/>
      <c r="W204" s="152"/>
      <c r="X204" s="233"/>
      <c r="Y204" s="233"/>
      <c r="Z204" s="182"/>
      <c r="AA204" s="279"/>
      <c r="AD204" s="233"/>
      <c r="AE204" s="233"/>
      <c r="AF204" s="233"/>
    </row>
    <row r="205" spans="2:32" s="235" customFormat="1">
      <c r="B205" s="233"/>
      <c r="C205" s="233"/>
      <c r="D205" s="233"/>
      <c r="E205" s="233"/>
      <c r="F205" s="233"/>
      <c r="G205" s="233"/>
      <c r="H205" s="233"/>
      <c r="I205" s="233"/>
      <c r="J205" s="233"/>
      <c r="K205" s="233"/>
      <c r="L205" s="233"/>
      <c r="M205" s="233"/>
      <c r="V205" s="368"/>
      <c r="W205" s="368"/>
      <c r="X205" s="414"/>
      <c r="Y205" s="233"/>
      <c r="Z205" s="415"/>
      <c r="AA205" s="391"/>
      <c r="AD205" s="233"/>
      <c r="AE205" s="233"/>
      <c r="AF205" s="233"/>
    </row>
    <row r="206" spans="2:32" s="235" customFormat="1" ht="15">
      <c r="B206" s="233"/>
      <c r="C206" s="233"/>
      <c r="D206" s="233"/>
      <c r="E206" s="233"/>
      <c r="F206" s="233"/>
      <c r="G206" s="233"/>
      <c r="H206" s="233"/>
      <c r="I206" s="233"/>
      <c r="J206" s="233"/>
      <c r="K206" s="233"/>
      <c r="L206" s="233"/>
      <c r="M206" s="233"/>
      <c r="V206" s="324"/>
      <c r="W206" s="233"/>
      <c r="X206" s="234"/>
      <c r="Y206" s="416"/>
      <c r="Z206" s="415"/>
      <c r="AA206" s="417"/>
      <c r="AD206" s="233"/>
      <c r="AE206" s="233"/>
      <c r="AF206" s="233"/>
    </row>
    <row r="207" spans="2:32" s="235" customFormat="1" ht="15.75" thickBot="1">
      <c r="B207" s="233"/>
      <c r="C207" s="233"/>
      <c r="D207" s="233"/>
      <c r="E207" s="233"/>
      <c r="F207" s="233"/>
      <c r="G207" s="233"/>
      <c r="H207" s="233"/>
      <c r="I207" s="233"/>
      <c r="J207" s="233"/>
      <c r="K207" s="233"/>
      <c r="L207" s="233"/>
      <c r="M207" s="233"/>
      <c r="V207" s="367"/>
      <c r="W207" s="368"/>
      <c r="X207" s="368"/>
      <c r="Y207" s="233"/>
      <c r="Z207" s="390"/>
      <c r="AA207" s="390"/>
      <c r="AD207" s="233"/>
      <c r="AE207" s="233"/>
      <c r="AF207" s="233"/>
    </row>
    <row r="208" spans="2:32" s="235" customFormat="1">
      <c r="B208" s="233"/>
      <c r="C208" s="233"/>
      <c r="D208" s="233"/>
      <c r="E208" s="233"/>
      <c r="F208" s="233"/>
      <c r="G208" s="233"/>
      <c r="H208" s="233"/>
      <c r="I208" s="233"/>
      <c r="J208" s="233"/>
      <c r="K208" s="233"/>
      <c r="L208" s="233"/>
      <c r="M208" s="233"/>
      <c r="V208" s="371"/>
      <c r="W208" s="372"/>
      <c r="X208" s="331"/>
      <c r="Y208" s="332"/>
      <c r="Z208" s="374"/>
      <c r="AA208" s="373"/>
      <c r="AD208" s="233"/>
      <c r="AE208" s="233"/>
      <c r="AF208" s="233"/>
    </row>
    <row r="209" spans="2:32" s="235" customFormat="1">
      <c r="B209" s="233"/>
      <c r="C209" s="233"/>
      <c r="D209" s="233"/>
      <c r="E209" s="233"/>
      <c r="F209" s="233"/>
      <c r="G209" s="233"/>
      <c r="H209" s="233"/>
      <c r="I209" s="233"/>
      <c r="J209" s="233"/>
      <c r="K209" s="233"/>
      <c r="L209" s="233"/>
      <c r="M209" s="233"/>
      <c r="V209" s="377"/>
      <c r="W209" s="378"/>
      <c r="X209" s="233"/>
      <c r="Y209" s="345"/>
      <c r="Z209" s="380"/>
      <c r="AA209" s="379"/>
      <c r="AD209" s="233"/>
      <c r="AE209" s="233"/>
      <c r="AF209" s="233"/>
    </row>
    <row r="210" spans="2:32" s="235" customFormat="1">
      <c r="B210" s="233"/>
      <c r="C210" s="233"/>
      <c r="D210" s="233"/>
      <c r="E210" s="233"/>
      <c r="F210" s="233"/>
      <c r="G210" s="233"/>
      <c r="H210" s="233"/>
      <c r="I210" s="233"/>
      <c r="J210" s="233"/>
      <c r="K210" s="233"/>
      <c r="L210" s="233"/>
      <c r="M210" s="233"/>
      <c r="V210" s="385"/>
      <c r="W210" s="386"/>
      <c r="X210" s="233"/>
      <c r="Y210" s="345"/>
      <c r="Z210" s="380"/>
      <c r="AA210" s="379"/>
      <c r="AD210" s="233"/>
      <c r="AE210" s="233"/>
      <c r="AF210" s="233"/>
    </row>
    <row r="211" spans="2:32" s="235" customFormat="1" ht="13.5" thickBot="1">
      <c r="B211" s="233"/>
      <c r="C211" s="233"/>
      <c r="D211" s="233"/>
      <c r="E211" s="233"/>
      <c r="F211" s="233"/>
      <c r="G211" s="233"/>
      <c r="H211" s="233"/>
      <c r="I211" s="233"/>
      <c r="J211" s="233"/>
      <c r="K211" s="233"/>
      <c r="L211" s="233"/>
      <c r="M211" s="233"/>
      <c r="V211" s="387"/>
      <c r="W211" s="388"/>
      <c r="X211" s="358"/>
      <c r="Y211" s="362"/>
      <c r="Z211" s="389"/>
      <c r="AA211" s="389"/>
      <c r="AD211" s="233"/>
      <c r="AE211" s="233"/>
      <c r="AF211" s="233"/>
    </row>
    <row r="212" spans="2:32" s="235" customFormat="1">
      <c r="B212" s="233"/>
      <c r="C212" s="233"/>
      <c r="D212" s="233"/>
      <c r="E212" s="233"/>
      <c r="F212" s="233"/>
      <c r="G212" s="233"/>
      <c r="H212" s="233"/>
      <c r="I212" s="233"/>
      <c r="J212" s="233"/>
      <c r="K212" s="233"/>
      <c r="L212" s="233"/>
      <c r="M212" s="233"/>
      <c r="V212" s="180"/>
      <c r="W212" s="180"/>
      <c r="X212" s="180"/>
      <c r="Y212" s="233"/>
      <c r="Z212" s="181"/>
      <c r="AA212" s="279"/>
      <c r="AD212" s="233"/>
      <c r="AE212" s="233"/>
      <c r="AF212" s="233"/>
    </row>
    <row r="213" spans="2:32" s="235" customFormat="1">
      <c r="B213" s="233"/>
      <c r="C213" s="233"/>
      <c r="D213" s="233"/>
      <c r="E213" s="233"/>
      <c r="F213" s="233"/>
      <c r="G213" s="233"/>
      <c r="H213" s="233"/>
      <c r="I213" s="233"/>
      <c r="J213" s="233"/>
      <c r="K213" s="233"/>
      <c r="L213" s="233"/>
      <c r="M213" s="233"/>
      <c r="V213" s="392"/>
      <c r="W213" s="392"/>
      <c r="X213" s="233"/>
      <c r="Y213" s="233"/>
      <c r="Z213" s="393"/>
      <c r="AA213" s="393"/>
      <c r="AD213" s="233"/>
      <c r="AE213" s="233"/>
      <c r="AF213" s="233"/>
    </row>
    <row r="214" spans="2:32" s="235" customFormat="1">
      <c r="B214" s="233"/>
      <c r="C214" s="233"/>
      <c r="D214" s="233"/>
      <c r="E214" s="233"/>
      <c r="F214" s="233"/>
      <c r="G214" s="233"/>
      <c r="H214" s="233"/>
      <c r="I214" s="233"/>
      <c r="J214" s="233"/>
      <c r="K214" s="233"/>
      <c r="L214" s="233"/>
      <c r="M214" s="233"/>
      <c r="V214" s="368"/>
      <c r="W214" s="368"/>
      <c r="X214" s="368"/>
      <c r="Y214" s="233"/>
      <c r="Z214" s="393"/>
      <c r="AA214" s="418"/>
      <c r="AD214" s="233"/>
      <c r="AE214" s="233"/>
      <c r="AF214" s="233"/>
    </row>
    <row r="215" spans="2:32" s="235" customFormat="1" ht="15.75" thickBot="1">
      <c r="B215" s="233"/>
      <c r="C215" s="233"/>
      <c r="D215" s="233"/>
      <c r="E215" s="233"/>
      <c r="F215" s="233"/>
      <c r="G215" s="233"/>
      <c r="H215" s="233"/>
      <c r="I215" s="233"/>
      <c r="J215" s="233"/>
      <c r="K215" s="233"/>
      <c r="L215" s="233"/>
      <c r="M215" s="233"/>
      <c r="V215" s="419"/>
      <c r="W215" s="394"/>
      <c r="X215" s="368"/>
      <c r="Y215" s="233"/>
      <c r="Z215" s="420"/>
      <c r="AA215" s="420"/>
      <c r="AD215" s="233"/>
      <c r="AE215" s="233"/>
      <c r="AF215" s="233"/>
    </row>
    <row r="216" spans="2:32" s="235" customFormat="1">
      <c r="B216" s="233"/>
      <c r="C216" s="233"/>
      <c r="D216" s="233"/>
      <c r="E216" s="233"/>
      <c r="F216" s="233"/>
      <c r="G216" s="233"/>
      <c r="H216" s="233"/>
      <c r="I216" s="233"/>
      <c r="J216" s="233"/>
      <c r="K216" s="233"/>
      <c r="L216" s="233"/>
      <c r="M216" s="233"/>
      <c r="V216" s="395"/>
      <c r="W216" s="396"/>
      <c r="X216" s="331"/>
      <c r="Y216" s="332"/>
      <c r="Z216" s="374"/>
      <c r="AA216" s="373"/>
      <c r="AD216" s="233"/>
      <c r="AE216" s="233"/>
      <c r="AF216" s="233"/>
    </row>
    <row r="217" spans="2:32" s="235" customFormat="1">
      <c r="B217" s="233"/>
      <c r="C217" s="233"/>
      <c r="D217" s="233"/>
      <c r="E217" s="233"/>
      <c r="F217" s="233"/>
      <c r="G217" s="233"/>
      <c r="H217" s="233"/>
      <c r="I217" s="233"/>
      <c r="J217" s="233"/>
      <c r="K217" s="233"/>
      <c r="L217" s="233"/>
      <c r="M217" s="233"/>
      <c r="V217" s="398"/>
      <c r="W217" s="399"/>
      <c r="X217" s="233"/>
      <c r="Y217" s="345"/>
      <c r="Z217" s="380"/>
      <c r="AA217" s="379"/>
      <c r="AD217" s="233"/>
      <c r="AE217" s="233"/>
      <c r="AF217" s="233"/>
    </row>
    <row r="218" spans="2:32" s="235" customFormat="1">
      <c r="B218" s="233"/>
      <c r="C218" s="233"/>
      <c r="D218" s="233"/>
      <c r="E218" s="233"/>
      <c r="F218" s="233"/>
      <c r="G218" s="233"/>
      <c r="H218" s="233"/>
      <c r="I218" s="233"/>
      <c r="J218" s="233"/>
      <c r="K218" s="233"/>
      <c r="L218" s="233"/>
      <c r="M218" s="233"/>
      <c r="V218" s="421"/>
      <c r="W218" s="399"/>
      <c r="X218" s="233"/>
      <c r="Y218" s="345"/>
      <c r="Z218" s="380"/>
      <c r="AA218" s="379"/>
      <c r="AD218" s="233"/>
      <c r="AE218" s="233"/>
      <c r="AF218" s="233"/>
    </row>
    <row r="219" spans="2:32" s="235" customFormat="1" ht="13.5" thickBot="1">
      <c r="B219" s="233"/>
      <c r="C219" s="233"/>
      <c r="D219" s="233"/>
      <c r="E219" s="233"/>
      <c r="F219" s="233"/>
      <c r="G219" s="233"/>
      <c r="H219" s="233"/>
      <c r="I219" s="233"/>
      <c r="J219" s="233"/>
      <c r="K219" s="233"/>
      <c r="L219" s="233"/>
      <c r="M219" s="233"/>
      <c r="V219" s="387"/>
      <c r="W219" s="388"/>
      <c r="X219" s="358"/>
      <c r="Y219" s="362"/>
      <c r="Z219" s="389"/>
      <c r="AA219" s="389"/>
      <c r="AD219" s="233"/>
      <c r="AE219" s="233"/>
      <c r="AF219" s="233"/>
    </row>
    <row r="220" spans="2:32" s="235" customFormat="1">
      <c r="B220" s="233"/>
      <c r="C220" s="233"/>
      <c r="D220" s="233"/>
      <c r="E220" s="233"/>
      <c r="F220" s="233"/>
      <c r="G220" s="233"/>
      <c r="H220" s="233"/>
      <c r="I220" s="233"/>
      <c r="J220" s="233"/>
      <c r="K220" s="233"/>
      <c r="L220" s="233"/>
      <c r="M220" s="233"/>
      <c r="V220" s="180"/>
      <c r="W220" s="180"/>
      <c r="X220" s="180"/>
      <c r="Y220" s="233"/>
      <c r="Z220" s="181"/>
      <c r="AA220" s="279"/>
      <c r="AD220" s="233"/>
      <c r="AE220" s="233"/>
      <c r="AF220" s="233"/>
    </row>
    <row r="221" spans="2:32" s="235" customFormat="1">
      <c r="B221" s="233"/>
      <c r="C221" s="233"/>
      <c r="D221" s="233"/>
      <c r="E221" s="233"/>
      <c r="F221" s="233"/>
      <c r="G221" s="233"/>
      <c r="H221" s="233"/>
      <c r="I221" s="233"/>
      <c r="J221" s="233"/>
      <c r="K221" s="233"/>
      <c r="L221" s="233"/>
      <c r="M221" s="233"/>
      <c r="V221" s="368"/>
      <c r="W221" s="368"/>
      <c r="X221" s="368"/>
      <c r="Y221" s="233"/>
      <c r="Z221" s="418"/>
      <c r="AA221" s="422"/>
      <c r="AD221" s="233"/>
      <c r="AE221" s="233"/>
      <c r="AF221" s="233"/>
    </row>
    <row r="222" spans="2:32" s="235" customFormat="1">
      <c r="B222" s="233"/>
      <c r="C222" s="233"/>
      <c r="D222" s="233"/>
      <c r="E222" s="233"/>
      <c r="F222" s="233"/>
      <c r="G222" s="233"/>
      <c r="H222" s="233"/>
      <c r="I222" s="233"/>
      <c r="J222" s="233"/>
      <c r="K222" s="233"/>
      <c r="L222" s="233"/>
      <c r="M222" s="233"/>
      <c r="N222" s="233"/>
      <c r="O222" s="233"/>
      <c r="P222" s="233"/>
      <c r="Q222" s="233"/>
      <c r="R222" s="233"/>
      <c r="S222" s="233"/>
      <c r="T222" s="233"/>
      <c r="V222" s="368"/>
      <c r="W222" s="368"/>
      <c r="X222" s="368"/>
      <c r="Y222" s="233"/>
      <c r="Z222" s="418"/>
      <c r="AA222" s="422"/>
      <c r="AC222" s="233"/>
      <c r="AD222" s="233"/>
      <c r="AE222" s="233"/>
      <c r="AF222" s="233"/>
    </row>
    <row r="223" spans="2:32" s="235" customFormat="1" ht="15.75" thickBot="1">
      <c r="B223" s="233"/>
      <c r="C223" s="233"/>
      <c r="D223" s="233"/>
      <c r="E223" s="233"/>
      <c r="F223" s="233"/>
      <c r="G223" s="233"/>
      <c r="H223" s="233"/>
      <c r="I223" s="233"/>
      <c r="J223" s="233"/>
      <c r="K223" s="233"/>
      <c r="L223" s="233"/>
      <c r="M223" s="233"/>
      <c r="N223" s="233"/>
      <c r="O223" s="233"/>
      <c r="P223" s="233"/>
      <c r="Q223" s="233"/>
      <c r="R223" s="233"/>
      <c r="S223" s="233"/>
      <c r="T223" s="233"/>
      <c r="U223" s="233"/>
      <c r="V223" s="266"/>
      <c r="W223" s="394"/>
      <c r="X223" s="368"/>
      <c r="Y223" s="233"/>
      <c r="Z223" s="420"/>
      <c r="AA223" s="420"/>
      <c r="AB223" s="233"/>
      <c r="AC223" s="233"/>
      <c r="AD223" s="233"/>
      <c r="AE223" s="233"/>
      <c r="AF223" s="233"/>
    </row>
    <row r="224" spans="2:32" s="235" customFormat="1">
      <c r="B224" s="233"/>
      <c r="C224" s="233"/>
      <c r="D224" s="233"/>
      <c r="E224" s="233"/>
      <c r="F224" s="233"/>
      <c r="G224" s="233"/>
      <c r="H224" s="233"/>
      <c r="I224" s="233"/>
      <c r="J224" s="233"/>
      <c r="K224" s="233"/>
      <c r="L224" s="233"/>
      <c r="M224" s="233"/>
      <c r="N224" s="233"/>
      <c r="O224" s="233"/>
      <c r="P224" s="233"/>
      <c r="Q224" s="233"/>
      <c r="R224" s="233"/>
      <c r="S224" s="233"/>
      <c r="T224" s="233"/>
      <c r="U224" s="233"/>
      <c r="V224" s="395"/>
      <c r="W224" s="396"/>
      <c r="X224" s="331"/>
      <c r="Y224" s="332"/>
      <c r="Z224" s="374"/>
      <c r="AA224" s="373"/>
      <c r="AB224" s="233"/>
      <c r="AC224" s="233"/>
      <c r="AD224" s="233"/>
      <c r="AE224" s="233"/>
      <c r="AF224" s="233"/>
    </row>
    <row r="225" spans="2:32" s="235" customFormat="1">
      <c r="B225" s="233"/>
      <c r="C225" s="233"/>
      <c r="D225" s="233"/>
      <c r="E225" s="233"/>
      <c r="F225" s="233"/>
      <c r="G225" s="233"/>
      <c r="H225" s="233"/>
      <c r="I225" s="233"/>
      <c r="J225" s="233"/>
      <c r="K225" s="233"/>
      <c r="L225" s="233"/>
      <c r="M225" s="233"/>
      <c r="N225" s="233"/>
      <c r="O225" s="233"/>
      <c r="P225" s="233"/>
      <c r="Q225" s="233"/>
      <c r="R225" s="233"/>
      <c r="S225" s="233"/>
      <c r="T225" s="233"/>
      <c r="U225" s="233"/>
      <c r="V225" s="398"/>
      <c r="W225" s="399"/>
      <c r="X225" s="233"/>
      <c r="Y225" s="345"/>
      <c r="Z225" s="380"/>
      <c r="AA225" s="379"/>
      <c r="AB225" s="233"/>
      <c r="AC225" s="233"/>
      <c r="AD225" s="233"/>
      <c r="AE225" s="233"/>
      <c r="AF225" s="233"/>
    </row>
    <row r="226" spans="2:32" s="235" customFormat="1">
      <c r="B226" s="233"/>
      <c r="C226" s="233"/>
      <c r="D226" s="233"/>
      <c r="E226" s="233"/>
      <c r="F226" s="233"/>
      <c r="G226" s="233"/>
      <c r="H226" s="233"/>
      <c r="I226" s="233"/>
      <c r="J226" s="233"/>
      <c r="K226" s="233"/>
      <c r="L226" s="233"/>
      <c r="M226" s="233"/>
      <c r="N226" s="233"/>
      <c r="O226" s="233"/>
      <c r="P226" s="233"/>
      <c r="Q226" s="233"/>
      <c r="R226" s="233"/>
      <c r="S226" s="233"/>
      <c r="T226" s="233"/>
      <c r="U226" s="233"/>
      <c r="V226" s="398"/>
      <c r="W226" s="399"/>
      <c r="X226" s="233"/>
      <c r="Y226" s="345"/>
      <c r="Z226" s="380"/>
      <c r="AA226" s="379"/>
      <c r="AB226" s="233"/>
      <c r="AC226" s="233"/>
      <c r="AD226" s="233"/>
      <c r="AE226" s="233"/>
      <c r="AF226" s="233"/>
    </row>
    <row r="227" spans="2:32" s="235" customFormat="1">
      <c r="B227" s="233"/>
      <c r="C227" s="233"/>
      <c r="D227" s="233"/>
      <c r="E227" s="233"/>
      <c r="F227" s="233"/>
      <c r="G227" s="233"/>
      <c r="H227" s="233"/>
      <c r="I227" s="233"/>
      <c r="J227" s="233"/>
      <c r="K227" s="233"/>
      <c r="L227" s="233"/>
      <c r="M227" s="233"/>
      <c r="N227" s="233"/>
      <c r="O227" s="233"/>
      <c r="P227" s="233"/>
      <c r="Q227" s="233"/>
      <c r="R227" s="233"/>
      <c r="S227" s="233"/>
      <c r="T227" s="233"/>
      <c r="U227" s="233"/>
      <c r="V227" s="398"/>
      <c r="W227" s="399"/>
      <c r="X227" s="233"/>
      <c r="Y227" s="345"/>
      <c r="Z227" s="380"/>
      <c r="AA227" s="379"/>
      <c r="AB227" s="233"/>
      <c r="AC227" s="233"/>
      <c r="AD227" s="233"/>
      <c r="AE227" s="233"/>
      <c r="AF227" s="233"/>
    </row>
    <row r="228" spans="2:32" s="235" customFormat="1" ht="13.5" thickBot="1">
      <c r="B228" s="233"/>
      <c r="C228" s="233"/>
      <c r="D228" s="233"/>
      <c r="E228" s="233"/>
      <c r="F228" s="233"/>
      <c r="G228" s="233"/>
      <c r="H228" s="233"/>
      <c r="I228" s="233"/>
      <c r="J228" s="233"/>
      <c r="K228" s="233"/>
      <c r="L228" s="233"/>
      <c r="M228" s="233"/>
      <c r="N228" s="233"/>
      <c r="O228" s="233"/>
      <c r="P228" s="233"/>
      <c r="Q228" s="233"/>
      <c r="R228" s="233"/>
      <c r="S228" s="233"/>
      <c r="T228" s="233"/>
      <c r="U228" s="233"/>
      <c r="V228" s="387"/>
      <c r="W228" s="388"/>
      <c r="X228" s="358"/>
      <c r="Y228" s="362"/>
      <c r="Z228" s="389"/>
      <c r="AA228" s="389"/>
      <c r="AB228" s="233"/>
      <c r="AC228" s="233"/>
      <c r="AD228" s="233"/>
      <c r="AE228" s="233"/>
      <c r="AF228" s="233"/>
    </row>
    <row r="229" spans="2:32" s="235" customFormat="1">
      <c r="B229" s="233"/>
      <c r="C229" s="233"/>
      <c r="D229" s="233"/>
      <c r="E229" s="233"/>
      <c r="F229" s="233"/>
      <c r="G229" s="233"/>
      <c r="H229" s="233"/>
      <c r="I229" s="233"/>
      <c r="J229" s="233"/>
      <c r="K229" s="233"/>
      <c r="L229" s="233"/>
      <c r="M229" s="233"/>
      <c r="N229" s="233"/>
      <c r="O229" s="233"/>
      <c r="P229" s="233"/>
      <c r="Q229" s="233"/>
      <c r="R229" s="233"/>
      <c r="S229" s="233"/>
      <c r="T229" s="233"/>
      <c r="U229" s="233"/>
      <c r="V229" s="180"/>
      <c r="W229" s="180"/>
      <c r="X229" s="180"/>
      <c r="Y229" s="233"/>
      <c r="Z229" s="181"/>
      <c r="AA229" s="279"/>
      <c r="AB229" s="233"/>
      <c r="AC229" s="233"/>
      <c r="AD229" s="233"/>
      <c r="AE229" s="233"/>
      <c r="AF229" s="233"/>
    </row>
    <row r="230" spans="2:32" s="235" customFormat="1">
      <c r="E230" s="36"/>
      <c r="F230" s="36"/>
      <c r="G230" s="36"/>
      <c r="U230" s="233"/>
      <c r="V230" s="180"/>
      <c r="W230" s="180"/>
      <c r="X230" s="180"/>
      <c r="Y230" s="233"/>
      <c r="Z230" s="181"/>
      <c r="AA230" s="418"/>
      <c r="AB230" s="233"/>
    </row>
    <row r="231" spans="2:32" s="235" customFormat="1">
      <c r="E231" s="36"/>
      <c r="F231" s="36"/>
      <c r="G231" s="36"/>
      <c r="V231" s="180"/>
      <c r="W231" s="180"/>
      <c r="X231" s="180"/>
      <c r="Y231" s="233"/>
      <c r="Z231" s="181"/>
      <c r="AA231" s="418"/>
    </row>
    <row r="232" spans="2:32" s="235" customFormat="1" ht="15.75" thickBot="1">
      <c r="E232" s="36"/>
      <c r="F232" s="36"/>
      <c r="G232" s="36"/>
      <c r="V232" s="266"/>
      <c r="W232" s="394"/>
      <c r="X232" s="368"/>
      <c r="Y232" s="233"/>
      <c r="Z232" s="420"/>
      <c r="AA232" s="420"/>
    </row>
    <row r="233" spans="2:32" s="235" customFormat="1">
      <c r="E233" s="36"/>
      <c r="F233" s="36"/>
      <c r="G233" s="36"/>
      <c r="V233" s="395"/>
      <c r="W233" s="396"/>
      <c r="X233" s="331"/>
      <c r="Y233" s="332"/>
      <c r="Z233" s="374"/>
      <c r="AA233" s="373"/>
    </row>
    <row r="234" spans="2:32" s="235" customFormat="1">
      <c r="E234" s="36"/>
      <c r="F234" s="36"/>
      <c r="G234" s="36"/>
      <c r="V234" s="398"/>
      <c r="W234" s="399"/>
      <c r="X234" s="233"/>
      <c r="Y234" s="345"/>
      <c r="Z234" s="380"/>
      <c r="AA234" s="379"/>
    </row>
    <row r="235" spans="2:32" s="235" customFormat="1">
      <c r="E235" s="36"/>
      <c r="F235" s="36"/>
      <c r="G235" s="36"/>
      <c r="V235" s="398"/>
      <c r="W235" s="399"/>
      <c r="X235" s="233"/>
      <c r="Y235" s="345"/>
      <c r="Z235" s="380"/>
      <c r="AA235" s="379"/>
    </row>
    <row r="236" spans="2:32" s="235" customFormat="1" ht="13.5" thickBot="1">
      <c r="E236" s="36"/>
      <c r="F236" s="36"/>
      <c r="G236" s="36"/>
      <c r="V236" s="387"/>
      <c r="W236" s="388"/>
      <c r="X236" s="358"/>
      <c r="Y236" s="362"/>
      <c r="Z236" s="389"/>
      <c r="AA236" s="389"/>
    </row>
    <row r="237" spans="2:32" s="235" customFormat="1">
      <c r="E237" s="36"/>
      <c r="F237" s="36"/>
      <c r="G237" s="36"/>
      <c r="V237" s="180"/>
      <c r="W237" s="180"/>
      <c r="X237" s="180"/>
      <c r="Y237" s="233"/>
      <c r="Z237" s="181"/>
      <c r="AA237" s="279"/>
    </row>
    <row r="238" spans="2:32" s="235" customFormat="1">
      <c r="E238" s="36"/>
      <c r="F238" s="36"/>
      <c r="G238" s="36"/>
      <c r="V238" s="233"/>
      <c r="W238" s="368"/>
      <c r="X238" s="368"/>
      <c r="Y238" s="233"/>
      <c r="Z238" s="393"/>
      <c r="AA238" s="418"/>
    </row>
    <row r="239" spans="2:32" s="235" customFormat="1">
      <c r="E239" s="36"/>
      <c r="F239" s="36"/>
      <c r="G239" s="36"/>
      <c r="V239" s="368"/>
      <c r="W239" s="368"/>
      <c r="X239" s="368"/>
      <c r="Y239" s="233"/>
      <c r="Z239" s="418"/>
      <c r="AA239" s="422"/>
    </row>
    <row r="240" spans="2:32" s="235" customFormat="1">
      <c r="E240" s="36"/>
      <c r="F240" s="36"/>
      <c r="G240" s="36"/>
      <c r="V240" s="233"/>
      <c r="W240" s="233"/>
      <c r="X240" s="233"/>
      <c r="Y240" s="233"/>
      <c r="Z240" s="233"/>
      <c r="AA240" s="233"/>
    </row>
    <row r="241" spans="5:31" s="235" customFormat="1" ht="15.75" thickBot="1">
      <c r="E241" s="36"/>
      <c r="F241" s="36"/>
      <c r="G241" s="36"/>
      <c r="V241" s="419"/>
      <c r="W241" s="233"/>
      <c r="X241" s="233"/>
      <c r="Y241" s="233"/>
      <c r="Z241" s="233"/>
      <c r="AA241" s="233"/>
    </row>
    <row r="242" spans="5:31" s="235" customFormat="1" ht="13.5" thickBot="1">
      <c r="E242" s="36"/>
      <c r="F242" s="36"/>
      <c r="G242" s="36"/>
      <c r="V242" s="249"/>
      <c r="W242" s="423"/>
      <c r="X242" s="233"/>
      <c r="Y242" s="233"/>
      <c r="Z242" s="382"/>
      <c r="AA242" s="233"/>
    </row>
    <row r="243" spans="5:31" s="235" customFormat="1" ht="13.5" thickBot="1">
      <c r="E243" s="36"/>
      <c r="F243" s="36"/>
      <c r="G243" s="36"/>
      <c r="V243" s="249"/>
      <c r="W243" s="423"/>
      <c r="X243" s="233"/>
      <c r="Y243" s="233"/>
      <c r="Z243" s="424"/>
      <c r="AA243" s="233"/>
    </row>
    <row r="244" spans="5:31" s="235" customFormat="1" ht="13.5" thickBot="1">
      <c r="E244" s="36"/>
      <c r="F244" s="36"/>
      <c r="G244" s="36"/>
      <c r="V244" s="249"/>
      <c r="W244" s="423"/>
      <c r="X244" s="233"/>
      <c r="Y244" s="233"/>
      <c r="Z244" s="339"/>
      <c r="AA244" s="233"/>
    </row>
    <row r="245" spans="5:31" s="235" customFormat="1" ht="15.75" thickBot="1">
      <c r="E245" s="36"/>
      <c r="F245" s="36"/>
      <c r="G245" s="36"/>
      <c r="N245" s="36"/>
      <c r="O245" s="36"/>
      <c r="P245" s="36"/>
      <c r="Q245" s="36"/>
      <c r="R245" s="36"/>
      <c r="S245" s="36"/>
      <c r="T245" s="36"/>
      <c r="V245" s="233"/>
      <c r="W245" s="425"/>
      <c r="X245" s="233"/>
      <c r="Y245" s="233"/>
      <c r="Z245" s="233"/>
      <c r="AA245" s="233"/>
      <c r="AC245" s="36"/>
      <c r="AD245" s="36"/>
      <c r="AE245" s="36"/>
    </row>
    <row r="246" spans="5:31" s="235" customFormat="1" ht="13.5" thickBot="1">
      <c r="E246" s="36"/>
      <c r="F246" s="36"/>
      <c r="G246" s="36"/>
      <c r="N246" s="36"/>
      <c r="O246" s="36"/>
      <c r="P246" s="36"/>
      <c r="Q246" s="36"/>
      <c r="R246" s="36"/>
      <c r="S246" s="36"/>
      <c r="T246" s="36"/>
      <c r="U246" s="36"/>
      <c r="V246" s="233"/>
      <c r="W246" s="423"/>
      <c r="X246" s="233"/>
      <c r="Y246" s="233"/>
      <c r="Z246" s="382"/>
      <c r="AA246" s="233"/>
      <c r="AB246" s="36"/>
      <c r="AC246" s="36"/>
      <c r="AD246" s="36"/>
      <c r="AE246" s="36"/>
    </row>
    <row r="247" spans="5:31" s="235" customFormat="1">
      <c r="E247" s="36"/>
      <c r="F247" s="36"/>
      <c r="G247" s="36"/>
      <c r="N247" s="36"/>
      <c r="O247" s="36"/>
      <c r="P247" s="36"/>
      <c r="Q247" s="36"/>
      <c r="R247" s="36"/>
      <c r="S247" s="36"/>
      <c r="T247" s="36"/>
      <c r="U247" s="36"/>
      <c r="V247" s="233"/>
      <c r="W247" s="233"/>
      <c r="X247" s="233"/>
      <c r="Y247" s="233"/>
      <c r="Z247" s="233"/>
      <c r="AA247" s="233"/>
      <c r="AB247" s="36"/>
      <c r="AC247" s="36"/>
      <c r="AD247" s="36"/>
      <c r="AE247" s="36"/>
    </row>
    <row r="248" spans="5:31" s="235" customFormat="1">
      <c r="E248" s="36"/>
      <c r="F248" s="36"/>
      <c r="G248" s="36"/>
      <c r="N248" s="36"/>
      <c r="O248" s="36"/>
      <c r="P248" s="36"/>
      <c r="Q248" s="36"/>
      <c r="R248" s="36"/>
      <c r="S248" s="36"/>
      <c r="T248" s="36"/>
      <c r="U248" s="36"/>
      <c r="V248" s="426"/>
      <c r="W248" s="399"/>
      <c r="X248" s="233"/>
      <c r="Y248" s="233"/>
      <c r="Z248" s="382"/>
      <c r="AA248" s="382"/>
      <c r="AB248" s="36"/>
      <c r="AC248" s="36"/>
      <c r="AD248" s="36"/>
      <c r="AE248" s="36"/>
    </row>
    <row r="249" spans="5:31" s="235" customFormat="1">
      <c r="E249" s="36"/>
      <c r="F249" s="36"/>
      <c r="G249" s="36"/>
      <c r="N249" s="36"/>
      <c r="O249" s="36"/>
      <c r="P249" s="36"/>
      <c r="Q249" s="36"/>
      <c r="R249" s="36"/>
      <c r="S249" s="36"/>
      <c r="T249" s="36"/>
      <c r="U249" s="36"/>
      <c r="V249" s="426"/>
      <c r="W249" s="399"/>
      <c r="X249" s="233"/>
      <c r="Y249" s="233"/>
      <c r="Z249" s="382"/>
      <c r="AA249" s="382"/>
      <c r="AB249" s="36"/>
      <c r="AC249" s="36"/>
      <c r="AD249" s="36"/>
      <c r="AE249" s="36"/>
    </row>
    <row r="250" spans="5:31" s="235" customFormat="1">
      <c r="E250" s="36"/>
      <c r="F250" s="36"/>
      <c r="G250" s="36"/>
      <c r="N250" s="36"/>
      <c r="O250" s="36"/>
      <c r="P250" s="36"/>
      <c r="Q250" s="36"/>
      <c r="R250" s="36"/>
      <c r="S250" s="36"/>
      <c r="T250" s="36"/>
      <c r="U250" s="36"/>
      <c r="V250" s="427"/>
      <c r="W250" s="399"/>
      <c r="X250" s="233"/>
      <c r="Y250" s="233"/>
      <c r="Z250" s="382"/>
      <c r="AA250" s="382"/>
      <c r="AB250" s="36"/>
      <c r="AC250" s="36"/>
      <c r="AD250" s="36"/>
      <c r="AE250" s="36"/>
    </row>
    <row r="251" spans="5:31" s="235" customFormat="1">
      <c r="E251" s="36"/>
      <c r="F251" s="36"/>
      <c r="G251" s="36"/>
      <c r="N251" s="36"/>
      <c r="O251" s="36"/>
      <c r="P251" s="36"/>
      <c r="Q251" s="36"/>
      <c r="R251" s="36"/>
      <c r="S251" s="36"/>
      <c r="T251" s="36"/>
      <c r="U251" s="36"/>
      <c r="V251" s="368"/>
      <c r="W251" s="368"/>
      <c r="X251" s="233"/>
      <c r="Y251" s="233"/>
      <c r="Z251" s="393"/>
      <c r="AA251" s="393"/>
      <c r="AB251" s="36"/>
      <c r="AC251" s="36"/>
      <c r="AD251" s="36"/>
      <c r="AE251" s="36"/>
    </row>
    <row r="252" spans="5:31" s="235" customFormat="1">
      <c r="E252" s="36"/>
      <c r="F252" s="36"/>
      <c r="G252" s="36"/>
      <c r="N252" s="36"/>
      <c r="O252" s="36"/>
      <c r="P252" s="36"/>
      <c r="Q252" s="36"/>
      <c r="R252" s="36"/>
      <c r="S252" s="36"/>
      <c r="T252" s="36"/>
      <c r="U252" s="36"/>
      <c r="V252" s="66"/>
      <c r="W252" s="66"/>
      <c r="X252" s="66"/>
      <c r="Y252" s="233"/>
      <c r="Z252" s="35"/>
      <c r="AA252" s="393"/>
      <c r="AB252" s="36"/>
      <c r="AC252" s="36"/>
      <c r="AD252" s="36"/>
      <c r="AE252" s="36"/>
    </row>
    <row r="253" spans="5:31" s="235" customFormat="1">
      <c r="E253" s="36"/>
      <c r="F253" s="36"/>
      <c r="G253" s="36"/>
      <c r="N253" s="36"/>
      <c r="O253" s="36"/>
      <c r="P253" s="36"/>
      <c r="Q253" s="36"/>
      <c r="R253" s="36"/>
      <c r="S253" s="36"/>
      <c r="T253" s="36"/>
      <c r="U253" s="36"/>
      <c r="V253" s="368"/>
      <c r="W253" s="368"/>
      <c r="X253" s="368"/>
      <c r="Y253" s="233"/>
      <c r="Z253" s="418"/>
      <c r="AA253" s="393"/>
      <c r="AB253" s="36"/>
      <c r="AC253" s="36"/>
      <c r="AD253" s="36"/>
      <c r="AE253" s="36"/>
    </row>
    <row r="254" spans="5:31" s="235" customFormat="1">
      <c r="E254" s="36"/>
      <c r="F254" s="36"/>
      <c r="G254" s="36"/>
      <c r="N254" s="36"/>
      <c r="O254" s="36"/>
      <c r="P254" s="36"/>
      <c r="Q254" s="36"/>
      <c r="R254" s="36"/>
      <c r="S254" s="36"/>
      <c r="T254" s="36"/>
      <c r="U254" s="36"/>
      <c r="V254" s="233"/>
      <c r="W254" s="233"/>
      <c r="X254" s="233"/>
      <c r="Y254" s="233"/>
      <c r="Z254" s="233"/>
      <c r="AA254" s="233"/>
      <c r="AB254" s="36"/>
      <c r="AC254" s="36"/>
      <c r="AD254" s="36"/>
      <c r="AE254" s="36"/>
    </row>
    <row r="255" spans="5:31" s="235" customFormat="1" ht="15">
      <c r="E255" s="36"/>
      <c r="F255" s="36"/>
      <c r="G255" s="36"/>
      <c r="N255" s="36"/>
      <c r="O255" s="36"/>
      <c r="P255" s="36"/>
      <c r="Q255" s="36"/>
      <c r="R255" s="36"/>
      <c r="S255" s="36"/>
      <c r="T255" s="36"/>
      <c r="U255" s="36"/>
      <c r="V255" s="419"/>
      <c r="W255" s="233"/>
      <c r="X255" s="233"/>
      <c r="Y255" s="233"/>
      <c r="Z255" s="233"/>
      <c r="AA255" s="233"/>
      <c r="AB255" s="36"/>
      <c r="AC255" s="36"/>
      <c r="AD255" s="36"/>
      <c r="AE255" s="36"/>
    </row>
    <row r="256" spans="5:31" s="235" customFormat="1">
      <c r="E256" s="36"/>
      <c r="F256" s="36"/>
      <c r="G256" s="36"/>
      <c r="N256" s="36"/>
      <c r="O256" s="36"/>
      <c r="P256" s="36"/>
      <c r="Q256" s="36"/>
      <c r="R256" s="36"/>
      <c r="S256" s="36"/>
      <c r="T256" s="36"/>
      <c r="U256" s="36"/>
      <c r="V256" s="249"/>
      <c r="W256" s="132"/>
      <c r="X256" s="382"/>
      <c r="Y256" s="233"/>
      <c r="AA256" s="233"/>
      <c r="AB256" s="36"/>
      <c r="AC256" s="36"/>
      <c r="AD256" s="36"/>
      <c r="AE256" s="36"/>
    </row>
    <row r="257" spans="5:31" s="235" customFormat="1">
      <c r="E257" s="36"/>
      <c r="F257" s="36"/>
      <c r="G257" s="36"/>
      <c r="N257" s="36"/>
      <c r="O257" s="36"/>
      <c r="P257" s="36"/>
      <c r="Q257" s="36"/>
      <c r="R257" s="36"/>
      <c r="S257" s="36"/>
      <c r="T257" s="36"/>
      <c r="U257" s="36"/>
      <c r="V257" s="249"/>
      <c r="W257" s="132"/>
      <c r="X257" s="382"/>
      <c r="Y257" s="233"/>
      <c r="AA257" s="233"/>
      <c r="AB257" s="36"/>
      <c r="AC257" s="36"/>
      <c r="AD257" s="36"/>
      <c r="AE257" s="36"/>
    </row>
    <row r="258" spans="5:31" s="235" customFormat="1">
      <c r="E258" s="36"/>
      <c r="F258" s="36"/>
      <c r="G258" s="36"/>
      <c r="N258" s="36"/>
      <c r="O258" s="36"/>
      <c r="P258" s="36"/>
      <c r="Q258" s="36"/>
      <c r="R258" s="36"/>
      <c r="S258" s="36"/>
      <c r="T258" s="36"/>
      <c r="U258" s="36"/>
      <c r="V258" s="249"/>
      <c r="W258" s="132"/>
      <c r="X258" s="339"/>
      <c r="Y258" s="233"/>
      <c r="AA258" s="233"/>
      <c r="AB258" s="36"/>
      <c r="AC258" s="36"/>
      <c r="AD258" s="36"/>
      <c r="AE258" s="36"/>
    </row>
    <row r="259" spans="5:31" s="235" customFormat="1" ht="15">
      <c r="E259" s="36"/>
      <c r="F259" s="36"/>
      <c r="G259" s="36"/>
      <c r="N259" s="36"/>
      <c r="O259" s="36"/>
      <c r="P259" s="36"/>
      <c r="Q259" s="36"/>
      <c r="R259" s="36"/>
      <c r="S259" s="36"/>
      <c r="T259" s="36"/>
      <c r="U259" s="36"/>
      <c r="V259" s="233"/>
      <c r="W259" s="425"/>
      <c r="X259" s="233"/>
      <c r="Y259" s="233"/>
      <c r="AA259" s="233"/>
      <c r="AB259" s="36"/>
      <c r="AC259" s="36"/>
      <c r="AD259" s="36"/>
      <c r="AE259" s="36"/>
    </row>
    <row r="260" spans="5:31" s="235" customFormat="1">
      <c r="E260" s="36"/>
      <c r="F260" s="36"/>
      <c r="G260" s="36"/>
      <c r="N260" s="36"/>
      <c r="O260" s="36"/>
      <c r="P260" s="36"/>
      <c r="Q260" s="36"/>
      <c r="R260" s="36"/>
      <c r="S260" s="36"/>
      <c r="T260" s="36"/>
      <c r="U260" s="36"/>
      <c r="V260" s="233"/>
      <c r="W260" s="132"/>
      <c r="X260" s="382"/>
      <c r="Y260" s="233"/>
      <c r="AA260" s="233"/>
      <c r="AB260" s="36"/>
      <c r="AC260" s="36"/>
      <c r="AD260" s="36"/>
      <c r="AE260" s="36"/>
    </row>
    <row r="261" spans="5:31" s="235" customFormat="1">
      <c r="E261" s="36"/>
      <c r="F261" s="36"/>
      <c r="G261" s="36"/>
      <c r="N261" s="36"/>
      <c r="O261" s="36"/>
      <c r="P261" s="36"/>
      <c r="Q261" s="36"/>
      <c r="R261" s="36"/>
      <c r="S261" s="36"/>
      <c r="T261" s="36"/>
      <c r="U261" s="36"/>
      <c r="V261" s="233"/>
      <c r="W261" s="233"/>
      <c r="X261" s="233"/>
      <c r="Y261" s="233"/>
      <c r="Z261" s="233"/>
      <c r="AA261" s="233"/>
      <c r="AB261" s="36"/>
      <c r="AC261" s="36"/>
      <c r="AD261" s="36"/>
      <c r="AE261" s="36"/>
    </row>
    <row r="262" spans="5:31" s="235" customFormat="1">
      <c r="E262" s="36"/>
      <c r="F262" s="36"/>
      <c r="G262" s="36"/>
      <c r="N262" s="36"/>
      <c r="O262" s="36"/>
      <c r="P262" s="36"/>
      <c r="Q262" s="36"/>
      <c r="R262" s="36"/>
      <c r="S262" s="36"/>
      <c r="T262" s="36"/>
      <c r="U262" s="36"/>
      <c r="AB262" s="36"/>
      <c r="AC262" s="36"/>
      <c r="AD262" s="36"/>
      <c r="AE262" s="36"/>
    </row>
  </sheetData>
  <sortState xmlns:xlrd2="http://schemas.microsoft.com/office/spreadsheetml/2017/richdata2" ref="B2:AF101">
    <sortCondition ref="K2:K101"/>
    <sortCondition ref="C2:C101"/>
    <sortCondition ref="B2:B101"/>
  </sortState>
  <mergeCells count="6">
    <mergeCell ref="Z232:AA232"/>
    <mergeCell ref="Z160:AA160"/>
    <mergeCell ref="Z168:AA168"/>
    <mergeCell ref="Z207:AA207"/>
    <mergeCell ref="Z215:AA215"/>
    <mergeCell ref="Z223:AA223"/>
  </mergeCells>
  <conditionalFormatting sqref="F127">
    <cfRule type="cellIs" dxfId="61" priority="36" operator="equal">
      <formula>0</formula>
    </cfRule>
    <cfRule type="cellIs" dxfId="60" priority="37" operator="notEqual">
      <formula>0</formula>
    </cfRule>
  </conditionalFormatting>
  <conditionalFormatting sqref="G110">
    <cfRule type="cellIs" dxfId="59" priority="11" operator="equal">
      <formula>0</formula>
    </cfRule>
    <cfRule type="cellIs" dxfId="58" priority="12" operator="notEqual">
      <formula>0</formula>
    </cfRule>
  </conditionalFormatting>
  <conditionalFormatting sqref="N111">
    <cfRule type="cellIs" dxfId="57" priority="13" operator="equal">
      <formula>0</formula>
    </cfRule>
    <cfRule type="cellIs" dxfId="56" priority="14" operator="notEqual">
      <formula>0</formula>
    </cfRule>
  </conditionalFormatting>
  <conditionalFormatting sqref="U133:U134 AA134 U147 AA147">
    <cfRule type="cellIs" dxfId="55" priority="31" operator="equal">
      <formula>0</formula>
    </cfRule>
    <cfRule type="cellIs" dxfId="54" priority="32" operator="notEqual">
      <formula>0</formula>
    </cfRule>
  </conditionalFormatting>
  <conditionalFormatting sqref="U145">
    <cfRule type="cellIs" dxfId="53" priority="29" operator="equal">
      <formula>0</formula>
    </cfRule>
    <cfRule type="cellIs" dxfId="52" priority="30" operator="notEqual">
      <formula>0</formula>
    </cfRule>
  </conditionalFormatting>
  <conditionalFormatting sqref="V152">
    <cfRule type="duplicateValues" dxfId="51" priority="17" stopIfTrue="1"/>
  </conditionalFormatting>
  <conditionalFormatting sqref="W242:W246 V157:V159 V149:V150 V206:V220 V239:V241 V167">
    <cfRule type="duplicateValues" dxfId="50" priority="33" stopIfTrue="1"/>
  </conditionalFormatting>
  <conditionalFormatting sqref="V168:V205">
    <cfRule type="duplicateValues" dxfId="49" priority="24" stopIfTrue="1"/>
  </conditionalFormatting>
  <conditionalFormatting sqref="V261 W256:W260 V248:V255">
    <cfRule type="duplicateValues" dxfId="48" priority="62" stopIfTrue="1"/>
  </conditionalFormatting>
  <conditionalFormatting sqref="AA159">
    <cfRule type="cellIs" dxfId="47" priority="18" operator="equal">
      <formula>0</formula>
    </cfRule>
    <cfRule type="cellIs" dxfId="46" priority="19" operator="notEqual">
      <formula>0</formula>
    </cfRule>
  </conditionalFormatting>
  <conditionalFormatting sqref="AA204:AA205">
    <cfRule type="cellIs" dxfId="45" priority="20" operator="equal">
      <formula>0</formula>
    </cfRule>
    <cfRule type="cellIs" dxfId="44" priority="21" operator="notEqual">
      <formula>0</formula>
    </cfRule>
  </conditionalFormatting>
  <conditionalFormatting sqref="AA212">
    <cfRule type="cellIs" dxfId="43" priority="27" operator="equal">
      <formula>0</formula>
    </cfRule>
    <cfRule type="cellIs" dxfId="42" priority="28" operator="notEqual">
      <formula>0</formula>
    </cfRule>
  </conditionalFormatting>
  <conditionalFormatting sqref="AA220">
    <cfRule type="cellIs" dxfId="41" priority="25" operator="equal">
      <formula>0</formula>
    </cfRule>
    <cfRule type="cellIs" dxfId="40" priority="26" operator="notEqual">
      <formula>0</formula>
    </cfRule>
  </conditionalFormatting>
  <conditionalFormatting sqref="AB189">
    <cfRule type="cellIs" dxfId="39" priority="22" operator="equal">
      <formula>0</formula>
    </cfRule>
    <cfRule type="cellIs" dxfId="38" priority="23" operator="notEqual">
      <formula>0</formula>
    </cfRule>
  </conditionalFormatting>
  <conditionalFormatting sqref="V221:V238">
    <cfRule type="duplicateValues" dxfId="37" priority="10" stopIfTrue="1"/>
  </conditionalFormatting>
  <conditionalFormatting sqref="AA229">
    <cfRule type="cellIs" dxfId="36" priority="8" operator="equal">
      <formula>0</formula>
    </cfRule>
    <cfRule type="cellIs" dxfId="35" priority="9" operator="notEqual">
      <formula>0</formula>
    </cfRule>
  </conditionalFormatting>
  <conditionalFormatting sqref="AA237">
    <cfRule type="cellIs" dxfId="34" priority="6" operator="equal">
      <formula>0</formula>
    </cfRule>
    <cfRule type="cellIs" dxfId="33" priority="7" operator="notEqual">
      <formula>0</formula>
    </cfRule>
  </conditionalFormatting>
  <conditionalFormatting sqref="V160">
    <cfRule type="duplicateValues" dxfId="32" priority="2" stopIfTrue="1"/>
  </conditionalFormatting>
  <conditionalFormatting sqref="V161:V163">
    <cfRule type="duplicateValues" dxfId="31" priority="1" stopIfTrue="1"/>
  </conditionalFormatting>
  <conditionalFormatting sqref="V164:V166">
    <cfRule type="duplicateValues" dxfId="30" priority="5" stopIfTrue="1"/>
  </conditionalFormatting>
  <conditionalFormatting sqref="AA165:AA166">
    <cfRule type="cellIs" dxfId="29" priority="3" operator="equal">
      <formula>0</formula>
    </cfRule>
    <cfRule type="cellIs" dxfId="28" priority="4" operator="notEqual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C67E-F83F-481B-8AEE-BC96C46399D2}">
  <sheetPr codeName="Hoja2"/>
  <dimension ref="B1:AF1"/>
  <sheetViews>
    <sheetView zoomScale="80" zoomScaleNormal="80" workbookViewId="0">
      <pane ySplit="1" topLeftCell="A2" activePane="bottomLeft" state="frozen"/>
      <selection activeCell="N1" sqref="N1"/>
      <selection pane="bottomLeft" activeCell="N1" sqref="N1"/>
    </sheetView>
  </sheetViews>
  <sheetFormatPr baseColWidth="10" defaultRowHeight="12.75"/>
  <cols>
    <col min="1" max="1" width="4.140625" style="17" customWidth="1"/>
    <col min="2" max="2" width="11" style="17" customWidth="1"/>
    <col min="3" max="3" width="54.28515625" style="17" customWidth="1"/>
    <col min="4" max="4" width="8.28515625" style="17" customWidth="1"/>
    <col min="5" max="5" width="15.5703125" style="36" customWidth="1"/>
    <col min="6" max="6" width="15.85546875" style="36" customWidth="1"/>
    <col min="7" max="7" width="16" style="36" bestFit="1" customWidth="1"/>
    <col min="8" max="8" width="8.7109375" style="17" customWidth="1"/>
    <col min="9" max="10" width="11.7109375" style="194" customWidth="1"/>
    <col min="11" max="11" width="15.7109375" style="17" customWidth="1"/>
    <col min="12" max="12" width="14.85546875" style="17" customWidth="1"/>
    <col min="13" max="13" width="16.28515625" style="17" customWidth="1"/>
    <col min="14" max="14" width="16.7109375" style="17" customWidth="1"/>
    <col min="15" max="15" width="10.42578125" style="17" customWidth="1"/>
    <col min="16" max="16" width="20" style="17" bestFit="1" customWidth="1"/>
    <col min="17" max="17" width="12.7109375" style="17" customWidth="1"/>
    <col min="18" max="18" width="15.5703125" style="17" customWidth="1"/>
    <col min="19" max="19" width="15.28515625" style="17" customWidth="1"/>
    <col min="20" max="20" width="15.85546875" style="17" customWidth="1"/>
    <col min="21" max="21" width="15.42578125" style="17" customWidth="1"/>
    <col min="22" max="22" width="17.7109375" style="17" customWidth="1"/>
    <col min="23" max="23" width="12.7109375" style="17" customWidth="1"/>
    <col min="24" max="24" width="12.42578125" style="17" customWidth="1"/>
    <col min="25" max="26" width="13.140625" style="17" customWidth="1"/>
    <col min="27" max="27" width="13.5703125" style="17" customWidth="1"/>
    <col min="28" max="28" width="13.140625" style="17" customWidth="1"/>
    <col min="29" max="29" width="13.85546875" style="17" customWidth="1"/>
    <col min="30" max="31" width="10.42578125" style="17" customWidth="1"/>
    <col min="32" max="32" width="12.7109375" style="17" customWidth="1"/>
    <col min="33" max="258" width="8.85546875" style="17" customWidth="1"/>
    <col min="259" max="259" width="5" style="17" bestFit="1" customWidth="1"/>
    <col min="260" max="260" width="13.42578125" style="17" bestFit="1" customWidth="1"/>
    <col min="261" max="261" width="47.28515625" style="17" bestFit="1" customWidth="1"/>
    <col min="262" max="262" width="18.7109375" style="17" bestFit="1" customWidth="1"/>
    <col min="263" max="264" width="13.7109375" style="17" bestFit="1" customWidth="1"/>
    <col min="265" max="265" width="14.28515625" style="17" bestFit="1" customWidth="1"/>
    <col min="266" max="266" width="10.85546875" style="17" bestFit="1" customWidth="1"/>
    <col min="267" max="267" width="5" style="17" bestFit="1" customWidth="1"/>
    <col min="268" max="268" width="8.85546875" style="17" customWidth="1"/>
    <col min="269" max="269" width="12.140625" style="17" bestFit="1" customWidth="1"/>
    <col min="270" max="514" width="8.85546875" style="17" customWidth="1"/>
    <col min="515" max="515" width="5" style="17" bestFit="1" customWidth="1"/>
    <col min="516" max="516" width="13.42578125" style="17" bestFit="1" customWidth="1"/>
    <col min="517" max="517" width="47.28515625" style="17" bestFit="1" customWidth="1"/>
    <col min="518" max="518" width="18.7109375" style="17" bestFit="1" customWidth="1"/>
    <col min="519" max="520" width="13.7109375" style="17" bestFit="1" customWidth="1"/>
    <col min="521" max="521" width="14.28515625" style="17" bestFit="1" customWidth="1"/>
    <col min="522" max="522" width="10.85546875" style="17" bestFit="1" customWidth="1"/>
    <col min="523" max="523" width="5" style="17" bestFit="1" customWidth="1"/>
    <col min="524" max="524" width="8.85546875" style="17" customWidth="1"/>
    <col min="525" max="525" width="12.140625" style="17" bestFit="1" customWidth="1"/>
    <col min="526" max="770" width="8.85546875" style="17" customWidth="1"/>
    <col min="771" max="771" width="5" style="17" bestFit="1" customWidth="1"/>
    <col min="772" max="772" width="13.42578125" style="17" bestFit="1" customWidth="1"/>
    <col min="773" max="773" width="47.28515625" style="17" bestFit="1" customWidth="1"/>
    <col min="774" max="774" width="18.7109375" style="17" bestFit="1" customWidth="1"/>
    <col min="775" max="776" width="13.7109375" style="17" bestFit="1" customWidth="1"/>
    <col min="777" max="777" width="14.28515625" style="17" bestFit="1" customWidth="1"/>
    <col min="778" max="778" width="10.85546875" style="17" bestFit="1" customWidth="1"/>
    <col min="779" max="779" width="5" style="17" bestFit="1" customWidth="1"/>
    <col min="780" max="780" width="8.85546875" style="17" customWidth="1"/>
    <col min="781" max="781" width="12.140625" style="17" bestFit="1" customWidth="1"/>
    <col min="782" max="1026" width="8.85546875" style="17" customWidth="1"/>
    <col min="1027" max="1027" width="5" style="17" bestFit="1" customWidth="1"/>
    <col min="1028" max="1028" width="13.42578125" style="17" bestFit="1" customWidth="1"/>
    <col min="1029" max="1029" width="47.28515625" style="17" bestFit="1" customWidth="1"/>
    <col min="1030" max="1030" width="18.7109375" style="17" bestFit="1" customWidth="1"/>
    <col min="1031" max="1032" width="13.7109375" style="17" bestFit="1" customWidth="1"/>
    <col min="1033" max="1033" width="14.28515625" style="17" bestFit="1" customWidth="1"/>
    <col min="1034" max="1034" width="10.85546875" style="17" bestFit="1" customWidth="1"/>
    <col min="1035" max="1035" width="5" style="17" bestFit="1" customWidth="1"/>
    <col min="1036" max="1036" width="8.85546875" style="17" customWidth="1"/>
    <col min="1037" max="1037" width="12.140625" style="17" bestFit="1" customWidth="1"/>
    <col min="1038" max="1282" width="8.85546875" style="17" customWidth="1"/>
    <col min="1283" max="1283" width="5" style="17" bestFit="1" customWidth="1"/>
    <col min="1284" max="1284" width="13.42578125" style="17" bestFit="1" customWidth="1"/>
    <col min="1285" max="1285" width="47.28515625" style="17" bestFit="1" customWidth="1"/>
    <col min="1286" max="1286" width="18.7109375" style="17" bestFit="1" customWidth="1"/>
    <col min="1287" max="1288" width="13.7109375" style="17" bestFit="1" customWidth="1"/>
    <col min="1289" max="1289" width="14.28515625" style="17" bestFit="1" customWidth="1"/>
    <col min="1290" max="1290" width="10.85546875" style="17" bestFit="1" customWidth="1"/>
    <col min="1291" max="1291" width="5" style="17" bestFit="1" customWidth="1"/>
    <col min="1292" max="1292" width="8.85546875" style="17" customWidth="1"/>
    <col min="1293" max="1293" width="12.140625" style="17" bestFit="1" customWidth="1"/>
    <col min="1294" max="1538" width="8.85546875" style="17" customWidth="1"/>
    <col min="1539" max="1539" width="5" style="17" bestFit="1" customWidth="1"/>
    <col min="1540" max="1540" width="13.42578125" style="17" bestFit="1" customWidth="1"/>
    <col min="1541" max="1541" width="47.28515625" style="17" bestFit="1" customWidth="1"/>
    <col min="1542" max="1542" width="18.7109375" style="17" bestFit="1" customWidth="1"/>
    <col min="1543" max="1544" width="13.7109375" style="17" bestFit="1" customWidth="1"/>
    <col min="1545" max="1545" width="14.28515625" style="17" bestFit="1" customWidth="1"/>
    <col min="1546" max="1546" width="10.85546875" style="17" bestFit="1" customWidth="1"/>
    <col min="1547" max="1547" width="5" style="17" bestFit="1" customWidth="1"/>
    <col min="1548" max="1548" width="8.85546875" style="17" customWidth="1"/>
    <col min="1549" max="1549" width="12.140625" style="17" bestFit="1" customWidth="1"/>
    <col min="1550" max="1794" width="8.85546875" style="17" customWidth="1"/>
    <col min="1795" max="1795" width="5" style="17" bestFit="1" customWidth="1"/>
    <col min="1796" max="1796" width="13.42578125" style="17" bestFit="1" customWidth="1"/>
    <col min="1797" max="1797" width="47.28515625" style="17" bestFit="1" customWidth="1"/>
    <col min="1798" max="1798" width="18.7109375" style="17" bestFit="1" customWidth="1"/>
    <col min="1799" max="1800" width="13.7109375" style="17" bestFit="1" customWidth="1"/>
    <col min="1801" max="1801" width="14.28515625" style="17" bestFit="1" customWidth="1"/>
    <col min="1802" max="1802" width="10.85546875" style="17" bestFit="1" customWidth="1"/>
    <col min="1803" max="1803" width="5" style="17" bestFit="1" customWidth="1"/>
    <col min="1804" max="1804" width="8.85546875" style="17" customWidth="1"/>
    <col min="1805" max="1805" width="12.140625" style="17" bestFit="1" customWidth="1"/>
    <col min="1806" max="2050" width="8.85546875" style="17" customWidth="1"/>
    <col min="2051" max="2051" width="5" style="17" bestFit="1" customWidth="1"/>
    <col min="2052" max="2052" width="13.42578125" style="17" bestFit="1" customWidth="1"/>
    <col min="2053" max="2053" width="47.28515625" style="17" bestFit="1" customWidth="1"/>
    <col min="2054" max="2054" width="18.7109375" style="17" bestFit="1" customWidth="1"/>
    <col min="2055" max="2056" width="13.7109375" style="17" bestFit="1" customWidth="1"/>
    <col min="2057" max="2057" width="14.28515625" style="17" bestFit="1" customWidth="1"/>
    <col min="2058" max="2058" width="10.85546875" style="17" bestFit="1" customWidth="1"/>
    <col min="2059" max="2059" width="5" style="17" bestFit="1" customWidth="1"/>
    <col min="2060" max="2060" width="8.85546875" style="17" customWidth="1"/>
    <col min="2061" max="2061" width="12.140625" style="17" bestFit="1" customWidth="1"/>
    <col min="2062" max="2306" width="8.85546875" style="17" customWidth="1"/>
    <col min="2307" max="2307" width="5" style="17" bestFit="1" customWidth="1"/>
    <col min="2308" max="2308" width="13.42578125" style="17" bestFit="1" customWidth="1"/>
    <col min="2309" max="2309" width="47.28515625" style="17" bestFit="1" customWidth="1"/>
    <col min="2310" max="2310" width="18.7109375" style="17" bestFit="1" customWidth="1"/>
    <col min="2311" max="2312" width="13.7109375" style="17" bestFit="1" customWidth="1"/>
    <col min="2313" max="2313" width="14.28515625" style="17" bestFit="1" customWidth="1"/>
    <col min="2314" max="2314" width="10.85546875" style="17" bestFit="1" customWidth="1"/>
    <col min="2315" max="2315" width="5" style="17" bestFit="1" customWidth="1"/>
    <col min="2316" max="2316" width="8.85546875" style="17" customWidth="1"/>
    <col min="2317" max="2317" width="12.140625" style="17" bestFit="1" customWidth="1"/>
    <col min="2318" max="2562" width="8.85546875" style="17" customWidth="1"/>
    <col min="2563" max="2563" width="5" style="17" bestFit="1" customWidth="1"/>
    <col min="2564" max="2564" width="13.42578125" style="17" bestFit="1" customWidth="1"/>
    <col min="2565" max="2565" width="47.28515625" style="17" bestFit="1" customWidth="1"/>
    <col min="2566" max="2566" width="18.7109375" style="17" bestFit="1" customWidth="1"/>
    <col min="2567" max="2568" width="13.7109375" style="17" bestFit="1" customWidth="1"/>
    <col min="2569" max="2569" width="14.28515625" style="17" bestFit="1" customWidth="1"/>
    <col min="2570" max="2570" width="10.85546875" style="17" bestFit="1" customWidth="1"/>
    <col min="2571" max="2571" width="5" style="17" bestFit="1" customWidth="1"/>
    <col min="2572" max="2572" width="8.85546875" style="17" customWidth="1"/>
    <col min="2573" max="2573" width="12.140625" style="17" bestFit="1" customWidth="1"/>
    <col min="2574" max="2818" width="8.85546875" style="17" customWidth="1"/>
    <col min="2819" max="2819" width="5" style="17" bestFit="1" customWidth="1"/>
    <col min="2820" max="2820" width="13.42578125" style="17" bestFit="1" customWidth="1"/>
    <col min="2821" max="2821" width="47.28515625" style="17" bestFit="1" customWidth="1"/>
    <col min="2822" max="2822" width="18.7109375" style="17" bestFit="1" customWidth="1"/>
    <col min="2823" max="2824" width="13.7109375" style="17" bestFit="1" customWidth="1"/>
    <col min="2825" max="2825" width="14.28515625" style="17" bestFit="1" customWidth="1"/>
    <col min="2826" max="2826" width="10.85546875" style="17" bestFit="1" customWidth="1"/>
    <col min="2827" max="2827" width="5" style="17" bestFit="1" customWidth="1"/>
    <col min="2828" max="2828" width="8.85546875" style="17" customWidth="1"/>
    <col min="2829" max="2829" width="12.140625" style="17" bestFit="1" customWidth="1"/>
    <col min="2830" max="3074" width="8.85546875" style="17" customWidth="1"/>
    <col min="3075" max="3075" width="5" style="17" bestFit="1" customWidth="1"/>
    <col min="3076" max="3076" width="13.42578125" style="17" bestFit="1" customWidth="1"/>
    <col min="3077" max="3077" width="47.28515625" style="17" bestFit="1" customWidth="1"/>
    <col min="3078" max="3078" width="18.7109375" style="17" bestFit="1" customWidth="1"/>
    <col min="3079" max="3080" width="13.7109375" style="17" bestFit="1" customWidth="1"/>
    <col min="3081" max="3081" width="14.28515625" style="17" bestFit="1" customWidth="1"/>
    <col min="3082" max="3082" width="10.85546875" style="17" bestFit="1" customWidth="1"/>
    <col min="3083" max="3083" width="5" style="17" bestFit="1" customWidth="1"/>
    <col min="3084" max="3084" width="8.85546875" style="17" customWidth="1"/>
    <col min="3085" max="3085" width="12.140625" style="17" bestFit="1" customWidth="1"/>
    <col min="3086" max="3330" width="8.85546875" style="17" customWidth="1"/>
    <col min="3331" max="3331" width="5" style="17" bestFit="1" customWidth="1"/>
    <col min="3332" max="3332" width="13.42578125" style="17" bestFit="1" customWidth="1"/>
    <col min="3333" max="3333" width="47.28515625" style="17" bestFit="1" customWidth="1"/>
    <col min="3334" max="3334" width="18.7109375" style="17" bestFit="1" customWidth="1"/>
    <col min="3335" max="3336" width="13.7109375" style="17" bestFit="1" customWidth="1"/>
    <col min="3337" max="3337" width="14.28515625" style="17" bestFit="1" customWidth="1"/>
    <col min="3338" max="3338" width="10.85546875" style="17" bestFit="1" customWidth="1"/>
    <col min="3339" max="3339" width="5" style="17" bestFit="1" customWidth="1"/>
    <col min="3340" max="3340" width="8.85546875" style="17" customWidth="1"/>
    <col min="3341" max="3341" width="12.140625" style="17" bestFit="1" customWidth="1"/>
    <col min="3342" max="3586" width="8.85546875" style="17" customWidth="1"/>
    <col min="3587" max="3587" width="5" style="17" bestFit="1" customWidth="1"/>
    <col min="3588" max="3588" width="13.42578125" style="17" bestFit="1" customWidth="1"/>
    <col min="3589" max="3589" width="47.28515625" style="17" bestFit="1" customWidth="1"/>
    <col min="3590" max="3590" width="18.7109375" style="17" bestFit="1" customWidth="1"/>
    <col min="3591" max="3592" width="13.7109375" style="17" bestFit="1" customWidth="1"/>
    <col min="3593" max="3593" width="14.28515625" style="17" bestFit="1" customWidth="1"/>
    <col min="3594" max="3594" width="10.85546875" style="17" bestFit="1" customWidth="1"/>
    <col min="3595" max="3595" width="5" style="17" bestFit="1" customWidth="1"/>
    <col min="3596" max="3596" width="8.85546875" style="17" customWidth="1"/>
    <col min="3597" max="3597" width="12.140625" style="17" bestFit="1" customWidth="1"/>
    <col min="3598" max="3842" width="8.85546875" style="17" customWidth="1"/>
    <col min="3843" max="3843" width="5" style="17" bestFit="1" customWidth="1"/>
    <col min="3844" max="3844" width="13.42578125" style="17" bestFit="1" customWidth="1"/>
    <col min="3845" max="3845" width="47.28515625" style="17" bestFit="1" customWidth="1"/>
    <col min="3846" max="3846" width="18.7109375" style="17" bestFit="1" customWidth="1"/>
    <col min="3847" max="3848" width="13.7109375" style="17" bestFit="1" customWidth="1"/>
    <col min="3849" max="3849" width="14.28515625" style="17" bestFit="1" customWidth="1"/>
    <col min="3850" max="3850" width="10.85546875" style="17" bestFit="1" customWidth="1"/>
    <col min="3851" max="3851" width="5" style="17" bestFit="1" customWidth="1"/>
    <col min="3852" max="3852" width="8.85546875" style="17" customWidth="1"/>
    <col min="3853" max="3853" width="12.140625" style="17" bestFit="1" customWidth="1"/>
    <col min="3854" max="4098" width="8.85546875" style="17" customWidth="1"/>
    <col min="4099" max="4099" width="5" style="17" bestFit="1" customWidth="1"/>
    <col min="4100" max="4100" width="13.42578125" style="17" bestFit="1" customWidth="1"/>
    <col min="4101" max="4101" width="47.28515625" style="17" bestFit="1" customWidth="1"/>
    <col min="4102" max="4102" width="18.7109375" style="17" bestFit="1" customWidth="1"/>
    <col min="4103" max="4104" width="13.7109375" style="17" bestFit="1" customWidth="1"/>
    <col min="4105" max="4105" width="14.28515625" style="17" bestFit="1" customWidth="1"/>
    <col min="4106" max="4106" width="10.85546875" style="17" bestFit="1" customWidth="1"/>
    <col min="4107" max="4107" width="5" style="17" bestFit="1" customWidth="1"/>
    <col min="4108" max="4108" width="8.85546875" style="17" customWidth="1"/>
    <col min="4109" max="4109" width="12.140625" style="17" bestFit="1" customWidth="1"/>
    <col min="4110" max="4354" width="8.85546875" style="17" customWidth="1"/>
    <col min="4355" max="4355" width="5" style="17" bestFit="1" customWidth="1"/>
    <col min="4356" max="4356" width="13.42578125" style="17" bestFit="1" customWidth="1"/>
    <col min="4357" max="4357" width="47.28515625" style="17" bestFit="1" customWidth="1"/>
    <col min="4358" max="4358" width="18.7109375" style="17" bestFit="1" customWidth="1"/>
    <col min="4359" max="4360" width="13.7109375" style="17" bestFit="1" customWidth="1"/>
    <col min="4361" max="4361" width="14.28515625" style="17" bestFit="1" customWidth="1"/>
    <col min="4362" max="4362" width="10.85546875" style="17" bestFit="1" customWidth="1"/>
    <col min="4363" max="4363" width="5" style="17" bestFit="1" customWidth="1"/>
    <col min="4364" max="4364" width="8.85546875" style="17" customWidth="1"/>
    <col min="4365" max="4365" width="12.140625" style="17" bestFit="1" customWidth="1"/>
    <col min="4366" max="4610" width="8.85546875" style="17" customWidth="1"/>
    <col min="4611" max="4611" width="5" style="17" bestFit="1" customWidth="1"/>
    <col min="4612" max="4612" width="13.42578125" style="17" bestFit="1" customWidth="1"/>
    <col min="4613" max="4613" width="47.28515625" style="17" bestFit="1" customWidth="1"/>
    <col min="4614" max="4614" width="18.7109375" style="17" bestFit="1" customWidth="1"/>
    <col min="4615" max="4616" width="13.7109375" style="17" bestFit="1" customWidth="1"/>
    <col min="4617" max="4617" width="14.28515625" style="17" bestFit="1" customWidth="1"/>
    <col min="4618" max="4618" width="10.85546875" style="17" bestFit="1" customWidth="1"/>
    <col min="4619" max="4619" width="5" style="17" bestFit="1" customWidth="1"/>
    <col min="4620" max="4620" width="8.85546875" style="17" customWidth="1"/>
    <col min="4621" max="4621" width="12.140625" style="17" bestFit="1" customWidth="1"/>
    <col min="4622" max="4866" width="8.85546875" style="17" customWidth="1"/>
    <col min="4867" max="4867" width="5" style="17" bestFit="1" customWidth="1"/>
    <col min="4868" max="4868" width="13.42578125" style="17" bestFit="1" customWidth="1"/>
    <col min="4869" max="4869" width="47.28515625" style="17" bestFit="1" customWidth="1"/>
    <col min="4870" max="4870" width="18.7109375" style="17" bestFit="1" customWidth="1"/>
    <col min="4871" max="4872" width="13.7109375" style="17" bestFit="1" customWidth="1"/>
    <col min="4873" max="4873" width="14.28515625" style="17" bestFit="1" customWidth="1"/>
    <col min="4874" max="4874" width="10.85546875" style="17" bestFit="1" customWidth="1"/>
    <col min="4875" max="4875" width="5" style="17" bestFit="1" customWidth="1"/>
    <col min="4876" max="4876" width="8.85546875" style="17" customWidth="1"/>
    <col min="4877" max="4877" width="12.140625" style="17" bestFit="1" customWidth="1"/>
    <col min="4878" max="5122" width="8.85546875" style="17" customWidth="1"/>
    <col min="5123" max="5123" width="5" style="17" bestFit="1" customWidth="1"/>
    <col min="5124" max="5124" width="13.42578125" style="17" bestFit="1" customWidth="1"/>
    <col min="5125" max="5125" width="47.28515625" style="17" bestFit="1" customWidth="1"/>
    <col min="5126" max="5126" width="18.7109375" style="17" bestFit="1" customWidth="1"/>
    <col min="5127" max="5128" width="13.7109375" style="17" bestFit="1" customWidth="1"/>
    <col min="5129" max="5129" width="14.28515625" style="17" bestFit="1" customWidth="1"/>
    <col min="5130" max="5130" width="10.85546875" style="17" bestFit="1" customWidth="1"/>
    <col min="5131" max="5131" width="5" style="17" bestFit="1" customWidth="1"/>
    <col min="5132" max="5132" width="8.85546875" style="17" customWidth="1"/>
    <col min="5133" max="5133" width="12.140625" style="17" bestFit="1" customWidth="1"/>
    <col min="5134" max="5378" width="8.85546875" style="17" customWidth="1"/>
    <col min="5379" max="5379" width="5" style="17" bestFit="1" customWidth="1"/>
    <col min="5380" max="5380" width="13.42578125" style="17" bestFit="1" customWidth="1"/>
    <col min="5381" max="5381" width="47.28515625" style="17" bestFit="1" customWidth="1"/>
    <col min="5382" max="5382" width="18.7109375" style="17" bestFit="1" customWidth="1"/>
    <col min="5383" max="5384" width="13.7109375" style="17" bestFit="1" customWidth="1"/>
    <col min="5385" max="5385" width="14.28515625" style="17" bestFit="1" customWidth="1"/>
    <col min="5386" max="5386" width="10.85546875" style="17" bestFit="1" customWidth="1"/>
    <col min="5387" max="5387" width="5" style="17" bestFit="1" customWidth="1"/>
    <col min="5388" max="5388" width="8.85546875" style="17" customWidth="1"/>
    <col min="5389" max="5389" width="12.140625" style="17" bestFit="1" customWidth="1"/>
    <col min="5390" max="5634" width="8.85546875" style="17" customWidth="1"/>
    <col min="5635" max="5635" width="5" style="17" bestFit="1" customWidth="1"/>
    <col min="5636" max="5636" width="13.42578125" style="17" bestFit="1" customWidth="1"/>
    <col min="5637" max="5637" width="47.28515625" style="17" bestFit="1" customWidth="1"/>
    <col min="5638" max="5638" width="18.7109375" style="17" bestFit="1" customWidth="1"/>
    <col min="5639" max="5640" width="13.7109375" style="17" bestFit="1" customWidth="1"/>
    <col min="5641" max="5641" width="14.28515625" style="17" bestFit="1" customWidth="1"/>
    <col min="5642" max="5642" width="10.85546875" style="17" bestFit="1" customWidth="1"/>
    <col min="5643" max="5643" width="5" style="17" bestFit="1" customWidth="1"/>
    <col min="5644" max="5644" width="8.85546875" style="17" customWidth="1"/>
    <col min="5645" max="5645" width="12.140625" style="17" bestFit="1" customWidth="1"/>
    <col min="5646" max="5890" width="8.85546875" style="17" customWidth="1"/>
    <col min="5891" max="5891" width="5" style="17" bestFit="1" customWidth="1"/>
    <col min="5892" max="5892" width="13.42578125" style="17" bestFit="1" customWidth="1"/>
    <col min="5893" max="5893" width="47.28515625" style="17" bestFit="1" customWidth="1"/>
    <col min="5894" max="5894" width="18.7109375" style="17" bestFit="1" customWidth="1"/>
    <col min="5895" max="5896" width="13.7109375" style="17" bestFit="1" customWidth="1"/>
    <col min="5897" max="5897" width="14.28515625" style="17" bestFit="1" customWidth="1"/>
    <col min="5898" max="5898" width="10.85546875" style="17" bestFit="1" customWidth="1"/>
    <col min="5899" max="5899" width="5" style="17" bestFit="1" customWidth="1"/>
    <col min="5900" max="5900" width="8.85546875" style="17" customWidth="1"/>
    <col min="5901" max="5901" width="12.140625" style="17" bestFit="1" customWidth="1"/>
    <col min="5902" max="6146" width="8.85546875" style="17" customWidth="1"/>
    <col min="6147" max="6147" width="5" style="17" bestFit="1" customWidth="1"/>
    <col min="6148" max="6148" width="13.42578125" style="17" bestFit="1" customWidth="1"/>
    <col min="6149" max="6149" width="47.28515625" style="17" bestFit="1" customWidth="1"/>
    <col min="6150" max="6150" width="18.7109375" style="17" bestFit="1" customWidth="1"/>
    <col min="6151" max="6152" width="13.7109375" style="17" bestFit="1" customWidth="1"/>
    <col min="6153" max="6153" width="14.28515625" style="17" bestFit="1" customWidth="1"/>
    <col min="6154" max="6154" width="10.85546875" style="17" bestFit="1" customWidth="1"/>
    <col min="6155" max="6155" width="5" style="17" bestFit="1" customWidth="1"/>
    <col min="6156" max="6156" width="8.85546875" style="17" customWidth="1"/>
    <col min="6157" max="6157" width="12.140625" style="17" bestFit="1" customWidth="1"/>
    <col min="6158" max="6402" width="8.85546875" style="17" customWidth="1"/>
    <col min="6403" max="6403" width="5" style="17" bestFit="1" customWidth="1"/>
    <col min="6404" max="6404" width="13.42578125" style="17" bestFit="1" customWidth="1"/>
    <col min="6405" max="6405" width="47.28515625" style="17" bestFit="1" customWidth="1"/>
    <col min="6406" max="6406" width="18.7109375" style="17" bestFit="1" customWidth="1"/>
    <col min="6407" max="6408" width="13.7109375" style="17" bestFit="1" customWidth="1"/>
    <col min="6409" max="6409" width="14.28515625" style="17" bestFit="1" customWidth="1"/>
    <col min="6410" max="6410" width="10.85546875" style="17" bestFit="1" customWidth="1"/>
    <col min="6411" max="6411" width="5" style="17" bestFit="1" customWidth="1"/>
    <col min="6412" max="6412" width="8.85546875" style="17" customWidth="1"/>
    <col min="6413" max="6413" width="12.140625" style="17" bestFit="1" customWidth="1"/>
    <col min="6414" max="6658" width="8.85546875" style="17" customWidth="1"/>
    <col min="6659" max="6659" width="5" style="17" bestFit="1" customWidth="1"/>
    <col min="6660" max="6660" width="13.42578125" style="17" bestFit="1" customWidth="1"/>
    <col min="6661" max="6661" width="47.28515625" style="17" bestFit="1" customWidth="1"/>
    <col min="6662" max="6662" width="18.7109375" style="17" bestFit="1" customWidth="1"/>
    <col min="6663" max="6664" width="13.7109375" style="17" bestFit="1" customWidth="1"/>
    <col min="6665" max="6665" width="14.28515625" style="17" bestFit="1" customWidth="1"/>
    <col min="6666" max="6666" width="10.85546875" style="17" bestFit="1" customWidth="1"/>
    <col min="6667" max="6667" width="5" style="17" bestFit="1" customWidth="1"/>
    <col min="6668" max="6668" width="8.85546875" style="17" customWidth="1"/>
    <col min="6669" max="6669" width="12.140625" style="17" bestFit="1" customWidth="1"/>
    <col min="6670" max="6914" width="8.85546875" style="17" customWidth="1"/>
    <col min="6915" max="6915" width="5" style="17" bestFit="1" customWidth="1"/>
    <col min="6916" max="6916" width="13.42578125" style="17" bestFit="1" customWidth="1"/>
    <col min="6917" max="6917" width="47.28515625" style="17" bestFit="1" customWidth="1"/>
    <col min="6918" max="6918" width="18.7109375" style="17" bestFit="1" customWidth="1"/>
    <col min="6919" max="6920" width="13.7109375" style="17" bestFit="1" customWidth="1"/>
    <col min="6921" max="6921" width="14.28515625" style="17" bestFit="1" customWidth="1"/>
    <col min="6922" max="6922" width="10.85546875" style="17" bestFit="1" customWidth="1"/>
    <col min="6923" max="6923" width="5" style="17" bestFit="1" customWidth="1"/>
    <col min="6924" max="6924" width="8.85546875" style="17" customWidth="1"/>
    <col min="6925" max="6925" width="12.140625" style="17" bestFit="1" customWidth="1"/>
    <col min="6926" max="7170" width="8.85546875" style="17" customWidth="1"/>
    <col min="7171" max="7171" width="5" style="17" bestFit="1" customWidth="1"/>
    <col min="7172" max="7172" width="13.42578125" style="17" bestFit="1" customWidth="1"/>
    <col min="7173" max="7173" width="47.28515625" style="17" bestFit="1" customWidth="1"/>
    <col min="7174" max="7174" width="18.7109375" style="17" bestFit="1" customWidth="1"/>
    <col min="7175" max="7176" width="13.7109375" style="17" bestFit="1" customWidth="1"/>
    <col min="7177" max="7177" width="14.28515625" style="17" bestFit="1" customWidth="1"/>
    <col min="7178" max="7178" width="10.85546875" style="17" bestFit="1" customWidth="1"/>
    <col min="7179" max="7179" width="5" style="17" bestFit="1" customWidth="1"/>
    <col min="7180" max="7180" width="8.85546875" style="17" customWidth="1"/>
    <col min="7181" max="7181" width="12.140625" style="17" bestFit="1" customWidth="1"/>
    <col min="7182" max="7426" width="8.85546875" style="17" customWidth="1"/>
    <col min="7427" max="7427" width="5" style="17" bestFit="1" customWidth="1"/>
    <col min="7428" max="7428" width="13.42578125" style="17" bestFit="1" customWidth="1"/>
    <col min="7429" max="7429" width="47.28515625" style="17" bestFit="1" customWidth="1"/>
    <col min="7430" max="7430" width="18.7109375" style="17" bestFit="1" customWidth="1"/>
    <col min="7431" max="7432" width="13.7109375" style="17" bestFit="1" customWidth="1"/>
    <col min="7433" max="7433" width="14.28515625" style="17" bestFit="1" customWidth="1"/>
    <col min="7434" max="7434" width="10.85546875" style="17" bestFit="1" customWidth="1"/>
    <col min="7435" max="7435" width="5" style="17" bestFit="1" customWidth="1"/>
    <col min="7436" max="7436" width="8.85546875" style="17" customWidth="1"/>
    <col min="7437" max="7437" width="12.140625" style="17" bestFit="1" customWidth="1"/>
    <col min="7438" max="7682" width="8.85546875" style="17" customWidth="1"/>
    <col min="7683" max="7683" width="5" style="17" bestFit="1" customWidth="1"/>
    <col min="7684" max="7684" width="13.42578125" style="17" bestFit="1" customWidth="1"/>
    <col min="7685" max="7685" width="47.28515625" style="17" bestFit="1" customWidth="1"/>
    <col min="7686" max="7686" width="18.7109375" style="17" bestFit="1" customWidth="1"/>
    <col min="7687" max="7688" width="13.7109375" style="17" bestFit="1" customWidth="1"/>
    <col min="7689" max="7689" width="14.28515625" style="17" bestFit="1" customWidth="1"/>
    <col min="7690" max="7690" width="10.85546875" style="17" bestFit="1" customWidth="1"/>
    <col min="7691" max="7691" width="5" style="17" bestFit="1" customWidth="1"/>
    <col min="7692" max="7692" width="8.85546875" style="17" customWidth="1"/>
    <col min="7693" max="7693" width="12.140625" style="17" bestFit="1" customWidth="1"/>
    <col min="7694" max="7938" width="8.85546875" style="17" customWidth="1"/>
    <col min="7939" max="7939" width="5" style="17" bestFit="1" customWidth="1"/>
    <col min="7940" max="7940" width="13.42578125" style="17" bestFit="1" customWidth="1"/>
    <col min="7941" max="7941" width="47.28515625" style="17" bestFit="1" customWidth="1"/>
    <col min="7942" max="7942" width="18.7109375" style="17" bestFit="1" customWidth="1"/>
    <col min="7943" max="7944" width="13.7109375" style="17" bestFit="1" customWidth="1"/>
    <col min="7945" max="7945" width="14.28515625" style="17" bestFit="1" customWidth="1"/>
    <col min="7946" max="7946" width="10.85546875" style="17" bestFit="1" customWidth="1"/>
    <col min="7947" max="7947" width="5" style="17" bestFit="1" customWidth="1"/>
    <col min="7948" max="7948" width="8.85546875" style="17" customWidth="1"/>
    <col min="7949" max="7949" width="12.140625" style="17" bestFit="1" customWidth="1"/>
    <col min="7950" max="8194" width="8.85546875" style="17" customWidth="1"/>
    <col min="8195" max="8195" width="5" style="17" bestFit="1" customWidth="1"/>
    <col min="8196" max="8196" width="13.42578125" style="17" bestFit="1" customWidth="1"/>
    <col min="8197" max="8197" width="47.28515625" style="17" bestFit="1" customWidth="1"/>
    <col min="8198" max="8198" width="18.7109375" style="17" bestFit="1" customWidth="1"/>
    <col min="8199" max="8200" width="13.7109375" style="17" bestFit="1" customWidth="1"/>
    <col min="8201" max="8201" width="14.28515625" style="17" bestFit="1" customWidth="1"/>
    <col min="8202" max="8202" width="10.85546875" style="17" bestFit="1" customWidth="1"/>
    <col min="8203" max="8203" width="5" style="17" bestFit="1" customWidth="1"/>
    <col min="8204" max="8204" width="8.85546875" style="17" customWidth="1"/>
    <col min="8205" max="8205" width="12.140625" style="17" bestFit="1" customWidth="1"/>
    <col min="8206" max="8450" width="8.85546875" style="17" customWidth="1"/>
    <col min="8451" max="8451" width="5" style="17" bestFit="1" customWidth="1"/>
    <col min="8452" max="8452" width="13.42578125" style="17" bestFit="1" customWidth="1"/>
    <col min="8453" max="8453" width="47.28515625" style="17" bestFit="1" customWidth="1"/>
    <col min="8454" max="8454" width="18.7109375" style="17" bestFit="1" customWidth="1"/>
    <col min="8455" max="8456" width="13.7109375" style="17" bestFit="1" customWidth="1"/>
    <col min="8457" max="8457" width="14.28515625" style="17" bestFit="1" customWidth="1"/>
    <col min="8458" max="8458" width="10.85546875" style="17" bestFit="1" customWidth="1"/>
    <col min="8459" max="8459" width="5" style="17" bestFit="1" customWidth="1"/>
    <col min="8460" max="8460" width="8.85546875" style="17" customWidth="1"/>
    <col min="8461" max="8461" width="12.140625" style="17" bestFit="1" customWidth="1"/>
    <col min="8462" max="8706" width="8.85546875" style="17" customWidth="1"/>
    <col min="8707" max="8707" width="5" style="17" bestFit="1" customWidth="1"/>
    <col min="8708" max="8708" width="13.42578125" style="17" bestFit="1" customWidth="1"/>
    <col min="8709" max="8709" width="47.28515625" style="17" bestFit="1" customWidth="1"/>
    <col min="8710" max="8710" width="18.7109375" style="17" bestFit="1" customWidth="1"/>
    <col min="8711" max="8712" width="13.7109375" style="17" bestFit="1" customWidth="1"/>
    <col min="8713" max="8713" width="14.28515625" style="17" bestFit="1" customWidth="1"/>
    <col min="8714" max="8714" width="10.85546875" style="17" bestFit="1" customWidth="1"/>
    <col min="8715" max="8715" width="5" style="17" bestFit="1" customWidth="1"/>
    <col min="8716" max="8716" width="8.85546875" style="17" customWidth="1"/>
    <col min="8717" max="8717" width="12.140625" style="17" bestFit="1" customWidth="1"/>
    <col min="8718" max="8962" width="8.85546875" style="17" customWidth="1"/>
    <col min="8963" max="8963" width="5" style="17" bestFit="1" customWidth="1"/>
    <col min="8964" max="8964" width="13.42578125" style="17" bestFit="1" customWidth="1"/>
    <col min="8965" max="8965" width="47.28515625" style="17" bestFit="1" customWidth="1"/>
    <col min="8966" max="8966" width="18.7109375" style="17" bestFit="1" customWidth="1"/>
    <col min="8967" max="8968" width="13.7109375" style="17" bestFit="1" customWidth="1"/>
    <col min="8969" max="8969" width="14.28515625" style="17" bestFit="1" customWidth="1"/>
    <col min="8970" max="8970" width="10.85546875" style="17" bestFit="1" customWidth="1"/>
    <col min="8971" max="8971" width="5" style="17" bestFit="1" customWidth="1"/>
    <col min="8972" max="8972" width="8.85546875" style="17" customWidth="1"/>
    <col min="8973" max="8973" width="12.140625" style="17" bestFit="1" customWidth="1"/>
    <col min="8974" max="9218" width="8.85546875" style="17" customWidth="1"/>
    <col min="9219" max="9219" width="5" style="17" bestFit="1" customWidth="1"/>
    <col min="9220" max="9220" width="13.42578125" style="17" bestFit="1" customWidth="1"/>
    <col min="9221" max="9221" width="47.28515625" style="17" bestFit="1" customWidth="1"/>
    <col min="9222" max="9222" width="18.7109375" style="17" bestFit="1" customWidth="1"/>
    <col min="9223" max="9224" width="13.7109375" style="17" bestFit="1" customWidth="1"/>
    <col min="9225" max="9225" width="14.28515625" style="17" bestFit="1" customWidth="1"/>
    <col min="9226" max="9226" width="10.85546875" style="17" bestFit="1" customWidth="1"/>
    <col min="9227" max="9227" width="5" style="17" bestFit="1" customWidth="1"/>
    <col min="9228" max="9228" width="8.85546875" style="17" customWidth="1"/>
    <col min="9229" max="9229" width="12.140625" style="17" bestFit="1" customWidth="1"/>
    <col min="9230" max="9474" width="8.85546875" style="17" customWidth="1"/>
    <col min="9475" max="9475" width="5" style="17" bestFit="1" customWidth="1"/>
    <col min="9476" max="9476" width="13.42578125" style="17" bestFit="1" customWidth="1"/>
    <col min="9477" max="9477" width="47.28515625" style="17" bestFit="1" customWidth="1"/>
    <col min="9478" max="9478" width="18.7109375" style="17" bestFit="1" customWidth="1"/>
    <col min="9479" max="9480" width="13.7109375" style="17" bestFit="1" customWidth="1"/>
    <col min="9481" max="9481" width="14.28515625" style="17" bestFit="1" customWidth="1"/>
    <col min="9482" max="9482" width="10.85546875" style="17" bestFit="1" customWidth="1"/>
    <col min="9483" max="9483" width="5" style="17" bestFit="1" customWidth="1"/>
    <col min="9484" max="9484" width="8.85546875" style="17" customWidth="1"/>
    <col min="9485" max="9485" width="12.140625" style="17" bestFit="1" customWidth="1"/>
    <col min="9486" max="9730" width="8.85546875" style="17" customWidth="1"/>
    <col min="9731" max="9731" width="5" style="17" bestFit="1" customWidth="1"/>
    <col min="9732" max="9732" width="13.42578125" style="17" bestFit="1" customWidth="1"/>
    <col min="9733" max="9733" width="47.28515625" style="17" bestFit="1" customWidth="1"/>
    <col min="9734" max="9734" width="18.7109375" style="17" bestFit="1" customWidth="1"/>
    <col min="9735" max="9736" width="13.7109375" style="17" bestFit="1" customWidth="1"/>
    <col min="9737" max="9737" width="14.28515625" style="17" bestFit="1" customWidth="1"/>
    <col min="9738" max="9738" width="10.85546875" style="17" bestFit="1" customWidth="1"/>
    <col min="9739" max="9739" width="5" style="17" bestFit="1" customWidth="1"/>
    <col min="9740" max="9740" width="8.85546875" style="17" customWidth="1"/>
    <col min="9741" max="9741" width="12.140625" style="17" bestFit="1" customWidth="1"/>
    <col min="9742" max="9986" width="8.85546875" style="17" customWidth="1"/>
    <col min="9987" max="9987" width="5" style="17" bestFit="1" customWidth="1"/>
    <col min="9988" max="9988" width="13.42578125" style="17" bestFit="1" customWidth="1"/>
    <col min="9989" max="9989" width="47.28515625" style="17" bestFit="1" customWidth="1"/>
    <col min="9990" max="9990" width="18.7109375" style="17" bestFit="1" customWidth="1"/>
    <col min="9991" max="9992" width="13.7109375" style="17" bestFit="1" customWidth="1"/>
    <col min="9993" max="9993" width="14.28515625" style="17" bestFit="1" customWidth="1"/>
    <col min="9994" max="9994" width="10.85546875" style="17" bestFit="1" customWidth="1"/>
    <col min="9995" max="9995" width="5" style="17" bestFit="1" customWidth="1"/>
    <col min="9996" max="9996" width="8.85546875" style="17" customWidth="1"/>
    <col min="9997" max="9997" width="12.140625" style="17" bestFit="1" customWidth="1"/>
    <col min="9998" max="10242" width="8.85546875" style="17" customWidth="1"/>
    <col min="10243" max="10243" width="5" style="17" bestFit="1" customWidth="1"/>
    <col min="10244" max="10244" width="13.42578125" style="17" bestFit="1" customWidth="1"/>
    <col min="10245" max="10245" width="47.28515625" style="17" bestFit="1" customWidth="1"/>
    <col min="10246" max="10246" width="18.7109375" style="17" bestFit="1" customWidth="1"/>
    <col min="10247" max="10248" width="13.7109375" style="17" bestFit="1" customWidth="1"/>
    <col min="10249" max="10249" width="14.28515625" style="17" bestFit="1" customWidth="1"/>
    <col min="10250" max="10250" width="10.85546875" style="17" bestFit="1" customWidth="1"/>
    <col min="10251" max="10251" width="5" style="17" bestFit="1" customWidth="1"/>
    <col min="10252" max="10252" width="8.85546875" style="17" customWidth="1"/>
    <col min="10253" max="10253" width="12.140625" style="17" bestFit="1" customWidth="1"/>
    <col min="10254" max="10498" width="8.85546875" style="17" customWidth="1"/>
    <col min="10499" max="10499" width="5" style="17" bestFit="1" customWidth="1"/>
    <col min="10500" max="10500" width="13.42578125" style="17" bestFit="1" customWidth="1"/>
    <col min="10501" max="10501" width="47.28515625" style="17" bestFit="1" customWidth="1"/>
    <col min="10502" max="10502" width="18.7109375" style="17" bestFit="1" customWidth="1"/>
    <col min="10503" max="10504" width="13.7109375" style="17" bestFit="1" customWidth="1"/>
    <col min="10505" max="10505" width="14.28515625" style="17" bestFit="1" customWidth="1"/>
    <col min="10506" max="10506" width="10.85546875" style="17" bestFit="1" customWidth="1"/>
    <col min="10507" max="10507" width="5" style="17" bestFit="1" customWidth="1"/>
    <col min="10508" max="10508" width="8.85546875" style="17" customWidth="1"/>
    <col min="10509" max="10509" width="12.140625" style="17" bestFit="1" customWidth="1"/>
    <col min="10510" max="10754" width="8.85546875" style="17" customWidth="1"/>
    <col min="10755" max="10755" width="5" style="17" bestFit="1" customWidth="1"/>
    <col min="10756" max="10756" width="13.42578125" style="17" bestFit="1" customWidth="1"/>
    <col min="10757" max="10757" width="47.28515625" style="17" bestFit="1" customWidth="1"/>
    <col min="10758" max="10758" width="18.7109375" style="17" bestFit="1" customWidth="1"/>
    <col min="10759" max="10760" width="13.7109375" style="17" bestFit="1" customWidth="1"/>
    <col min="10761" max="10761" width="14.28515625" style="17" bestFit="1" customWidth="1"/>
    <col min="10762" max="10762" width="10.85546875" style="17" bestFit="1" customWidth="1"/>
    <col min="10763" max="10763" width="5" style="17" bestFit="1" customWidth="1"/>
    <col min="10764" max="10764" width="8.85546875" style="17" customWidth="1"/>
    <col min="10765" max="10765" width="12.140625" style="17" bestFit="1" customWidth="1"/>
    <col min="10766" max="11010" width="8.85546875" style="17" customWidth="1"/>
    <col min="11011" max="11011" width="5" style="17" bestFit="1" customWidth="1"/>
    <col min="11012" max="11012" width="13.42578125" style="17" bestFit="1" customWidth="1"/>
    <col min="11013" max="11013" width="47.28515625" style="17" bestFit="1" customWidth="1"/>
    <col min="11014" max="11014" width="18.7109375" style="17" bestFit="1" customWidth="1"/>
    <col min="11015" max="11016" width="13.7109375" style="17" bestFit="1" customWidth="1"/>
    <col min="11017" max="11017" width="14.28515625" style="17" bestFit="1" customWidth="1"/>
    <col min="11018" max="11018" width="10.85546875" style="17" bestFit="1" customWidth="1"/>
    <col min="11019" max="11019" width="5" style="17" bestFit="1" customWidth="1"/>
    <col min="11020" max="11020" width="8.85546875" style="17" customWidth="1"/>
    <col min="11021" max="11021" width="12.140625" style="17" bestFit="1" customWidth="1"/>
    <col min="11022" max="11266" width="8.85546875" style="17" customWidth="1"/>
    <col min="11267" max="11267" width="5" style="17" bestFit="1" customWidth="1"/>
    <col min="11268" max="11268" width="13.42578125" style="17" bestFit="1" customWidth="1"/>
    <col min="11269" max="11269" width="47.28515625" style="17" bestFit="1" customWidth="1"/>
    <col min="11270" max="11270" width="18.7109375" style="17" bestFit="1" customWidth="1"/>
    <col min="11271" max="11272" width="13.7109375" style="17" bestFit="1" customWidth="1"/>
    <col min="11273" max="11273" width="14.28515625" style="17" bestFit="1" customWidth="1"/>
    <col min="11274" max="11274" width="10.85546875" style="17" bestFit="1" customWidth="1"/>
    <col min="11275" max="11275" width="5" style="17" bestFit="1" customWidth="1"/>
    <col min="11276" max="11276" width="8.85546875" style="17" customWidth="1"/>
    <col min="11277" max="11277" width="12.140625" style="17" bestFit="1" customWidth="1"/>
    <col min="11278" max="11522" width="8.85546875" style="17" customWidth="1"/>
    <col min="11523" max="11523" width="5" style="17" bestFit="1" customWidth="1"/>
    <col min="11524" max="11524" width="13.42578125" style="17" bestFit="1" customWidth="1"/>
    <col min="11525" max="11525" width="47.28515625" style="17" bestFit="1" customWidth="1"/>
    <col min="11526" max="11526" width="18.7109375" style="17" bestFit="1" customWidth="1"/>
    <col min="11527" max="11528" width="13.7109375" style="17" bestFit="1" customWidth="1"/>
    <col min="11529" max="11529" width="14.28515625" style="17" bestFit="1" customWidth="1"/>
    <col min="11530" max="11530" width="10.85546875" style="17" bestFit="1" customWidth="1"/>
    <col min="11531" max="11531" width="5" style="17" bestFit="1" customWidth="1"/>
    <col min="11532" max="11532" width="8.85546875" style="17" customWidth="1"/>
    <col min="11533" max="11533" width="12.140625" style="17" bestFit="1" customWidth="1"/>
    <col min="11534" max="11778" width="8.85546875" style="17" customWidth="1"/>
    <col min="11779" max="11779" width="5" style="17" bestFit="1" customWidth="1"/>
    <col min="11780" max="11780" width="13.42578125" style="17" bestFit="1" customWidth="1"/>
    <col min="11781" max="11781" width="47.28515625" style="17" bestFit="1" customWidth="1"/>
    <col min="11782" max="11782" width="18.7109375" style="17" bestFit="1" customWidth="1"/>
    <col min="11783" max="11784" width="13.7109375" style="17" bestFit="1" customWidth="1"/>
    <col min="11785" max="11785" width="14.28515625" style="17" bestFit="1" customWidth="1"/>
    <col min="11786" max="11786" width="10.85546875" style="17" bestFit="1" customWidth="1"/>
    <col min="11787" max="11787" width="5" style="17" bestFit="1" customWidth="1"/>
    <col min="11788" max="11788" width="8.85546875" style="17" customWidth="1"/>
    <col min="11789" max="11789" width="12.140625" style="17" bestFit="1" customWidth="1"/>
    <col min="11790" max="12034" width="8.85546875" style="17" customWidth="1"/>
    <col min="12035" max="12035" width="5" style="17" bestFit="1" customWidth="1"/>
    <col min="12036" max="12036" width="13.42578125" style="17" bestFit="1" customWidth="1"/>
    <col min="12037" max="12037" width="47.28515625" style="17" bestFit="1" customWidth="1"/>
    <col min="12038" max="12038" width="18.7109375" style="17" bestFit="1" customWidth="1"/>
    <col min="12039" max="12040" width="13.7109375" style="17" bestFit="1" customWidth="1"/>
    <col min="12041" max="12041" width="14.28515625" style="17" bestFit="1" customWidth="1"/>
    <col min="12042" max="12042" width="10.85546875" style="17" bestFit="1" customWidth="1"/>
    <col min="12043" max="12043" width="5" style="17" bestFit="1" customWidth="1"/>
    <col min="12044" max="12044" width="8.85546875" style="17" customWidth="1"/>
    <col min="12045" max="12045" width="12.140625" style="17" bestFit="1" customWidth="1"/>
    <col min="12046" max="12290" width="8.85546875" style="17" customWidth="1"/>
    <col min="12291" max="12291" width="5" style="17" bestFit="1" customWidth="1"/>
    <col min="12292" max="12292" width="13.42578125" style="17" bestFit="1" customWidth="1"/>
    <col min="12293" max="12293" width="47.28515625" style="17" bestFit="1" customWidth="1"/>
    <col min="12294" max="12294" width="18.7109375" style="17" bestFit="1" customWidth="1"/>
    <col min="12295" max="12296" width="13.7109375" style="17" bestFit="1" customWidth="1"/>
    <col min="12297" max="12297" width="14.28515625" style="17" bestFit="1" customWidth="1"/>
    <col min="12298" max="12298" width="10.85546875" style="17" bestFit="1" customWidth="1"/>
    <col min="12299" max="12299" width="5" style="17" bestFit="1" customWidth="1"/>
    <col min="12300" max="12300" width="8.85546875" style="17" customWidth="1"/>
    <col min="12301" max="12301" width="12.140625" style="17" bestFit="1" customWidth="1"/>
    <col min="12302" max="12546" width="8.85546875" style="17" customWidth="1"/>
    <col min="12547" max="12547" width="5" style="17" bestFit="1" customWidth="1"/>
    <col min="12548" max="12548" width="13.42578125" style="17" bestFit="1" customWidth="1"/>
    <col min="12549" max="12549" width="47.28515625" style="17" bestFit="1" customWidth="1"/>
    <col min="12550" max="12550" width="18.7109375" style="17" bestFit="1" customWidth="1"/>
    <col min="12551" max="12552" width="13.7109375" style="17" bestFit="1" customWidth="1"/>
    <col min="12553" max="12553" width="14.28515625" style="17" bestFit="1" customWidth="1"/>
    <col min="12554" max="12554" width="10.85546875" style="17" bestFit="1" customWidth="1"/>
    <col min="12555" max="12555" width="5" style="17" bestFit="1" customWidth="1"/>
    <col min="12556" max="12556" width="8.85546875" style="17" customWidth="1"/>
    <col min="12557" max="12557" width="12.140625" style="17" bestFit="1" customWidth="1"/>
    <col min="12558" max="12802" width="8.85546875" style="17" customWidth="1"/>
    <col min="12803" max="12803" width="5" style="17" bestFit="1" customWidth="1"/>
    <col min="12804" max="12804" width="13.42578125" style="17" bestFit="1" customWidth="1"/>
    <col min="12805" max="12805" width="47.28515625" style="17" bestFit="1" customWidth="1"/>
    <col min="12806" max="12806" width="18.7109375" style="17" bestFit="1" customWidth="1"/>
    <col min="12807" max="12808" width="13.7109375" style="17" bestFit="1" customWidth="1"/>
    <col min="12809" max="12809" width="14.28515625" style="17" bestFit="1" customWidth="1"/>
    <col min="12810" max="12810" width="10.85546875" style="17" bestFit="1" customWidth="1"/>
    <col min="12811" max="12811" width="5" style="17" bestFit="1" customWidth="1"/>
    <col min="12812" max="12812" width="8.85546875" style="17" customWidth="1"/>
    <col min="12813" max="12813" width="12.140625" style="17" bestFit="1" customWidth="1"/>
    <col min="12814" max="13058" width="8.85546875" style="17" customWidth="1"/>
    <col min="13059" max="13059" width="5" style="17" bestFit="1" customWidth="1"/>
    <col min="13060" max="13060" width="13.42578125" style="17" bestFit="1" customWidth="1"/>
    <col min="13061" max="13061" width="47.28515625" style="17" bestFit="1" customWidth="1"/>
    <col min="13062" max="13062" width="18.7109375" style="17" bestFit="1" customWidth="1"/>
    <col min="13063" max="13064" width="13.7109375" style="17" bestFit="1" customWidth="1"/>
    <col min="13065" max="13065" width="14.28515625" style="17" bestFit="1" customWidth="1"/>
    <col min="13066" max="13066" width="10.85546875" style="17" bestFit="1" customWidth="1"/>
    <col min="13067" max="13067" width="5" style="17" bestFit="1" customWidth="1"/>
    <col min="13068" max="13068" width="8.85546875" style="17" customWidth="1"/>
    <col min="13069" max="13069" width="12.140625" style="17" bestFit="1" customWidth="1"/>
    <col min="13070" max="13314" width="8.85546875" style="17" customWidth="1"/>
    <col min="13315" max="13315" width="5" style="17" bestFit="1" customWidth="1"/>
    <col min="13316" max="13316" width="13.42578125" style="17" bestFit="1" customWidth="1"/>
    <col min="13317" max="13317" width="47.28515625" style="17" bestFit="1" customWidth="1"/>
    <col min="13318" max="13318" width="18.7109375" style="17" bestFit="1" customWidth="1"/>
    <col min="13319" max="13320" width="13.7109375" style="17" bestFit="1" customWidth="1"/>
    <col min="13321" max="13321" width="14.28515625" style="17" bestFit="1" customWidth="1"/>
    <col min="13322" max="13322" width="10.85546875" style="17" bestFit="1" customWidth="1"/>
    <col min="13323" max="13323" width="5" style="17" bestFit="1" customWidth="1"/>
    <col min="13324" max="13324" width="8.85546875" style="17" customWidth="1"/>
    <col min="13325" max="13325" width="12.140625" style="17" bestFit="1" customWidth="1"/>
    <col min="13326" max="13570" width="8.85546875" style="17" customWidth="1"/>
    <col min="13571" max="13571" width="5" style="17" bestFit="1" customWidth="1"/>
    <col min="13572" max="13572" width="13.42578125" style="17" bestFit="1" customWidth="1"/>
    <col min="13573" max="13573" width="47.28515625" style="17" bestFit="1" customWidth="1"/>
    <col min="13574" max="13574" width="18.7109375" style="17" bestFit="1" customWidth="1"/>
    <col min="13575" max="13576" width="13.7109375" style="17" bestFit="1" customWidth="1"/>
    <col min="13577" max="13577" width="14.28515625" style="17" bestFit="1" customWidth="1"/>
    <col min="13578" max="13578" width="10.85546875" style="17" bestFit="1" customWidth="1"/>
    <col min="13579" max="13579" width="5" style="17" bestFit="1" customWidth="1"/>
    <col min="13580" max="13580" width="8.85546875" style="17" customWidth="1"/>
    <col min="13581" max="13581" width="12.140625" style="17" bestFit="1" customWidth="1"/>
    <col min="13582" max="13826" width="8.85546875" style="17" customWidth="1"/>
    <col min="13827" max="13827" width="5" style="17" bestFit="1" customWidth="1"/>
    <col min="13828" max="13828" width="13.42578125" style="17" bestFit="1" customWidth="1"/>
    <col min="13829" max="13829" width="47.28515625" style="17" bestFit="1" customWidth="1"/>
    <col min="13830" max="13830" width="18.7109375" style="17" bestFit="1" customWidth="1"/>
    <col min="13831" max="13832" width="13.7109375" style="17" bestFit="1" customWidth="1"/>
    <col min="13833" max="13833" width="14.28515625" style="17" bestFit="1" customWidth="1"/>
    <col min="13834" max="13834" width="10.85546875" style="17" bestFit="1" customWidth="1"/>
    <col min="13835" max="13835" width="5" style="17" bestFit="1" customWidth="1"/>
    <col min="13836" max="13836" width="8.85546875" style="17" customWidth="1"/>
    <col min="13837" max="13837" width="12.140625" style="17" bestFit="1" customWidth="1"/>
    <col min="13838" max="14082" width="8.85546875" style="17" customWidth="1"/>
    <col min="14083" max="14083" width="5" style="17" bestFit="1" customWidth="1"/>
    <col min="14084" max="14084" width="13.42578125" style="17" bestFit="1" customWidth="1"/>
    <col min="14085" max="14085" width="47.28515625" style="17" bestFit="1" customWidth="1"/>
    <col min="14086" max="14086" width="18.7109375" style="17" bestFit="1" customWidth="1"/>
    <col min="14087" max="14088" width="13.7109375" style="17" bestFit="1" customWidth="1"/>
    <col min="14089" max="14089" width="14.28515625" style="17" bestFit="1" customWidth="1"/>
    <col min="14090" max="14090" width="10.85546875" style="17" bestFit="1" customWidth="1"/>
    <col min="14091" max="14091" width="5" style="17" bestFit="1" customWidth="1"/>
    <col min="14092" max="14092" width="8.85546875" style="17" customWidth="1"/>
    <col min="14093" max="14093" width="12.140625" style="17" bestFit="1" customWidth="1"/>
    <col min="14094" max="14338" width="8.85546875" style="17" customWidth="1"/>
    <col min="14339" max="14339" width="5" style="17" bestFit="1" customWidth="1"/>
    <col min="14340" max="14340" width="13.42578125" style="17" bestFit="1" customWidth="1"/>
    <col min="14341" max="14341" width="47.28515625" style="17" bestFit="1" customWidth="1"/>
    <col min="14342" max="14342" width="18.7109375" style="17" bestFit="1" customWidth="1"/>
    <col min="14343" max="14344" width="13.7109375" style="17" bestFit="1" customWidth="1"/>
    <col min="14345" max="14345" width="14.28515625" style="17" bestFit="1" customWidth="1"/>
    <col min="14346" max="14346" width="10.85546875" style="17" bestFit="1" customWidth="1"/>
    <col min="14347" max="14347" width="5" style="17" bestFit="1" customWidth="1"/>
    <col min="14348" max="14348" width="8.85546875" style="17" customWidth="1"/>
    <col min="14349" max="14349" width="12.140625" style="17" bestFit="1" customWidth="1"/>
    <col min="14350" max="14594" width="8.85546875" style="17" customWidth="1"/>
    <col min="14595" max="14595" width="5" style="17" bestFit="1" customWidth="1"/>
    <col min="14596" max="14596" width="13.42578125" style="17" bestFit="1" customWidth="1"/>
    <col min="14597" max="14597" width="47.28515625" style="17" bestFit="1" customWidth="1"/>
    <col min="14598" max="14598" width="18.7109375" style="17" bestFit="1" customWidth="1"/>
    <col min="14599" max="14600" width="13.7109375" style="17" bestFit="1" customWidth="1"/>
    <col min="14601" max="14601" width="14.28515625" style="17" bestFit="1" customWidth="1"/>
    <col min="14602" max="14602" width="10.85546875" style="17" bestFit="1" customWidth="1"/>
    <col min="14603" max="14603" width="5" style="17" bestFit="1" customWidth="1"/>
    <col min="14604" max="14604" width="8.85546875" style="17" customWidth="1"/>
    <col min="14605" max="14605" width="12.140625" style="17" bestFit="1" customWidth="1"/>
    <col min="14606" max="14850" width="8.85546875" style="17" customWidth="1"/>
    <col min="14851" max="14851" width="5" style="17" bestFit="1" customWidth="1"/>
    <col min="14852" max="14852" width="13.42578125" style="17" bestFit="1" customWidth="1"/>
    <col min="14853" max="14853" width="47.28515625" style="17" bestFit="1" customWidth="1"/>
    <col min="14854" max="14854" width="18.7109375" style="17" bestFit="1" customWidth="1"/>
    <col min="14855" max="14856" width="13.7109375" style="17" bestFit="1" customWidth="1"/>
    <col min="14857" max="14857" width="14.28515625" style="17" bestFit="1" customWidth="1"/>
    <col min="14858" max="14858" width="10.85546875" style="17" bestFit="1" customWidth="1"/>
    <col min="14859" max="14859" width="5" style="17" bestFit="1" customWidth="1"/>
    <col min="14860" max="14860" width="8.85546875" style="17" customWidth="1"/>
    <col min="14861" max="14861" width="12.140625" style="17" bestFit="1" customWidth="1"/>
    <col min="14862" max="15106" width="8.85546875" style="17" customWidth="1"/>
    <col min="15107" max="15107" width="5" style="17" bestFit="1" customWidth="1"/>
    <col min="15108" max="15108" width="13.42578125" style="17" bestFit="1" customWidth="1"/>
    <col min="15109" max="15109" width="47.28515625" style="17" bestFit="1" customWidth="1"/>
    <col min="15110" max="15110" width="18.7109375" style="17" bestFit="1" customWidth="1"/>
    <col min="15111" max="15112" width="13.7109375" style="17" bestFit="1" customWidth="1"/>
    <col min="15113" max="15113" width="14.28515625" style="17" bestFit="1" customWidth="1"/>
    <col min="15114" max="15114" width="10.85546875" style="17" bestFit="1" customWidth="1"/>
    <col min="15115" max="15115" width="5" style="17" bestFit="1" customWidth="1"/>
    <col min="15116" max="15116" width="8.85546875" style="17" customWidth="1"/>
    <col min="15117" max="15117" width="12.140625" style="17" bestFit="1" customWidth="1"/>
    <col min="15118" max="15362" width="8.85546875" style="17" customWidth="1"/>
    <col min="15363" max="15363" width="5" style="17" bestFit="1" customWidth="1"/>
    <col min="15364" max="15364" width="13.42578125" style="17" bestFit="1" customWidth="1"/>
    <col min="15365" max="15365" width="47.28515625" style="17" bestFit="1" customWidth="1"/>
    <col min="15366" max="15366" width="18.7109375" style="17" bestFit="1" customWidth="1"/>
    <col min="15367" max="15368" width="13.7109375" style="17" bestFit="1" customWidth="1"/>
    <col min="15369" max="15369" width="14.28515625" style="17" bestFit="1" customWidth="1"/>
    <col min="15370" max="15370" width="10.85546875" style="17" bestFit="1" customWidth="1"/>
    <col min="15371" max="15371" width="5" style="17" bestFit="1" customWidth="1"/>
    <col min="15372" max="15372" width="8.85546875" style="17" customWidth="1"/>
    <col min="15373" max="15373" width="12.140625" style="17" bestFit="1" customWidth="1"/>
    <col min="15374" max="15618" width="8.85546875" style="17" customWidth="1"/>
    <col min="15619" max="15619" width="5" style="17" bestFit="1" customWidth="1"/>
    <col min="15620" max="15620" width="13.42578125" style="17" bestFit="1" customWidth="1"/>
    <col min="15621" max="15621" width="47.28515625" style="17" bestFit="1" customWidth="1"/>
    <col min="15622" max="15622" width="18.7109375" style="17" bestFit="1" customWidth="1"/>
    <col min="15623" max="15624" width="13.7109375" style="17" bestFit="1" customWidth="1"/>
    <col min="15625" max="15625" width="14.28515625" style="17" bestFit="1" customWidth="1"/>
    <col min="15626" max="15626" width="10.85546875" style="17" bestFit="1" customWidth="1"/>
    <col min="15627" max="15627" width="5" style="17" bestFit="1" customWidth="1"/>
    <col min="15628" max="15628" width="8.85546875" style="17" customWidth="1"/>
    <col min="15629" max="15629" width="12.140625" style="17" bestFit="1" customWidth="1"/>
    <col min="15630" max="15874" width="8.85546875" style="17" customWidth="1"/>
    <col min="15875" max="15875" width="5" style="17" bestFit="1" customWidth="1"/>
    <col min="15876" max="15876" width="13.42578125" style="17" bestFit="1" customWidth="1"/>
    <col min="15877" max="15877" width="47.28515625" style="17" bestFit="1" customWidth="1"/>
    <col min="15878" max="15878" width="18.7109375" style="17" bestFit="1" customWidth="1"/>
    <col min="15879" max="15880" width="13.7109375" style="17" bestFit="1" customWidth="1"/>
    <col min="15881" max="15881" width="14.28515625" style="17" bestFit="1" customWidth="1"/>
    <col min="15882" max="15882" width="10.85546875" style="17" bestFit="1" customWidth="1"/>
    <col min="15883" max="15883" width="5" style="17" bestFit="1" customWidth="1"/>
    <col min="15884" max="15884" width="8.85546875" style="17" customWidth="1"/>
    <col min="15885" max="15885" width="12.140625" style="17" bestFit="1" customWidth="1"/>
    <col min="15886" max="16130" width="8.85546875" style="17" customWidth="1"/>
    <col min="16131" max="16131" width="5" style="17" bestFit="1" customWidth="1"/>
    <col min="16132" max="16132" width="13.42578125" style="17" bestFit="1" customWidth="1"/>
    <col min="16133" max="16133" width="47.28515625" style="17" bestFit="1" customWidth="1"/>
    <col min="16134" max="16134" width="18.7109375" style="17" bestFit="1" customWidth="1"/>
    <col min="16135" max="16136" width="13.7109375" style="17" bestFit="1" customWidth="1"/>
    <col min="16137" max="16137" width="14.28515625" style="17" bestFit="1" customWidth="1"/>
    <col min="16138" max="16138" width="10.85546875" style="17" bestFit="1" customWidth="1"/>
    <col min="16139" max="16139" width="5" style="17" bestFit="1" customWidth="1"/>
    <col min="16140" max="16140" width="8.85546875" style="17" customWidth="1"/>
    <col min="16141" max="16141" width="12.140625" style="17" bestFit="1" customWidth="1"/>
    <col min="16142" max="16384" width="8.85546875" style="17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</sheetData>
  <pageMargins left="0.75" right="0.75" top="1" bottom="1" header="0.5" footer="0.5"/>
  <pageSetup orientation="portrait" horizontalDpi="300" verticalDpi="300" copies="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0893F-5A5D-4A4B-97E7-2E8672B3247B}">
  <sheetPr codeName="Hoja3"/>
  <dimension ref="B1:AF1"/>
  <sheetViews>
    <sheetView topLeftCell="M1" zoomScale="80" zoomScaleNormal="80" workbookViewId="0">
      <pane ySplit="1" topLeftCell="A149" activePane="bottomLeft" state="frozen"/>
      <selection activeCell="N1" sqref="N1"/>
      <selection pane="bottomLeft" activeCell="N1" sqref="N1"/>
    </sheetView>
  </sheetViews>
  <sheetFormatPr baseColWidth="10" defaultColWidth="8.85546875" defaultRowHeight="12.75"/>
  <cols>
    <col min="1" max="1" width="5" bestFit="1" customWidth="1"/>
    <col min="2" max="2" width="11.28515625" customWidth="1"/>
    <col min="3" max="3" width="72.140625" customWidth="1"/>
    <col min="4" max="4" width="18.7109375" hidden="1" customWidth="1"/>
    <col min="5" max="5" width="15" style="79" bestFit="1" customWidth="1"/>
    <col min="6" max="6" width="14.28515625" style="79" customWidth="1"/>
    <col min="7" max="7" width="15.85546875" style="79" bestFit="1" customWidth="1"/>
    <col min="8" max="8" width="10.85546875" customWidth="1"/>
    <col min="9" max="9" width="8.7109375" customWidth="1"/>
    <col min="10" max="10" width="14.42578125" customWidth="1"/>
    <col min="11" max="11" width="30.42578125" customWidth="1"/>
    <col min="12" max="12" width="13.7109375" bestFit="1" customWidth="1"/>
    <col min="13" max="13" width="13.28515625" bestFit="1" customWidth="1"/>
    <col min="14" max="14" width="16.28515625" customWidth="1"/>
    <col min="15" max="15" width="13.5703125" customWidth="1"/>
    <col min="16" max="16" width="18.7109375" bestFit="1" customWidth="1"/>
    <col min="17" max="17" width="13.85546875" customWidth="1"/>
    <col min="18" max="18" width="13.7109375" bestFit="1" customWidth="1"/>
    <col min="19" max="19" width="16.7109375" bestFit="1" customWidth="1"/>
    <col min="20" max="20" width="14.140625" customWidth="1"/>
    <col min="21" max="21" width="15.7109375" customWidth="1"/>
    <col min="22" max="22" width="15.28515625" bestFit="1" customWidth="1"/>
    <col min="23" max="23" width="11.5703125" customWidth="1"/>
    <col min="24" max="24" width="12.7109375" customWidth="1"/>
    <col min="25" max="25" width="12.42578125" customWidth="1"/>
    <col min="26" max="26" width="14.140625" customWidth="1"/>
    <col min="27" max="27" width="12.85546875" customWidth="1"/>
    <col min="28" max="29" width="12.42578125" customWidth="1"/>
    <col min="30" max="30" width="10.28515625" customWidth="1"/>
    <col min="258" max="258" width="5" bestFit="1" customWidth="1"/>
    <col min="259" max="259" width="13.42578125" bestFit="1" customWidth="1"/>
    <col min="260" max="260" width="47.28515625" bestFit="1" customWidth="1"/>
    <col min="261" max="261" width="18.7109375" bestFit="1" customWidth="1"/>
    <col min="262" max="263" width="13.7109375" bestFit="1" customWidth="1"/>
    <col min="264" max="264" width="14.28515625" bestFit="1" customWidth="1"/>
    <col min="265" max="265" width="10.85546875" bestFit="1" customWidth="1"/>
    <col min="266" max="266" width="5" bestFit="1" customWidth="1"/>
    <col min="267" max="267" width="9.7109375" bestFit="1" customWidth="1"/>
    <col min="514" max="514" width="5" bestFit="1" customWidth="1"/>
    <col min="515" max="515" width="13.42578125" bestFit="1" customWidth="1"/>
    <col min="516" max="516" width="47.28515625" bestFit="1" customWidth="1"/>
    <col min="517" max="517" width="18.7109375" bestFit="1" customWidth="1"/>
    <col min="518" max="519" width="13.7109375" bestFit="1" customWidth="1"/>
    <col min="520" max="520" width="14.28515625" bestFit="1" customWidth="1"/>
    <col min="521" max="521" width="10.85546875" bestFit="1" customWidth="1"/>
    <col min="522" max="522" width="5" bestFit="1" customWidth="1"/>
    <col min="523" max="523" width="9.7109375" bestFit="1" customWidth="1"/>
    <col min="770" max="770" width="5" bestFit="1" customWidth="1"/>
    <col min="771" max="771" width="13.42578125" bestFit="1" customWidth="1"/>
    <col min="772" max="772" width="47.28515625" bestFit="1" customWidth="1"/>
    <col min="773" max="773" width="18.7109375" bestFit="1" customWidth="1"/>
    <col min="774" max="775" width="13.7109375" bestFit="1" customWidth="1"/>
    <col min="776" max="776" width="14.28515625" bestFit="1" customWidth="1"/>
    <col min="777" max="777" width="10.85546875" bestFit="1" customWidth="1"/>
    <col min="778" max="778" width="5" bestFit="1" customWidth="1"/>
    <col min="779" max="779" width="9.7109375" bestFit="1" customWidth="1"/>
    <col min="1026" max="1026" width="5" bestFit="1" customWidth="1"/>
    <col min="1027" max="1027" width="13.42578125" bestFit="1" customWidth="1"/>
    <col min="1028" max="1028" width="47.28515625" bestFit="1" customWidth="1"/>
    <col min="1029" max="1029" width="18.7109375" bestFit="1" customWidth="1"/>
    <col min="1030" max="1031" width="13.7109375" bestFit="1" customWidth="1"/>
    <col min="1032" max="1032" width="14.28515625" bestFit="1" customWidth="1"/>
    <col min="1033" max="1033" width="10.85546875" bestFit="1" customWidth="1"/>
    <col min="1034" max="1034" width="5" bestFit="1" customWidth="1"/>
    <col min="1035" max="1035" width="9.7109375" bestFit="1" customWidth="1"/>
    <col min="1282" max="1282" width="5" bestFit="1" customWidth="1"/>
    <col min="1283" max="1283" width="13.42578125" bestFit="1" customWidth="1"/>
    <col min="1284" max="1284" width="47.28515625" bestFit="1" customWidth="1"/>
    <col min="1285" max="1285" width="18.7109375" bestFit="1" customWidth="1"/>
    <col min="1286" max="1287" width="13.7109375" bestFit="1" customWidth="1"/>
    <col min="1288" max="1288" width="14.28515625" bestFit="1" customWidth="1"/>
    <col min="1289" max="1289" width="10.85546875" bestFit="1" customWidth="1"/>
    <col min="1290" max="1290" width="5" bestFit="1" customWidth="1"/>
    <col min="1291" max="1291" width="9.7109375" bestFit="1" customWidth="1"/>
    <col min="1538" max="1538" width="5" bestFit="1" customWidth="1"/>
    <col min="1539" max="1539" width="13.42578125" bestFit="1" customWidth="1"/>
    <col min="1540" max="1540" width="47.28515625" bestFit="1" customWidth="1"/>
    <col min="1541" max="1541" width="18.7109375" bestFit="1" customWidth="1"/>
    <col min="1542" max="1543" width="13.7109375" bestFit="1" customWidth="1"/>
    <col min="1544" max="1544" width="14.28515625" bestFit="1" customWidth="1"/>
    <col min="1545" max="1545" width="10.85546875" bestFit="1" customWidth="1"/>
    <col min="1546" max="1546" width="5" bestFit="1" customWidth="1"/>
    <col min="1547" max="1547" width="9.7109375" bestFit="1" customWidth="1"/>
    <col min="1794" max="1794" width="5" bestFit="1" customWidth="1"/>
    <col min="1795" max="1795" width="13.42578125" bestFit="1" customWidth="1"/>
    <col min="1796" max="1796" width="47.28515625" bestFit="1" customWidth="1"/>
    <col min="1797" max="1797" width="18.7109375" bestFit="1" customWidth="1"/>
    <col min="1798" max="1799" width="13.7109375" bestFit="1" customWidth="1"/>
    <col min="1800" max="1800" width="14.28515625" bestFit="1" customWidth="1"/>
    <col min="1801" max="1801" width="10.85546875" bestFit="1" customWidth="1"/>
    <col min="1802" max="1802" width="5" bestFit="1" customWidth="1"/>
    <col min="1803" max="1803" width="9.7109375" bestFit="1" customWidth="1"/>
    <col min="2050" max="2050" width="5" bestFit="1" customWidth="1"/>
    <col min="2051" max="2051" width="13.42578125" bestFit="1" customWidth="1"/>
    <col min="2052" max="2052" width="47.28515625" bestFit="1" customWidth="1"/>
    <col min="2053" max="2053" width="18.7109375" bestFit="1" customWidth="1"/>
    <col min="2054" max="2055" width="13.7109375" bestFit="1" customWidth="1"/>
    <col min="2056" max="2056" width="14.28515625" bestFit="1" customWidth="1"/>
    <col min="2057" max="2057" width="10.85546875" bestFit="1" customWidth="1"/>
    <col min="2058" max="2058" width="5" bestFit="1" customWidth="1"/>
    <col min="2059" max="2059" width="9.7109375" bestFit="1" customWidth="1"/>
    <col min="2306" max="2306" width="5" bestFit="1" customWidth="1"/>
    <col min="2307" max="2307" width="13.42578125" bestFit="1" customWidth="1"/>
    <col min="2308" max="2308" width="47.28515625" bestFit="1" customWidth="1"/>
    <col min="2309" max="2309" width="18.7109375" bestFit="1" customWidth="1"/>
    <col min="2310" max="2311" width="13.7109375" bestFit="1" customWidth="1"/>
    <col min="2312" max="2312" width="14.28515625" bestFit="1" customWidth="1"/>
    <col min="2313" max="2313" width="10.85546875" bestFit="1" customWidth="1"/>
    <col min="2314" max="2314" width="5" bestFit="1" customWidth="1"/>
    <col min="2315" max="2315" width="9.7109375" bestFit="1" customWidth="1"/>
    <col min="2562" max="2562" width="5" bestFit="1" customWidth="1"/>
    <col min="2563" max="2563" width="13.42578125" bestFit="1" customWidth="1"/>
    <col min="2564" max="2564" width="47.28515625" bestFit="1" customWidth="1"/>
    <col min="2565" max="2565" width="18.7109375" bestFit="1" customWidth="1"/>
    <col min="2566" max="2567" width="13.7109375" bestFit="1" customWidth="1"/>
    <col min="2568" max="2568" width="14.28515625" bestFit="1" customWidth="1"/>
    <col min="2569" max="2569" width="10.85546875" bestFit="1" customWidth="1"/>
    <col min="2570" max="2570" width="5" bestFit="1" customWidth="1"/>
    <col min="2571" max="2571" width="9.7109375" bestFit="1" customWidth="1"/>
    <col min="2818" max="2818" width="5" bestFit="1" customWidth="1"/>
    <col min="2819" max="2819" width="13.42578125" bestFit="1" customWidth="1"/>
    <col min="2820" max="2820" width="47.28515625" bestFit="1" customWidth="1"/>
    <col min="2821" max="2821" width="18.7109375" bestFit="1" customWidth="1"/>
    <col min="2822" max="2823" width="13.7109375" bestFit="1" customWidth="1"/>
    <col min="2824" max="2824" width="14.28515625" bestFit="1" customWidth="1"/>
    <col min="2825" max="2825" width="10.85546875" bestFit="1" customWidth="1"/>
    <col min="2826" max="2826" width="5" bestFit="1" customWidth="1"/>
    <col min="2827" max="2827" width="9.7109375" bestFit="1" customWidth="1"/>
    <col min="3074" max="3074" width="5" bestFit="1" customWidth="1"/>
    <col min="3075" max="3075" width="13.42578125" bestFit="1" customWidth="1"/>
    <col min="3076" max="3076" width="47.28515625" bestFit="1" customWidth="1"/>
    <col min="3077" max="3077" width="18.7109375" bestFit="1" customWidth="1"/>
    <col min="3078" max="3079" width="13.7109375" bestFit="1" customWidth="1"/>
    <col min="3080" max="3080" width="14.28515625" bestFit="1" customWidth="1"/>
    <col min="3081" max="3081" width="10.85546875" bestFit="1" customWidth="1"/>
    <col min="3082" max="3082" width="5" bestFit="1" customWidth="1"/>
    <col min="3083" max="3083" width="9.7109375" bestFit="1" customWidth="1"/>
    <col min="3330" max="3330" width="5" bestFit="1" customWidth="1"/>
    <col min="3331" max="3331" width="13.42578125" bestFit="1" customWidth="1"/>
    <col min="3332" max="3332" width="47.28515625" bestFit="1" customWidth="1"/>
    <col min="3333" max="3333" width="18.7109375" bestFit="1" customWidth="1"/>
    <col min="3334" max="3335" width="13.7109375" bestFit="1" customWidth="1"/>
    <col min="3336" max="3336" width="14.28515625" bestFit="1" customWidth="1"/>
    <col min="3337" max="3337" width="10.85546875" bestFit="1" customWidth="1"/>
    <col min="3338" max="3338" width="5" bestFit="1" customWidth="1"/>
    <col min="3339" max="3339" width="9.7109375" bestFit="1" customWidth="1"/>
    <col min="3586" max="3586" width="5" bestFit="1" customWidth="1"/>
    <col min="3587" max="3587" width="13.42578125" bestFit="1" customWidth="1"/>
    <col min="3588" max="3588" width="47.28515625" bestFit="1" customWidth="1"/>
    <col min="3589" max="3589" width="18.7109375" bestFit="1" customWidth="1"/>
    <col min="3590" max="3591" width="13.7109375" bestFit="1" customWidth="1"/>
    <col min="3592" max="3592" width="14.28515625" bestFit="1" customWidth="1"/>
    <col min="3593" max="3593" width="10.85546875" bestFit="1" customWidth="1"/>
    <col min="3594" max="3594" width="5" bestFit="1" customWidth="1"/>
    <col min="3595" max="3595" width="9.7109375" bestFit="1" customWidth="1"/>
    <col min="3842" max="3842" width="5" bestFit="1" customWidth="1"/>
    <col min="3843" max="3843" width="13.42578125" bestFit="1" customWidth="1"/>
    <col min="3844" max="3844" width="47.28515625" bestFit="1" customWidth="1"/>
    <col min="3845" max="3845" width="18.7109375" bestFit="1" customWidth="1"/>
    <col min="3846" max="3847" width="13.7109375" bestFit="1" customWidth="1"/>
    <col min="3848" max="3848" width="14.28515625" bestFit="1" customWidth="1"/>
    <col min="3849" max="3849" width="10.85546875" bestFit="1" customWidth="1"/>
    <col min="3850" max="3850" width="5" bestFit="1" customWidth="1"/>
    <col min="3851" max="3851" width="9.7109375" bestFit="1" customWidth="1"/>
    <col min="4098" max="4098" width="5" bestFit="1" customWidth="1"/>
    <col min="4099" max="4099" width="13.42578125" bestFit="1" customWidth="1"/>
    <col min="4100" max="4100" width="47.28515625" bestFit="1" customWidth="1"/>
    <col min="4101" max="4101" width="18.7109375" bestFit="1" customWidth="1"/>
    <col min="4102" max="4103" width="13.7109375" bestFit="1" customWidth="1"/>
    <col min="4104" max="4104" width="14.28515625" bestFit="1" customWidth="1"/>
    <col min="4105" max="4105" width="10.85546875" bestFit="1" customWidth="1"/>
    <col min="4106" max="4106" width="5" bestFit="1" customWidth="1"/>
    <col min="4107" max="4107" width="9.7109375" bestFit="1" customWidth="1"/>
    <col min="4354" max="4354" width="5" bestFit="1" customWidth="1"/>
    <col min="4355" max="4355" width="13.42578125" bestFit="1" customWidth="1"/>
    <col min="4356" max="4356" width="47.28515625" bestFit="1" customWidth="1"/>
    <col min="4357" max="4357" width="18.7109375" bestFit="1" customWidth="1"/>
    <col min="4358" max="4359" width="13.7109375" bestFit="1" customWidth="1"/>
    <col min="4360" max="4360" width="14.28515625" bestFit="1" customWidth="1"/>
    <col min="4361" max="4361" width="10.85546875" bestFit="1" customWidth="1"/>
    <col min="4362" max="4362" width="5" bestFit="1" customWidth="1"/>
    <col min="4363" max="4363" width="9.7109375" bestFit="1" customWidth="1"/>
    <col min="4610" max="4610" width="5" bestFit="1" customWidth="1"/>
    <col min="4611" max="4611" width="13.42578125" bestFit="1" customWidth="1"/>
    <col min="4612" max="4612" width="47.28515625" bestFit="1" customWidth="1"/>
    <col min="4613" max="4613" width="18.7109375" bestFit="1" customWidth="1"/>
    <col min="4614" max="4615" width="13.7109375" bestFit="1" customWidth="1"/>
    <col min="4616" max="4616" width="14.28515625" bestFit="1" customWidth="1"/>
    <col min="4617" max="4617" width="10.85546875" bestFit="1" customWidth="1"/>
    <col min="4618" max="4618" width="5" bestFit="1" customWidth="1"/>
    <col min="4619" max="4619" width="9.7109375" bestFit="1" customWidth="1"/>
    <col min="4866" max="4866" width="5" bestFit="1" customWidth="1"/>
    <col min="4867" max="4867" width="13.42578125" bestFit="1" customWidth="1"/>
    <col min="4868" max="4868" width="47.28515625" bestFit="1" customWidth="1"/>
    <col min="4869" max="4869" width="18.7109375" bestFit="1" customWidth="1"/>
    <col min="4870" max="4871" width="13.7109375" bestFit="1" customWidth="1"/>
    <col min="4872" max="4872" width="14.28515625" bestFit="1" customWidth="1"/>
    <col min="4873" max="4873" width="10.85546875" bestFit="1" customWidth="1"/>
    <col min="4874" max="4874" width="5" bestFit="1" customWidth="1"/>
    <col min="4875" max="4875" width="9.7109375" bestFit="1" customWidth="1"/>
    <col min="5122" max="5122" width="5" bestFit="1" customWidth="1"/>
    <col min="5123" max="5123" width="13.42578125" bestFit="1" customWidth="1"/>
    <col min="5124" max="5124" width="47.28515625" bestFit="1" customWidth="1"/>
    <col min="5125" max="5125" width="18.7109375" bestFit="1" customWidth="1"/>
    <col min="5126" max="5127" width="13.7109375" bestFit="1" customWidth="1"/>
    <col min="5128" max="5128" width="14.28515625" bestFit="1" customWidth="1"/>
    <col min="5129" max="5129" width="10.85546875" bestFit="1" customWidth="1"/>
    <col min="5130" max="5130" width="5" bestFit="1" customWidth="1"/>
    <col min="5131" max="5131" width="9.7109375" bestFit="1" customWidth="1"/>
    <col min="5378" max="5378" width="5" bestFit="1" customWidth="1"/>
    <col min="5379" max="5379" width="13.42578125" bestFit="1" customWidth="1"/>
    <col min="5380" max="5380" width="47.28515625" bestFit="1" customWidth="1"/>
    <col min="5381" max="5381" width="18.7109375" bestFit="1" customWidth="1"/>
    <col min="5382" max="5383" width="13.7109375" bestFit="1" customWidth="1"/>
    <col min="5384" max="5384" width="14.28515625" bestFit="1" customWidth="1"/>
    <col min="5385" max="5385" width="10.85546875" bestFit="1" customWidth="1"/>
    <col min="5386" max="5386" width="5" bestFit="1" customWidth="1"/>
    <col min="5387" max="5387" width="9.7109375" bestFit="1" customWidth="1"/>
    <col min="5634" max="5634" width="5" bestFit="1" customWidth="1"/>
    <col min="5635" max="5635" width="13.42578125" bestFit="1" customWidth="1"/>
    <col min="5636" max="5636" width="47.28515625" bestFit="1" customWidth="1"/>
    <col min="5637" max="5637" width="18.7109375" bestFit="1" customWidth="1"/>
    <col min="5638" max="5639" width="13.7109375" bestFit="1" customWidth="1"/>
    <col min="5640" max="5640" width="14.28515625" bestFit="1" customWidth="1"/>
    <col min="5641" max="5641" width="10.85546875" bestFit="1" customWidth="1"/>
    <col min="5642" max="5642" width="5" bestFit="1" customWidth="1"/>
    <col min="5643" max="5643" width="9.7109375" bestFit="1" customWidth="1"/>
    <col min="5890" max="5890" width="5" bestFit="1" customWidth="1"/>
    <col min="5891" max="5891" width="13.42578125" bestFit="1" customWidth="1"/>
    <col min="5892" max="5892" width="47.28515625" bestFit="1" customWidth="1"/>
    <col min="5893" max="5893" width="18.7109375" bestFit="1" customWidth="1"/>
    <col min="5894" max="5895" width="13.7109375" bestFit="1" customWidth="1"/>
    <col min="5896" max="5896" width="14.28515625" bestFit="1" customWidth="1"/>
    <col min="5897" max="5897" width="10.85546875" bestFit="1" customWidth="1"/>
    <col min="5898" max="5898" width="5" bestFit="1" customWidth="1"/>
    <col min="5899" max="5899" width="9.7109375" bestFit="1" customWidth="1"/>
    <col min="6146" max="6146" width="5" bestFit="1" customWidth="1"/>
    <col min="6147" max="6147" width="13.42578125" bestFit="1" customWidth="1"/>
    <col min="6148" max="6148" width="47.28515625" bestFit="1" customWidth="1"/>
    <col min="6149" max="6149" width="18.7109375" bestFit="1" customWidth="1"/>
    <col min="6150" max="6151" width="13.7109375" bestFit="1" customWidth="1"/>
    <col min="6152" max="6152" width="14.28515625" bestFit="1" customWidth="1"/>
    <col min="6153" max="6153" width="10.85546875" bestFit="1" customWidth="1"/>
    <col min="6154" max="6154" width="5" bestFit="1" customWidth="1"/>
    <col min="6155" max="6155" width="9.7109375" bestFit="1" customWidth="1"/>
    <col min="6402" max="6402" width="5" bestFit="1" customWidth="1"/>
    <col min="6403" max="6403" width="13.42578125" bestFit="1" customWidth="1"/>
    <col min="6404" max="6404" width="47.28515625" bestFit="1" customWidth="1"/>
    <col min="6405" max="6405" width="18.7109375" bestFit="1" customWidth="1"/>
    <col min="6406" max="6407" width="13.7109375" bestFit="1" customWidth="1"/>
    <col min="6408" max="6408" width="14.28515625" bestFit="1" customWidth="1"/>
    <col min="6409" max="6409" width="10.85546875" bestFit="1" customWidth="1"/>
    <col min="6410" max="6410" width="5" bestFit="1" customWidth="1"/>
    <col min="6411" max="6411" width="9.7109375" bestFit="1" customWidth="1"/>
    <col min="6658" max="6658" width="5" bestFit="1" customWidth="1"/>
    <col min="6659" max="6659" width="13.42578125" bestFit="1" customWidth="1"/>
    <col min="6660" max="6660" width="47.28515625" bestFit="1" customWidth="1"/>
    <col min="6661" max="6661" width="18.7109375" bestFit="1" customWidth="1"/>
    <col min="6662" max="6663" width="13.7109375" bestFit="1" customWidth="1"/>
    <col min="6664" max="6664" width="14.28515625" bestFit="1" customWidth="1"/>
    <col min="6665" max="6665" width="10.85546875" bestFit="1" customWidth="1"/>
    <col min="6666" max="6666" width="5" bestFit="1" customWidth="1"/>
    <col min="6667" max="6667" width="9.7109375" bestFit="1" customWidth="1"/>
    <col min="6914" max="6914" width="5" bestFit="1" customWidth="1"/>
    <col min="6915" max="6915" width="13.42578125" bestFit="1" customWidth="1"/>
    <col min="6916" max="6916" width="47.28515625" bestFit="1" customWidth="1"/>
    <col min="6917" max="6917" width="18.7109375" bestFit="1" customWidth="1"/>
    <col min="6918" max="6919" width="13.7109375" bestFit="1" customWidth="1"/>
    <col min="6920" max="6920" width="14.28515625" bestFit="1" customWidth="1"/>
    <col min="6921" max="6921" width="10.85546875" bestFit="1" customWidth="1"/>
    <col min="6922" max="6922" width="5" bestFit="1" customWidth="1"/>
    <col min="6923" max="6923" width="9.7109375" bestFit="1" customWidth="1"/>
    <col min="7170" max="7170" width="5" bestFit="1" customWidth="1"/>
    <col min="7171" max="7171" width="13.42578125" bestFit="1" customWidth="1"/>
    <col min="7172" max="7172" width="47.28515625" bestFit="1" customWidth="1"/>
    <col min="7173" max="7173" width="18.7109375" bestFit="1" customWidth="1"/>
    <col min="7174" max="7175" width="13.7109375" bestFit="1" customWidth="1"/>
    <col min="7176" max="7176" width="14.28515625" bestFit="1" customWidth="1"/>
    <col min="7177" max="7177" width="10.85546875" bestFit="1" customWidth="1"/>
    <col min="7178" max="7178" width="5" bestFit="1" customWidth="1"/>
    <col min="7179" max="7179" width="9.7109375" bestFit="1" customWidth="1"/>
    <col min="7426" max="7426" width="5" bestFit="1" customWidth="1"/>
    <col min="7427" max="7427" width="13.42578125" bestFit="1" customWidth="1"/>
    <col min="7428" max="7428" width="47.28515625" bestFit="1" customWidth="1"/>
    <col min="7429" max="7429" width="18.7109375" bestFit="1" customWidth="1"/>
    <col min="7430" max="7431" width="13.7109375" bestFit="1" customWidth="1"/>
    <col min="7432" max="7432" width="14.28515625" bestFit="1" customWidth="1"/>
    <col min="7433" max="7433" width="10.85546875" bestFit="1" customWidth="1"/>
    <col min="7434" max="7434" width="5" bestFit="1" customWidth="1"/>
    <col min="7435" max="7435" width="9.7109375" bestFit="1" customWidth="1"/>
    <col min="7682" max="7682" width="5" bestFit="1" customWidth="1"/>
    <col min="7683" max="7683" width="13.42578125" bestFit="1" customWidth="1"/>
    <col min="7684" max="7684" width="47.28515625" bestFit="1" customWidth="1"/>
    <col min="7685" max="7685" width="18.7109375" bestFit="1" customWidth="1"/>
    <col min="7686" max="7687" width="13.7109375" bestFit="1" customWidth="1"/>
    <col min="7688" max="7688" width="14.28515625" bestFit="1" customWidth="1"/>
    <col min="7689" max="7689" width="10.85546875" bestFit="1" customWidth="1"/>
    <col min="7690" max="7690" width="5" bestFit="1" customWidth="1"/>
    <col min="7691" max="7691" width="9.7109375" bestFit="1" customWidth="1"/>
    <col min="7938" max="7938" width="5" bestFit="1" customWidth="1"/>
    <col min="7939" max="7939" width="13.42578125" bestFit="1" customWidth="1"/>
    <col min="7940" max="7940" width="47.28515625" bestFit="1" customWidth="1"/>
    <col min="7941" max="7941" width="18.7109375" bestFit="1" customWidth="1"/>
    <col min="7942" max="7943" width="13.7109375" bestFit="1" customWidth="1"/>
    <col min="7944" max="7944" width="14.28515625" bestFit="1" customWidth="1"/>
    <col min="7945" max="7945" width="10.85546875" bestFit="1" customWidth="1"/>
    <col min="7946" max="7946" width="5" bestFit="1" customWidth="1"/>
    <col min="7947" max="7947" width="9.7109375" bestFit="1" customWidth="1"/>
    <col min="8194" max="8194" width="5" bestFit="1" customWidth="1"/>
    <col min="8195" max="8195" width="13.42578125" bestFit="1" customWidth="1"/>
    <col min="8196" max="8196" width="47.28515625" bestFit="1" customWidth="1"/>
    <col min="8197" max="8197" width="18.7109375" bestFit="1" customWidth="1"/>
    <col min="8198" max="8199" width="13.7109375" bestFit="1" customWidth="1"/>
    <col min="8200" max="8200" width="14.28515625" bestFit="1" customWidth="1"/>
    <col min="8201" max="8201" width="10.85546875" bestFit="1" customWidth="1"/>
    <col min="8202" max="8202" width="5" bestFit="1" customWidth="1"/>
    <col min="8203" max="8203" width="9.7109375" bestFit="1" customWidth="1"/>
    <col min="8450" max="8450" width="5" bestFit="1" customWidth="1"/>
    <col min="8451" max="8451" width="13.42578125" bestFit="1" customWidth="1"/>
    <col min="8452" max="8452" width="47.28515625" bestFit="1" customWidth="1"/>
    <col min="8453" max="8453" width="18.7109375" bestFit="1" customWidth="1"/>
    <col min="8454" max="8455" width="13.7109375" bestFit="1" customWidth="1"/>
    <col min="8456" max="8456" width="14.28515625" bestFit="1" customWidth="1"/>
    <col min="8457" max="8457" width="10.85546875" bestFit="1" customWidth="1"/>
    <col min="8458" max="8458" width="5" bestFit="1" customWidth="1"/>
    <col min="8459" max="8459" width="9.7109375" bestFit="1" customWidth="1"/>
    <col min="8706" max="8706" width="5" bestFit="1" customWidth="1"/>
    <col min="8707" max="8707" width="13.42578125" bestFit="1" customWidth="1"/>
    <col min="8708" max="8708" width="47.28515625" bestFit="1" customWidth="1"/>
    <col min="8709" max="8709" width="18.7109375" bestFit="1" customWidth="1"/>
    <col min="8710" max="8711" width="13.7109375" bestFit="1" customWidth="1"/>
    <col min="8712" max="8712" width="14.28515625" bestFit="1" customWidth="1"/>
    <col min="8713" max="8713" width="10.85546875" bestFit="1" customWidth="1"/>
    <col min="8714" max="8714" width="5" bestFit="1" customWidth="1"/>
    <col min="8715" max="8715" width="9.7109375" bestFit="1" customWidth="1"/>
    <col min="8962" max="8962" width="5" bestFit="1" customWidth="1"/>
    <col min="8963" max="8963" width="13.42578125" bestFit="1" customWidth="1"/>
    <col min="8964" max="8964" width="47.28515625" bestFit="1" customWidth="1"/>
    <col min="8965" max="8965" width="18.7109375" bestFit="1" customWidth="1"/>
    <col min="8966" max="8967" width="13.7109375" bestFit="1" customWidth="1"/>
    <col min="8968" max="8968" width="14.28515625" bestFit="1" customWidth="1"/>
    <col min="8969" max="8969" width="10.85546875" bestFit="1" customWidth="1"/>
    <col min="8970" max="8970" width="5" bestFit="1" customWidth="1"/>
    <col min="8971" max="8971" width="9.7109375" bestFit="1" customWidth="1"/>
    <col min="9218" max="9218" width="5" bestFit="1" customWidth="1"/>
    <col min="9219" max="9219" width="13.42578125" bestFit="1" customWidth="1"/>
    <col min="9220" max="9220" width="47.28515625" bestFit="1" customWidth="1"/>
    <col min="9221" max="9221" width="18.7109375" bestFit="1" customWidth="1"/>
    <col min="9222" max="9223" width="13.7109375" bestFit="1" customWidth="1"/>
    <col min="9224" max="9224" width="14.28515625" bestFit="1" customWidth="1"/>
    <col min="9225" max="9225" width="10.85546875" bestFit="1" customWidth="1"/>
    <col min="9226" max="9226" width="5" bestFit="1" customWidth="1"/>
    <col min="9227" max="9227" width="9.7109375" bestFit="1" customWidth="1"/>
    <col min="9474" max="9474" width="5" bestFit="1" customWidth="1"/>
    <col min="9475" max="9475" width="13.42578125" bestFit="1" customWidth="1"/>
    <col min="9476" max="9476" width="47.28515625" bestFit="1" customWidth="1"/>
    <col min="9477" max="9477" width="18.7109375" bestFit="1" customWidth="1"/>
    <col min="9478" max="9479" width="13.7109375" bestFit="1" customWidth="1"/>
    <col min="9480" max="9480" width="14.28515625" bestFit="1" customWidth="1"/>
    <col min="9481" max="9481" width="10.85546875" bestFit="1" customWidth="1"/>
    <col min="9482" max="9482" width="5" bestFit="1" customWidth="1"/>
    <col min="9483" max="9483" width="9.7109375" bestFit="1" customWidth="1"/>
    <col min="9730" max="9730" width="5" bestFit="1" customWidth="1"/>
    <col min="9731" max="9731" width="13.42578125" bestFit="1" customWidth="1"/>
    <col min="9732" max="9732" width="47.28515625" bestFit="1" customWidth="1"/>
    <col min="9733" max="9733" width="18.7109375" bestFit="1" customWidth="1"/>
    <col min="9734" max="9735" width="13.7109375" bestFit="1" customWidth="1"/>
    <col min="9736" max="9736" width="14.28515625" bestFit="1" customWidth="1"/>
    <col min="9737" max="9737" width="10.85546875" bestFit="1" customWidth="1"/>
    <col min="9738" max="9738" width="5" bestFit="1" customWidth="1"/>
    <col min="9739" max="9739" width="9.7109375" bestFit="1" customWidth="1"/>
    <col min="9986" max="9986" width="5" bestFit="1" customWidth="1"/>
    <col min="9987" max="9987" width="13.42578125" bestFit="1" customWidth="1"/>
    <col min="9988" max="9988" width="47.28515625" bestFit="1" customWidth="1"/>
    <col min="9989" max="9989" width="18.7109375" bestFit="1" customWidth="1"/>
    <col min="9990" max="9991" width="13.7109375" bestFit="1" customWidth="1"/>
    <col min="9992" max="9992" width="14.28515625" bestFit="1" customWidth="1"/>
    <col min="9993" max="9993" width="10.85546875" bestFit="1" customWidth="1"/>
    <col min="9994" max="9994" width="5" bestFit="1" customWidth="1"/>
    <col min="9995" max="9995" width="9.7109375" bestFit="1" customWidth="1"/>
    <col min="10242" max="10242" width="5" bestFit="1" customWidth="1"/>
    <col min="10243" max="10243" width="13.42578125" bestFit="1" customWidth="1"/>
    <col min="10244" max="10244" width="47.28515625" bestFit="1" customWidth="1"/>
    <col min="10245" max="10245" width="18.7109375" bestFit="1" customWidth="1"/>
    <col min="10246" max="10247" width="13.7109375" bestFit="1" customWidth="1"/>
    <col min="10248" max="10248" width="14.28515625" bestFit="1" customWidth="1"/>
    <col min="10249" max="10249" width="10.85546875" bestFit="1" customWidth="1"/>
    <col min="10250" max="10250" width="5" bestFit="1" customWidth="1"/>
    <col min="10251" max="10251" width="9.7109375" bestFit="1" customWidth="1"/>
    <col min="10498" max="10498" width="5" bestFit="1" customWidth="1"/>
    <col min="10499" max="10499" width="13.42578125" bestFit="1" customWidth="1"/>
    <col min="10500" max="10500" width="47.28515625" bestFit="1" customWidth="1"/>
    <col min="10501" max="10501" width="18.7109375" bestFit="1" customWidth="1"/>
    <col min="10502" max="10503" width="13.7109375" bestFit="1" customWidth="1"/>
    <col min="10504" max="10504" width="14.28515625" bestFit="1" customWidth="1"/>
    <col min="10505" max="10505" width="10.85546875" bestFit="1" customWidth="1"/>
    <col min="10506" max="10506" width="5" bestFit="1" customWidth="1"/>
    <col min="10507" max="10507" width="9.7109375" bestFit="1" customWidth="1"/>
    <col min="10754" max="10754" width="5" bestFit="1" customWidth="1"/>
    <col min="10755" max="10755" width="13.42578125" bestFit="1" customWidth="1"/>
    <col min="10756" max="10756" width="47.28515625" bestFit="1" customWidth="1"/>
    <col min="10757" max="10757" width="18.7109375" bestFit="1" customWidth="1"/>
    <col min="10758" max="10759" width="13.7109375" bestFit="1" customWidth="1"/>
    <col min="10760" max="10760" width="14.28515625" bestFit="1" customWidth="1"/>
    <col min="10761" max="10761" width="10.85546875" bestFit="1" customWidth="1"/>
    <col min="10762" max="10762" width="5" bestFit="1" customWidth="1"/>
    <col min="10763" max="10763" width="9.7109375" bestFit="1" customWidth="1"/>
    <col min="11010" max="11010" width="5" bestFit="1" customWidth="1"/>
    <col min="11011" max="11011" width="13.42578125" bestFit="1" customWidth="1"/>
    <col min="11012" max="11012" width="47.28515625" bestFit="1" customWidth="1"/>
    <col min="11013" max="11013" width="18.7109375" bestFit="1" customWidth="1"/>
    <col min="11014" max="11015" width="13.7109375" bestFit="1" customWidth="1"/>
    <col min="11016" max="11016" width="14.28515625" bestFit="1" customWidth="1"/>
    <col min="11017" max="11017" width="10.85546875" bestFit="1" customWidth="1"/>
    <col min="11018" max="11018" width="5" bestFit="1" customWidth="1"/>
    <col min="11019" max="11019" width="9.7109375" bestFit="1" customWidth="1"/>
    <col min="11266" max="11266" width="5" bestFit="1" customWidth="1"/>
    <col min="11267" max="11267" width="13.42578125" bestFit="1" customWidth="1"/>
    <col min="11268" max="11268" width="47.28515625" bestFit="1" customWidth="1"/>
    <col min="11269" max="11269" width="18.7109375" bestFit="1" customWidth="1"/>
    <col min="11270" max="11271" width="13.7109375" bestFit="1" customWidth="1"/>
    <col min="11272" max="11272" width="14.28515625" bestFit="1" customWidth="1"/>
    <col min="11273" max="11273" width="10.85546875" bestFit="1" customWidth="1"/>
    <col min="11274" max="11274" width="5" bestFit="1" customWidth="1"/>
    <col min="11275" max="11275" width="9.7109375" bestFit="1" customWidth="1"/>
    <col min="11522" max="11522" width="5" bestFit="1" customWidth="1"/>
    <col min="11523" max="11523" width="13.42578125" bestFit="1" customWidth="1"/>
    <col min="11524" max="11524" width="47.28515625" bestFit="1" customWidth="1"/>
    <col min="11525" max="11525" width="18.7109375" bestFit="1" customWidth="1"/>
    <col min="11526" max="11527" width="13.7109375" bestFit="1" customWidth="1"/>
    <col min="11528" max="11528" width="14.28515625" bestFit="1" customWidth="1"/>
    <col min="11529" max="11529" width="10.85546875" bestFit="1" customWidth="1"/>
    <col min="11530" max="11530" width="5" bestFit="1" customWidth="1"/>
    <col min="11531" max="11531" width="9.7109375" bestFit="1" customWidth="1"/>
    <col min="11778" max="11778" width="5" bestFit="1" customWidth="1"/>
    <col min="11779" max="11779" width="13.42578125" bestFit="1" customWidth="1"/>
    <col min="11780" max="11780" width="47.28515625" bestFit="1" customWidth="1"/>
    <col min="11781" max="11781" width="18.7109375" bestFit="1" customWidth="1"/>
    <col min="11782" max="11783" width="13.7109375" bestFit="1" customWidth="1"/>
    <col min="11784" max="11784" width="14.28515625" bestFit="1" customWidth="1"/>
    <col min="11785" max="11785" width="10.85546875" bestFit="1" customWidth="1"/>
    <col min="11786" max="11786" width="5" bestFit="1" customWidth="1"/>
    <col min="11787" max="11787" width="9.7109375" bestFit="1" customWidth="1"/>
    <col min="12034" max="12034" width="5" bestFit="1" customWidth="1"/>
    <col min="12035" max="12035" width="13.42578125" bestFit="1" customWidth="1"/>
    <col min="12036" max="12036" width="47.28515625" bestFit="1" customWidth="1"/>
    <col min="12037" max="12037" width="18.7109375" bestFit="1" customWidth="1"/>
    <col min="12038" max="12039" width="13.7109375" bestFit="1" customWidth="1"/>
    <col min="12040" max="12040" width="14.28515625" bestFit="1" customWidth="1"/>
    <col min="12041" max="12041" width="10.85546875" bestFit="1" customWidth="1"/>
    <col min="12042" max="12042" width="5" bestFit="1" customWidth="1"/>
    <col min="12043" max="12043" width="9.7109375" bestFit="1" customWidth="1"/>
    <col min="12290" max="12290" width="5" bestFit="1" customWidth="1"/>
    <col min="12291" max="12291" width="13.42578125" bestFit="1" customWidth="1"/>
    <col min="12292" max="12292" width="47.28515625" bestFit="1" customWidth="1"/>
    <col min="12293" max="12293" width="18.7109375" bestFit="1" customWidth="1"/>
    <col min="12294" max="12295" width="13.7109375" bestFit="1" customWidth="1"/>
    <col min="12296" max="12296" width="14.28515625" bestFit="1" customWidth="1"/>
    <col min="12297" max="12297" width="10.85546875" bestFit="1" customWidth="1"/>
    <col min="12298" max="12298" width="5" bestFit="1" customWidth="1"/>
    <col min="12299" max="12299" width="9.7109375" bestFit="1" customWidth="1"/>
    <col min="12546" max="12546" width="5" bestFit="1" customWidth="1"/>
    <col min="12547" max="12547" width="13.42578125" bestFit="1" customWidth="1"/>
    <col min="12548" max="12548" width="47.28515625" bestFit="1" customWidth="1"/>
    <col min="12549" max="12549" width="18.7109375" bestFit="1" customWidth="1"/>
    <col min="12550" max="12551" width="13.7109375" bestFit="1" customWidth="1"/>
    <col min="12552" max="12552" width="14.28515625" bestFit="1" customWidth="1"/>
    <col min="12553" max="12553" width="10.85546875" bestFit="1" customWidth="1"/>
    <col min="12554" max="12554" width="5" bestFit="1" customWidth="1"/>
    <col min="12555" max="12555" width="9.7109375" bestFit="1" customWidth="1"/>
    <col min="12802" max="12802" width="5" bestFit="1" customWidth="1"/>
    <col min="12803" max="12803" width="13.42578125" bestFit="1" customWidth="1"/>
    <col min="12804" max="12804" width="47.28515625" bestFit="1" customWidth="1"/>
    <col min="12805" max="12805" width="18.7109375" bestFit="1" customWidth="1"/>
    <col min="12806" max="12807" width="13.7109375" bestFit="1" customWidth="1"/>
    <col min="12808" max="12808" width="14.28515625" bestFit="1" customWidth="1"/>
    <col min="12809" max="12809" width="10.85546875" bestFit="1" customWidth="1"/>
    <col min="12810" max="12810" width="5" bestFit="1" customWidth="1"/>
    <col min="12811" max="12811" width="9.7109375" bestFit="1" customWidth="1"/>
    <col min="13058" max="13058" width="5" bestFit="1" customWidth="1"/>
    <col min="13059" max="13059" width="13.42578125" bestFit="1" customWidth="1"/>
    <col min="13060" max="13060" width="47.28515625" bestFit="1" customWidth="1"/>
    <col min="13061" max="13061" width="18.7109375" bestFit="1" customWidth="1"/>
    <col min="13062" max="13063" width="13.7109375" bestFit="1" customWidth="1"/>
    <col min="13064" max="13064" width="14.28515625" bestFit="1" customWidth="1"/>
    <col min="13065" max="13065" width="10.85546875" bestFit="1" customWidth="1"/>
    <col min="13066" max="13066" width="5" bestFit="1" customWidth="1"/>
    <col min="13067" max="13067" width="9.7109375" bestFit="1" customWidth="1"/>
    <col min="13314" max="13314" width="5" bestFit="1" customWidth="1"/>
    <col min="13315" max="13315" width="13.42578125" bestFit="1" customWidth="1"/>
    <col min="13316" max="13316" width="47.28515625" bestFit="1" customWidth="1"/>
    <col min="13317" max="13317" width="18.7109375" bestFit="1" customWidth="1"/>
    <col min="13318" max="13319" width="13.7109375" bestFit="1" customWidth="1"/>
    <col min="13320" max="13320" width="14.28515625" bestFit="1" customWidth="1"/>
    <col min="13321" max="13321" width="10.85546875" bestFit="1" customWidth="1"/>
    <col min="13322" max="13322" width="5" bestFit="1" customWidth="1"/>
    <col min="13323" max="13323" width="9.7109375" bestFit="1" customWidth="1"/>
    <col min="13570" max="13570" width="5" bestFit="1" customWidth="1"/>
    <col min="13571" max="13571" width="13.42578125" bestFit="1" customWidth="1"/>
    <col min="13572" max="13572" width="47.28515625" bestFit="1" customWidth="1"/>
    <col min="13573" max="13573" width="18.7109375" bestFit="1" customWidth="1"/>
    <col min="13574" max="13575" width="13.7109375" bestFit="1" customWidth="1"/>
    <col min="13576" max="13576" width="14.28515625" bestFit="1" customWidth="1"/>
    <col min="13577" max="13577" width="10.85546875" bestFit="1" customWidth="1"/>
    <col min="13578" max="13578" width="5" bestFit="1" customWidth="1"/>
    <col min="13579" max="13579" width="9.7109375" bestFit="1" customWidth="1"/>
    <col min="13826" max="13826" width="5" bestFit="1" customWidth="1"/>
    <col min="13827" max="13827" width="13.42578125" bestFit="1" customWidth="1"/>
    <col min="13828" max="13828" width="47.28515625" bestFit="1" customWidth="1"/>
    <col min="13829" max="13829" width="18.7109375" bestFit="1" customWidth="1"/>
    <col min="13830" max="13831" width="13.7109375" bestFit="1" customWidth="1"/>
    <col min="13832" max="13832" width="14.28515625" bestFit="1" customWidth="1"/>
    <col min="13833" max="13833" width="10.85546875" bestFit="1" customWidth="1"/>
    <col min="13834" max="13834" width="5" bestFit="1" customWidth="1"/>
    <col min="13835" max="13835" width="9.7109375" bestFit="1" customWidth="1"/>
    <col min="14082" max="14082" width="5" bestFit="1" customWidth="1"/>
    <col min="14083" max="14083" width="13.42578125" bestFit="1" customWidth="1"/>
    <col min="14084" max="14084" width="47.28515625" bestFit="1" customWidth="1"/>
    <col min="14085" max="14085" width="18.7109375" bestFit="1" customWidth="1"/>
    <col min="14086" max="14087" width="13.7109375" bestFit="1" customWidth="1"/>
    <col min="14088" max="14088" width="14.28515625" bestFit="1" customWidth="1"/>
    <col min="14089" max="14089" width="10.85546875" bestFit="1" customWidth="1"/>
    <col min="14090" max="14090" width="5" bestFit="1" customWidth="1"/>
    <col min="14091" max="14091" width="9.7109375" bestFit="1" customWidth="1"/>
    <col min="14338" max="14338" width="5" bestFit="1" customWidth="1"/>
    <col min="14339" max="14339" width="13.42578125" bestFit="1" customWidth="1"/>
    <col min="14340" max="14340" width="47.28515625" bestFit="1" customWidth="1"/>
    <col min="14341" max="14341" width="18.7109375" bestFit="1" customWidth="1"/>
    <col min="14342" max="14343" width="13.7109375" bestFit="1" customWidth="1"/>
    <col min="14344" max="14344" width="14.28515625" bestFit="1" customWidth="1"/>
    <col min="14345" max="14345" width="10.85546875" bestFit="1" customWidth="1"/>
    <col min="14346" max="14346" width="5" bestFit="1" customWidth="1"/>
    <col min="14347" max="14347" width="9.7109375" bestFit="1" customWidth="1"/>
    <col min="14594" max="14594" width="5" bestFit="1" customWidth="1"/>
    <col min="14595" max="14595" width="13.42578125" bestFit="1" customWidth="1"/>
    <col min="14596" max="14596" width="47.28515625" bestFit="1" customWidth="1"/>
    <col min="14597" max="14597" width="18.7109375" bestFit="1" customWidth="1"/>
    <col min="14598" max="14599" width="13.7109375" bestFit="1" customWidth="1"/>
    <col min="14600" max="14600" width="14.28515625" bestFit="1" customWidth="1"/>
    <col min="14601" max="14601" width="10.85546875" bestFit="1" customWidth="1"/>
    <col min="14602" max="14602" width="5" bestFit="1" customWidth="1"/>
    <col min="14603" max="14603" width="9.7109375" bestFit="1" customWidth="1"/>
    <col min="14850" max="14850" width="5" bestFit="1" customWidth="1"/>
    <col min="14851" max="14851" width="13.42578125" bestFit="1" customWidth="1"/>
    <col min="14852" max="14852" width="47.28515625" bestFit="1" customWidth="1"/>
    <col min="14853" max="14853" width="18.7109375" bestFit="1" customWidth="1"/>
    <col min="14854" max="14855" width="13.7109375" bestFit="1" customWidth="1"/>
    <col min="14856" max="14856" width="14.28515625" bestFit="1" customWidth="1"/>
    <col min="14857" max="14857" width="10.85546875" bestFit="1" customWidth="1"/>
    <col min="14858" max="14858" width="5" bestFit="1" customWidth="1"/>
    <col min="14859" max="14859" width="9.7109375" bestFit="1" customWidth="1"/>
    <col min="15106" max="15106" width="5" bestFit="1" customWidth="1"/>
    <col min="15107" max="15107" width="13.42578125" bestFit="1" customWidth="1"/>
    <col min="15108" max="15108" width="47.28515625" bestFit="1" customWidth="1"/>
    <col min="15109" max="15109" width="18.7109375" bestFit="1" customWidth="1"/>
    <col min="15110" max="15111" width="13.7109375" bestFit="1" customWidth="1"/>
    <col min="15112" max="15112" width="14.28515625" bestFit="1" customWidth="1"/>
    <col min="15113" max="15113" width="10.85546875" bestFit="1" customWidth="1"/>
    <col min="15114" max="15114" width="5" bestFit="1" customWidth="1"/>
    <col min="15115" max="15115" width="9.7109375" bestFit="1" customWidth="1"/>
    <col min="15362" max="15362" width="5" bestFit="1" customWidth="1"/>
    <col min="15363" max="15363" width="13.42578125" bestFit="1" customWidth="1"/>
    <col min="15364" max="15364" width="47.28515625" bestFit="1" customWidth="1"/>
    <col min="15365" max="15365" width="18.7109375" bestFit="1" customWidth="1"/>
    <col min="15366" max="15367" width="13.7109375" bestFit="1" customWidth="1"/>
    <col min="15368" max="15368" width="14.28515625" bestFit="1" customWidth="1"/>
    <col min="15369" max="15369" width="10.85546875" bestFit="1" customWidth="1"/>
    <col min="15370" max="15370" width="5" bestFit="1" customWidth="1"/>
    <col min="15371" max="15371" width="9.7109375" bestFit="1" customWidth="1"/>
    <col min="15618" max="15618" width="5" bestFit="1" customWidth="1"/>
    <col min="15619" max="15619" width="13.42578125" bestFit="1" customWidth="1"/>
    <col min="15620" max="15620" width="47.28515625" bestFit="1" customWidth="1"/>
    <col min="15621" max="15621" width="18.7109375" bestFit="1" customWidth="1"/>
    <col min="15622" max="15623" width="13.7109375" bestFit="1" customWidth="1"/>
    <col min="15624" max="15624" width="14.28515625" bestFit="1" customWidth="1"/>
    <col min="15625" max="15625" width="10.85546875" bestFit="1" customWidth="1"/>
    <col min="15626" max="15626" width="5" bestFit="1" customWidth="1"/>
    <col min="15627" max="15627" width="9.7109375" bestFit="1" customWidth="1"/>
    <col min="15874" max="15874" width="5" bestFit="1" customWidth="1"/>
    <col min="15875" max="15875" width="13.42578125" bestFit="1" customWidth="1"/>
    <col min="15876" max="15876" width="47.28515625" bestFit="1" customWidth="1"/>
    <col min="15877" max="15877" width="18.7109375" bestFit="1" customWidth="1"/>
    <col min="15878" max="15879" width="13.7109375" bestFit="1" customWidth="1"/>
    <col min="15880" max="15880" width="14.28515625" bestFit="1" customWidth="1"/>
    <col min="15881" max="15881" width="10.85546875" bestFit="1" customWidth="1"/>
    <col min="15882" max="15882" width="5" bestFit="1" customWidth="1"/>
    <col min="15883" max="15883" width="9.7109375" bestFit="1" customWidth="1"/>
    <col min="16130" max="16130" width="5" bestFit="1" customWidth="1"/>
    <col min="16131" max="16131" width="13.42578125" bestFit="1" customWidth="1"/>
    <col min="16132" max="16132" width="47.28515625" bestFit="1" customWidth="1"/>
    <col min="16133" max="16133" width="18.7109375" bestFit="1" customWidth="1"/>
    <col min="16134" max="16135" width="13.7109375" bestFit="1" customWidth="1"/>
    <col min="16136" max="16136" width="14.28515625" bestFit="1" customWidth="1"/>
    <col min="16137" max="16137" width="10.85546875" bestFit="1" customWidth="1"/>
    <col min="16138" max="16138" width="5" bestFit="1" customWidth="1"/>
    <col min="16139" max="16139" width="9.7109375" bestFit="1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</sheetData>
  <pageMargins left="0.75" right="0.75" top="1" bottom="1" header="0.5" footer="0.5"/>
  <pageSetup orientation="portrait" horizontalDpi="300" verticalDpi="30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D529E-7BF1-463C-95DE-168472766AD8}">
  <sheetPr codeName="Hoja4"/>
  <dimension ref="B1:AF1"/>
  <sheetViews>
    <sheetView topLeftCell="C1" zoomScale="85" zoomScaleNormal="85" workbookViewId="0">
      <pane ySplit="1" topLeftCell="A120" activePane="bottomLeft" state="frozen"/>
      <selection activeCell="N1" sqref="N1"/>
      <selection pane="bottomLeft" activeCell="N1" sqref="N1"/>
    </sheetView>
  </sheetViews>
  <sheetFormatPr baseColWidth="10" defaultRowHeight="12.75"/>
  <cols>
    <col min="1" max="1" width="5" style="17" bestFit="1" customWidth="1"/>
    <col min="2" max="2" width="12.42578125" style="17" bestFit="1" customWidth="1"/>
    <col min="3" max="3" width="58" style="17" customWidth="1"/>
    <col min="4" max="4" width="10" style="15" customWidth="1"/>
    <col min="5" max="6" width="15.28515625" style="36" bestFit="1" customWidth="1"/>
    <col min="7" max="7" width="15.85546875" style="36" bestFit="1" customWidth="1"/>
    <col min="8" max="8" width="13" style="17" customWidth="1"/>
    <col min="9" max="9" width="10.5703125" style="17" customWidth="1"/>
    <col min="10" max="10" width="19.85546875" style="17" customWidth="1"/>
    <col min="11" max="11" width="15.140625" style="17" customWidth="1"/>
    <col min="12" max="12" width="11.5703125" style="17" bestFit="1" customWidth="1"/>
    <col min="13" max="13" width="16.140625" style="17" customWidth="1"/>
    <col min="14" max="14" width="14.85546875" style="17" customWidth="1"/>
    <col min="15" max="15" width="21.5703125" style="17" bestFit="1" customWidth="1"/>
    <col min="16" max="16" width="14.28515625" style="17" customWidth="1"/>
    <col min="17" max="17" width="13" style="17" customWidth="1"/>
    <col min="18" max="19" width="15.28515625" style="17" bestFit="1" customWidth="1"/>
    <col min="20" max="21" width="14.85546875" style="17" bestFit="1" customWidth="1"/>
    <col min="22" max="22" width="14" style="17" customWidth="1"/>
    <col min="23" max="23" width="13" style="17" customWidth="1"/>
    <col min="24" max="24" width="14.140625" style="17" customWidth="1"/>
    <col min="25" max="30" width="13" style="17" customWidth="1"/>
    <col min="31" max="257" width="9.140625" style="17" customWidth="1"/>
    <col min="258" max="258" width="5" style="17" bestFit="1" customWidth="1"/>
    <col min="259" max="259" width="13.42578125" style="17" bestFit="1" customWidth="1"/>
    <col min="260" max="260" width="47.140625" style="17" bestFit="1" customWidth="1"/>
    <col min="261" max="261" width="18.7109375" style="17" bestFit="1" customWidth="1"/>
    <col min="262" max="263" width="14.140625" style="17" bestFit="1" customWidth="1"/>
    <col min="264" max="264" width="14.42578125" style="17" bestFit="1" customWidth="1"/>
    <col min="265" max="265" width="10.85546875" style="17" bestFit="1" customWidth="1"/>
    <col min="266" max="266" width="5" style="17" bestFit="1" customWidth="1"/>
    <col min="267" max="267" width="13" style="17" customWidth="1"/>
    <col min="268" max="513" width="9.140625" style="17" customWidth="1"/>
    <col min="514" max="514" width="5" style="17" bestFit="1" customWidth="1"/>
    <col min="515" max="515" width="13.42578125" style="17" bestFit="1" customWidth="1"/>
    <col min="516" max="516" width="47.140625" style="17" bestFit="1" customWidth="1"/>
    <col min="517" max="517" width="18.7109375" style="17" bestFit="1" customWidth="1"/>
    <col min="518" max="519" width="14.140625" style="17" bestFit="1" customWidth="1"/>
    <col min="520" max="520" width="14.42578125" style="17" bestFit="1" customWidth="1"/>
    <col min="521" max="521" width="10.85546875" style="17" bestFit="1" customWidth="1"/>
    <col min="522" max="522" width="5" style="17" bestFit="1" customWidth="1"/>
    <col min="523" max="523" width="13" style="17" customWidth="1"/>
    <col min="524" max="769" width="9.140625" style="17" customWidth="1"/>
    <col min="770" max="770" width="5" style="17" bestFit="1" customWidth="1"/>
    <col min="771" max="771" width="13.42578125" style="17" bestFit="1" customWidth="1"/>
    <col min="772" max="772" width="47.140625" style="17" bestFit="1" customWidth="1"/>
    <col min="773" max="773" width="18.7109375" style="17" bestFit="1" customWidth="1"/>
    <col min="774" max="775" width="14.140625" style="17" bestFit="1" customWidth="1"/>
    <col min="776" max="776" width="14.42578125" style="17" bestFit="1" customWidth="1"/>
    <col min="777" max="777" width="10.85546875" style="17" bestFit="1" customWidth="1"/>
    <col min="778" max="778" width="5" style="17" bestFit="1" customWidth="1"/>
    <col min="779" max="779" width="13" style="17" customWidth="1"/>
    <col min="780" max="1025" width="9.140625" style="17" customWidth="1"/>
    <col min="1026" max="1026" width="5" style="17" bestFit="1" customWidth="1"/>
    <col min="1027" max="1027" width="13.42578125" style="17" bestFit="1" customWidth="1"/>
    <col min="1028" max="1028" width="47.140625" style="17" bestFit="1" customWidth="1"/>
    <col min="1029" max="1029" width="18.7109375" style="17" bestFit="1" customWidth="1"/>
    <col min="1030" max="1031" width="14.140625" style="17" bestFit="1" customWidth="1"/>
    <col min="1032" max="1032" width="14.42578125" style="17" bestFit="1" customWidth="1"/>
    <col min="1033" max="1033" width="10.85546875" style="17" bestFit="1" customWidth="1"/>
    <col min="1034" max="1034" width="5" style="17" bestFit="1" customWidth="1"/>
    <col min="1035" max="1035" width="13" style="17" customWidth="1"/>
    <col min="1036" max="1281" width="9.140625" style="17" customWidth="1"/>
    <col min="1282" max="1282" width="5" style="17" bestFit="1" customWidth="1"/>
    <col min="1283" max="1283" width="13.42578125" style="17" bestFit="1" customWidth="1"/>
    <col min="1284" max="1284" width="47.140625" style="17" bestFit="1" customWidth="1"/>
    <col min="1285" max="1285" width="18.7109375" style="17" bestFit="1" customWidth="1"/>
    <col min="1286" max="1287" width="14.140625" style="17" bestFit="1" customWidth="1"/>
    <col min="1288" max="1288" width="14.42578125" style="17" bestFit="1" customWidth="1"/>
    <col min="1289" max="1289" width="10.85546875" style="17" bestFit="1" customWidth="1"/>
    <col min="1290" max="1290" width="5" style="17" bestFit="1" customWidth="1"/>
    <col min="1291" max="1291" width="13" style="17" customWidth="1"/>
    <col min="1292" max="1537" width="9.140625" style="17" customWidth="1"/>
    <col min="1538" max="1538" width="5" style="17" bestFit="1" customWidth="1"/>
    <col min="1539" max="1539" width="13.42578125" style="17" bestFit="1" customWidth="1"/>
    <col min="1540" max="1540" width="47.140625" style="17" bestFit="1" customWidth="1"/>
    <col min="1541" max="1541" width="18.7109375" style="17" bestFit="1" customWidth="1"/>
    <col min="1542" max="1543" width="14.140625" style="17" bestFit="1" customWidth="1"/>
    <col min="1544" max="1544" width="14.42578125" style="17" bestFit="1" customWidth="1"/>
    <col min="1545" max="1545" width="10.85546875" style="17" bestFit="1" customWidth="1"/>
    <col min="1546" max="1546" width="5" style="17" bestFit="1" customWidth="1"/>
    <col min="1547" max="1547" width="13" style="17" customWidth="1"/>
    <col min="1548" max="1793" width="9.140625" style="17" customWidth="1"/>
    <col min="1794" max="1794" width="5" style="17" bestFit="1" customWidth="1"/>
    <col min="1795" max="1795" width="13.42578125" style="17" bestFit="1" customWidth="1"/>
    <col min="1796" max="1796" width="47.140625" style="17" bestFit="1" customWidth="1"/>
    <col min="1797" max="1797" width="18.7109375" style="17" bestFit="1" customWidth="1"/>
    <col min="1798" max="1799" width="14.140625" style="17" bestFit="1" customWidth="1"/>
    <col min="1800" max="1800" width="14.42578125" style="17" bestFit="1" customWidth="1"/>
    <col min="1801" max="1801" width="10.85546875" style="17" bestFit="1" customWidth="1"/>
    <col min="1802" max="1802" width="5" style="17" bestFit="1" customWidth="1"/>
    <col min="1803" max="1803" width="13" style="17" customWidth="1"/>
    <col min="1804" max="2049" width="9.140625" style="17" customWidth="1"/>
    <col min="2050" max="2050" width="5" style="17" bestFit="1" customWidth="1"/>
    <col min="2051" max="2051" width="13.42578125" style="17" bestFit="1" customWidth="1"/>
    <col min="2052" max="2052" width="47.140625" style="17" bestFit="1" customWidth="1"/>
    <col min="2053" max="2053" width="18.7109375" style="17" bestFit="1" customWidth="1"/>
    <col min="2054" max="2055" width="14.140625" style="17" bestFit="1" customWidth="1"/>
    <col min="2056" max="2056" width="14.42578125" style="17" bestFit="1" customWidth="1"/>
    <col min="2057" max="2057" width="10.85546875" style="17" bestFit="1" customWidth="1"/>
    <col min="2058" max="2058" width="5" style="17" bestFit="1" customWidth="1"/>
    <col min="2059" max="2059" width="13" style="17" customWidth="1"/>
    <col min="2060" max="2305" width="9.140625" style="17" customWidth="1"/>
    <col min="2306" max="2306" width="5" style="17" bestFit="1" customWidth="1"/>
    <col min="2307" max="2307" width="13.42578125" style="17" bestFit="1" customWidth="1"/>
    <col min="2308" max="2308" width="47.140625" style="17" bestFit="1" customWidth="1"/>
    <col min="2309" max="2309" width="18.7109375" style="17" bestFit="1" customWidth="1"/>
    <col min="2310" max="2311" width="14.140625" style="17" bestFit="1" customWidth="1"/>
    <col min="2312" max="2312" width="14.42578125" style="17" bestFit="1" customWidth="1"/>
    <col min="2313" max="2313" width="10.85546875" style="17" bestFit="1" customWidth="1"/>
    <col min="2314" max="2314" width="5" style="17" bestFit="1" customWidth="1"/>
    <col min="2315" max="2315" width="13" style="17" customWidth="1"/>
    <col min="2316" max="2561" width="9.140625" style="17" customWidth="1"/>
    <col min="2562" max="2562" width="5" style="17" bestFit="1" customWidth="1"/>
    <col min="2563" max="2563" width="13.42578125" style="17" bestFit="1" customWidth="1"/>
    <col min="2564" max="2564" width="47.140625" style="17" bestFit="1" customWidth="1"/>
    <col min="2565" max="2565" width="18.7109375" style="17" bestFit="1" customWidth="1"/>
    <col min="2566" max="2567" width="14.140625" style="17" bestFit="1" customWidth="1"/>
    <col min="2568" max="2568" width="14.42578125" style="17" bestFit="1" customWidth="1"/>
    <col min="2569" max="2569" width="10.85546875" style="17" bestFit="1" customWidth="1"/>
    <col min="2570" max="2570" width="5" style="17" bestFit="1" customWidth="1"/>
    <col min="2571" max="2571" width="13" style="17" customWidth="1"/>
    <col min="2572" max="2817" width="9.140625" style="17" customWidth="1"/>
    <col min="2818" max="2818" width="5" style="17" bestFit="1" customWidth="1"/>
    <col min="2819" max="2819" width="13.42578125" style="17" bestFit="1" customWidth="1"/>
    <col min="2820" max="2820" width="47.140625" style="17" bestFit="1" customWidth="1"/>
    <col min="2821" max="2821" width="18.7109375" style="17" bestFit="1" customWidth="1"/>
    <col min="2822" max="2823" width="14.140625" style="17" bestFit="1" customWidth="1"/>
    <col min="2824" max="2824" width="14.42578125" style="17" bestFit="1" customWidth="1"/>
    <col min="2825" max="2825" width="10.85546875" style="17" bestFit="1" customWidth="1"/>
    <col min="2826" max="2826" width="5" style="17" bestFit="1" customWidth="1"/>
    <col min="2827" max="2827" width="13" style="17" customWidth="1"/>
    <col min="2828" max="3073" width="9.140625" style="17" customWidth="1"/>
    <col min="3074" max="3074" width="5" style="17" bestFit="1" customWidth="1"/>
    <col min="3075" max="3075" width="13.42578125" style="17" bestFit="1" customWidth="1"/>
    <col min="3076" max="3076" width="47.140625" style="17" bestFit="1" customWidth="1"/>
    <col min="3077" max="3077" width="18.7109375" style="17" bestFit="1" customWidth="1"/>
    <col min="3078" max="3079" width="14.140625" style="17" bestFit="1" customWidth="1"/>
    <col min="3080" max="3080" width="14.42578125" style="17" bestFit="1" customWidth="1"/>
    <col min="3081" max="3081" width="10.85546875" style="17" bestFit="1" customWidth="1"/>
    <col min="3082" max="3082" width="5" style="17" bestFit="1" customWidth="1"/>
    <col min="3083" max="3083" width="13" style="17" customWidth="1"/>
    <col min="3084" max="3329" width="9.140625" style="17" customWidth="1"/>
    <col min="3330" max="3330" width="5" style="17" bestFit="1" customWidth="1"/>
    <col min="3331" max="3331" width="13.42578125" style="17" bestFit="1" customWidth="1"/>
    <col min="3332" max="3332" width="47.140625" style="17" bestFit="1" customWidth="1"/>
    <col min="3333" max="3333" width="18.7109375" style="17" bestFit="1" customWidth="1"/>
    <col min="3334" max="3335" width="14.140625" style="17" bestFit="1" customWidth="1"/>
    <col min="3336" max="3336" width="14.42578125" style="17" bestFit="1" customWidth="1"/>
    <col min="3337" max="3337" width="10.85546875" style="17" bestFit="1" customWidth="1"/>
    <col min="3338" max="3338" width="5" style="17" bestFit="1" customWidth="1"/>
    <col min="3339" max="3339" width="13" style="17" customWidth="1"/>
    <col min="3340" max="3585" width="9.140625" style="17" customWidth="1"/>
    <col min="3586" max="3586" width="5" style="17" bestFit="1" customWidth="1"/>
    <col min="3587" max="3587" width="13.42578125" style="17" bestFit="1" customWidth="1"/>
    <col min="3588" max="3588" width="47.140625" style="17" bestFit="1" customWidth="1"/>
    <col min="3589" max="3589" width="18.7109375" style="17" bestFit="1" customWidth="1"/>
    <col min="3590" max="3591" width="14.140625" style="17" bestFit="1" customWidth="1"/>
    <col min="3592" max="3592" width="14.42578125" style="17" bestFit="1" customWidth="1"/>
    <col min="3593" max="3593" width="10.85546875" style="17" bestFit="1" customWidth="1"/>
    <col min="3594" max="3594" width="5" style="17" bestFit="1" customWidth="1"/>
    <col min="3595" max="3595" width="13" style="17" customWidth="1"/>
    <col min="3596" max="3841" width="9.140625" style="17" customWidth="1"/>
    <col min="3842" max="3842" width="5" style="17" bestFit="1" customWidth="1"/>
    <col min="3843" max="3843" width="13.42578125" style="17" bestFit="1" customWidth="1"/>
    <col min="3844" max="3844" width="47.140625" style="17" bestFit="1" customWidth="1"/>
    <col min="3845" max="3845" width="18.7109375" style="17" bestFit="1" customWidth="1"/>
    <col min="3846" max="3847" width="14.140625" style="17" bestFit="1" customWidth="1"/>
    <col min="3848" max="3848" width="14.42578125" style="17" bestFit="1" customWidth="1"/>
    <col min="3849" max="3849" width="10.85546875" style="17" bestFit="1" customWidth="1"/>
    <col min="3850" max="3850" width="5" style="17" bestFit="1" customWidth="1"/>
    <col min="3851" max="3851" width="13" style="17" customWidth="1"/>
    <col min="3852" max="4097" width="9.140625" style="17" customWidth="1"/>
    <col min="4098" max="4098" width="5" style="17" bestFit="1" customWidth="1"/>
    <col min="4099" max="4099" width="13.42578125" style="17" bestFit="1" customWidth="1"/>
    <col min="4100" max="4100" width="47.140625" style="17" bestFit="1" customWidth="1"/>
    <col min="4101" max="4101" width="18.7109375" style="17" bestFit="1" customWidth="1"/>
    <col min="4102" max="4103" width="14.140625" style="17" bestFit="1" customWidth="1"/>
    <col min="4104" max="4104" width="14.42578125" style="17" bestFit="1" customWidth="1"/>
    <col min="4105" max="4105" width="10.85546875" style="17" bestFit="1" customWidth="1"/>
    <col min="4106" max="4106" width="5" style="17" bestFit="1" customWidth="1"/>
    <col min="4107" max="4107" width="13" style="17" customWidth="1"/>
    <col min="4108" max="4353" width="9.140625" style="17" customWidth="1"/>
    <col min="4354" max="4354" width="5" style="17" bestFit="1" customWidth="1"/>
    <col min="4355" max="4355" width="13.42578125" style="17" bestFit="1" customWidth="1"/>
    <col min="4356" max="4356" width="47.140625" style="17" bestFit="1" customWidth="1"/>
    <col min="4357" max="4357" width="18.7109375" style="17" bestFit="1" customWidth="1"/>
    <col min="4358" max="4359" width="14.140625" style="17" bestFit="1" customWidth="1"/>
    <col min="4360" max="4360" width="14.42578125" style="17" bestFit="1" customWidth="1"/>
    <col min="4361" max="4361" width="10.85546875" style="17" bestFit="1" customWidth="1"/>
    <col min="4362" max="4362" width="5" style="17" bestFit="1" customWidth="1"/>
    <col min="4363" max="4363" width="13" style="17" customWidth="1"/>
    <col min="4364" max="4609" width="9.140625" style="17" customWidth="1"/>
    <col min="4610" max="4610" width="5" style="17" bestFit="1" customWidth="1"/>
    <col min="4611" max="4611" width="13.42578125" style="17" bestFit="1" customWidth="1"/>
    <col min="4612" max="4612" width="47.140625" style="17" bestFit="1" customWidth="1"/>
    <col min="4613" max="4613" width="18.7109375" style="17" bestFit="1" customWidth="1"/>
    <col min="4614" max="4615" width="14.140625" style="17" bestFit="1" customWidth="1"/>
    <col min="4616" max="4616" width="14.42578125" style="17" bestFit="1" customWidth="1"/>
    <col min="4617" max="4617" width="10.85546875" style="17" bestFit="1" customWidth="1"/>
    <col min="4618" max="4618" width="5" style="17" bestFit="1" customWidth="1"/>
    <col min="4619" max="4619" width="13" style="17" customWidth="1"/>
    <col min="4620" max="4865" width="9.140625" style="17" customWidth="1"/>
    <col min="4866" max="4866" width="5" style="17" bestFit="1" customWidth="1"/>
    <col min="4867" max="4867" width="13.42578125" style="17" bestFit="1" customWidth="1"/>
    <col min="4868" max="4868" width="47.140625" style="17" bestFit="1" customWidth="1"/>
    <col min="4869" max="4869" width="18.7109375" style="17" bestFit="1" customWidth="1"/>
    <col min="4870" max="4871" width="14.140625" style="17" bestFit="1" customWidth="1"/>
    <col min="4872" max="4872" width="14.42578125" style="17" bestFit="1" customWidth="1"/>
    <col min="4873" max="4873" width="10.85546875" style="17" bestFit="1" customWidth="1"/>
    <col min="4874" max="4874" width="5" style="17" bestFit="1" customWidth="1"/>
    <col min="4875" max="4875" width="13" style="17" customWidth="1"/>
    <col min="4876" max="5121" width="9.140625" style="17" customWidth="1"/>
    <col min="5122" max="5122" width="5" style="17" bestFit="1" customWidth="1"/>
    <col min="5123" max="5123" width="13.42578125" style="17" bestFit="1" customWidth="1"/>
    <col min="5124" max="5124" width="47.140625" style="17" bestFit="1" customWidth="1"/>
    <col min="5125" max="5125" width="18.7109375" style="17" bestFit="1" customWidth="1"/>
    <col min="5126" max="5127" width="14.140625" style="17" bestFit="1" customWidth="1"/>
    <col min="5128" max="5128" width="14.42578125" style="17" bestFit="1" customWidth="1"/>
    <col min="5129" max="5129" width="10.85546875" style="17" bestFit="1" customWidth="1"/>
    <col min="5130" max="5130" width="5" style="17" bestFit="1" customWidth="1"/>
    <col min="5131" max="5131" width="13" style="17" customWidth="1"/>
    <col min="5132" max="5377" width="9.140625" style="17" customWidth="1"/>
    <col min="5378" max="5378" width="5" style="17" bestFit="1" customWidth="1"/>
    <col min="5379" max="5379" width="13.42578125" style="17" bestFit="1" customWidth="1"/>
    <col min="5380" max="5380" width="47.140625" style="17" bestFit="1" customWidth="1"/>
    <col min="5381" max="5381" width="18.7109375" style="17" bestFit="1" customWidth="1"/>
    <col min="5382" max="5383" width="14.140625" style="17" bestFit="1" customWidth="1"/>
    <col min="5384" max="5384" width="14.42578125" style="17" bestFit="1" customWidth="1"/>
    <col min="5385" max="5385" width="10.85546875" style="17" bestFit="1" customWidth="1"/>
    <col min="5386" max="5386" width="5" style="17" bestFit="1" customWidth="1"/>
    <col min="5387" max="5387" width="13" style="17" customWidth="1"/>
    <col min="5388" max="5633" width="9.140625" style="17" customWidth="1"/>
    <col min="5634" max="5634" width="5" style="17" bestFit="1" customWidth="1"/>
    <col min="5635" max="5635" width="13.42578125" style="17" bestFit="1" customWidth="1"/>
    <col min="5636" max="5636" width="47.140625" style="17" bestFit="1" customWidth="1"/>
    <col min="5637" max="5637" width="18.7109375" style="17" bestFit="1" customWidth="1"/>
    <col min="5638" max="5639" width="14.140625" style="17" bestFit="1" customWidth="1"/>
    <col min="5640" max="5640" width="14.42578125" style="17" bestFit="1" customWidth="1"/>
    <col min="5641" max="5641" width="10.85546875" style="17" bestFit="1" customWidth="1"/>
    <col min="5642" max="5642" width="5" style="17" bestFit="1" customWidth="1"/>
    <col min="5643" max="5643" width="13" style="17" customWidth="1"/>
    <col min="5644" max="5889" width="9.140625" style="17" customWidth="1"/>
    <col min="5890" max="5890" width="5" style="17" bestFit="1" customWidth="1"/>
    <col min="5891" max="5891" width="13.42578125" style="17" bestFit="1" customWidth="1"/>
    <col min="5892" max="5892" width="47.140625" style="17" bestFit="1" customWidth="1"/>
    <col min="5893" max="5893" width="18.7109375" style="17" bestFit="1" customWidth="1"/>
    <col min="5894" max="5895" width="14.140625" style="17" bestFit="1" customWidth="1"/>
    <col min="5896" max="5896" width="14.42578125" style="17" bestFit="1" customWidth="1"/>
    <col min="5897" max="5897" width="10.85546875" style="17" bestFit="1" customWidth="1"/>
    <col min="5898" max="5898" width="5" style="17" bestFit="1" customWidth="1"/>
    <col min="5899" max="5899" width="13" style="17" customWidth="1"/>
    <col min="5900" max="6145" width="9.140625" style="17" customWidth="1"/>
    <col min="6146" max="6146" width="5" style="17" bestFit="1" customWidth="1"/>
    <col min="6147" max="6147" width="13.42578125" style="17" bestFit="1" customWidth="1"/>
    <col min="6148" max="6148" width="47.140625" style="17" bestFit="1" customWidth="1"/>
    <col min="6149" max="6149" width="18.7109375" style="17" bestFit="1" customWidth="1"/>
    <col min="6150" max="6151" width="14.140625" style="17" bestFit="1" customWidth="1"/>
    <col min="6152" max="6152" width="14.42578125" style="17" bestFit="1" customWidth="1"/>
    <col min="6153" max="6153" width="10.85546875" style="17" bestFit="1" customWidth="1"/>
    <col min="6154" max="6154" width="5" style="17" bestFit="1" customWidth="1"/>
    <col min="6155" max="6155" width="13" style="17" customWidth="1"/>
    <col min="6156" max="6401" width="9.140625" style="17" customWidth="1"/>
    <col min="6402" max="6402" width="5" style="17" bestFit="1" customWidth="1"/>
    <col min="6403" max="6403" width="13.42578125" style="17" bestFit="1" customWidth="1"/>
    <col min="6404" max="6404" width="47.140625" style="17" bestFit="1" customWidth="1"/>
    <col min="6405" max="6405" width="18.7109375" style="17" bestFit="1" customWidth="1"/>
    <col min="6406" max="6407" width="14.140625" style="17" bestFit="1" customWidth="1"/>
    <col min="6408" max="6408" width="14.42578125" style="17" bestFit="1" customWidth="1"/>
    <col min="6409" max="6409" width="10.85546875" style="17" bestFit="1" customWidth="1"/>
    <col min="6410" max="6410" width="5" style="17" bestFit="1" customWidth="1"/>
    <col min="6411" max="6411" width="13" style="17" customWidth="1"/>
    <col min="6412" max="6657" width="9.140625" style="17" customWidth="1"/>
    <col min="6658" max="6658" width="5" style="17" bestFit="1" customWidth="1"/>
    <col min="6659" max="6659" width="13.42578125" style="17" bestFit="1" customWidth="1"/>
    <col min="6660" max="6660" width="47.140625" style="17" bestFit="1" customWidth="1"/>
    <col min="6661" max="6661" width="18.7109375" style="17" bestFit="1" customWidth="1"/>
    <col min="6662" max="6663" width="14.140625" style="17" bestFit="1" customWidth="1"/>
    <col min="6664" max="6664" width="14.42578125" style="17" bestFit="1" customWidth="1"/>
    <col min="6665" max="6665" width="10.85546875" style="17" bestFit="1" customWidth="1"/>
    <col min="6666" max="6666" width="5" style="17" bestFit="1" customWidth="1"/>
    <col min="6667" max="6667" width="13" style="17" customWidth="1"/>
    <col min="6668" max="6913" width="9.140625" style="17" customWidth="1"/>
    <col min="6914" max="6914" width="5" style="17" bestFit="1" customWidth="1"/>
    <col min="6915" max="6915" width="13.42578125" style="17" bestFit="1" customWidth="1"/>
    <col min="6916" max="6916" width="47.140625" style="17" bestFit="1" customWidth="1"/>
    <col min="6917" max="6917" width="18.7109375" style="17" bestFit="1" customWidth="1"/>
    <col min="6918" max="6919" width="14.140625" style="17" bestFit="1" customWidth="1"/>
    <col min="6920" max="6920" width="14.42578125" style="17" bestFit="1" customWidth="1"/>
    <col min="6921" max="6921" width="10.85546875" style="17" bestFit="1" customWidth="1"/>
    <col min="6922" max="6922" width="5" style="17" bestFit="1" customWidth="1"/>
    <col min="6923" max="6923" width="13" style="17" customWidth="1"/>
    <col min="6924" max="7169" width="9.140625" style="17" customWidth="1"/>
    <col min="7170" max="7170" width="5" style="17" bestFit="1" customWidth="1"/>
    <col min="7171" max="7171" width="13.42578125" style="17" bestFit="1" customWidth="1"/>
    <col min="7172" max="7172" width="47.140625" style="17" bestFit="1" customWidth="1"/>
    <col min="7173" max="7173" width="18.7109375" style="17" bestFit="1" customWidth="1"/>
    <col min="7174" max="7175" width="14.140625" style="17" bestFit="1" customWidth="1"/>
    <col min="7176" max="7176" width="14.42578125" style="17" bestFit="1" customWidth="1"/>
    <col min="7177" max="7177" width="10.85546875" style="17" bestFit="1" customWidth="1"/>
    <col min="7178" max="7178" width="5" style="17" bestFit="1" customWidth="1"/>
    <col min="7179" max="7179" width="13" style="17" customWidth="1"/>
    <col min="7180" max="7425" width="9.140625" style="17" customWidth="1"/>
    <col min="7426" max="7426" width="5" style="17" bestFit="1" customWidth="1"/>
    <col min="7427" max="7427" width="13.42578125" style="17" bestFit="1" customWidth="1"/>
    <col min="7428" max="7428" width="47.140625" style="17" bestFit="1" customWidth="1"/>
    <col min="7429" max="7429" width="18.7109375" style="17" bestFit="1" customWidth="1"/>
    <col min="7430" max="7431" width="14.140625" style="17" bestFit="1" customWidth="1"/>
    <col min="7432" max="7432" width="14.42578125" style="17" bestFit="1" customWidth="1"/>
    <col min="7433" max="7433" width="10.85546875" style="17" bestFit="1" customWidth="1"/>
    <col min="7434" max="7434" width="5" style="17" bestFit="1" customWidth="1"/>
    <col min="7435" max="7435" width="13" style="17" customWidth="1"/>
    <col min="7436" max="7681" width="9.140625" style="17" customWidth="1"/>
    <col min="7682" max="7682" width="5" style="17" bestFit="1" customWidth="1"/>
    <col min="7683" max="7683" width="13.42578125" style="17" bestFit="1" customWidth="1"/>
    <col min="7684" max="7684" width="47.140625" style="17" bestFit="1" customWidth="1"/>
    <col min="7685" max="7685" width="18.7109375" style="17" bestFit="1" customWidth="1"/>
    <col min="7686" max="7687" width="14.140625" style="17" bestFit="1" customWidth="1"/>
    <col min="7688" max="7688" width="14.42578125" style="17" bestFit="1" customWidth="1"/>
    <col min="7689" max="7689" width="10.85546875" style="17" bestFit="1" customWidth="1"/>
    <col min="7690" max="7690" width="5" style="17" bestFit="1" customWidth="1"/>
    <col min="7691" max="7691" width="13" style="17" customWidth="1"/>
    <col min="7692" max="7937" width="9.140625" style="17" customWidth="1"/>
    <col min="7938" max="7938" width="5" style="17" bestFit="1" customWidth="1"/>
    <col min="7939" max="7939" width="13.42578125" style="17" bestFit="1" customWidth="1"/>
    <col min="7940" max="7940" width="47.140625" style="17" bestFit="1" customWidth="1"/>
    <col min="7941" max="7941" width="18.7109375" style="17" bestFit="1" customWidth="1"/>
    <col min="7942" max="7943" width="14.140625" style="17" bestFit="1" customWidth="1"/>
    <col min="7944" max="7944" width="14.42578125" style="17" bestFit="1" customWidth="1"/>
    <col min="7945" max="7945" width="10.85546875" style="17" bestFit="1" customWidth="1"/>
    <col min="7946" max="7946" width="5" style="17" bestFit="1" customWidth="1"/>
    <col min="7947" max="7947" width="13" style="17" customWidth="1"/>
    <col min="7948" max="8193" width="9.140625" style="17" customWidth="1"/>
    <col min="8194" max="8194" width="5" style="17" bestFit="1" customWidth="1"/>
    <col min="8195" max="8195" width="13.42578125" style="17" bestFit="1" customWidth="1"/>
    <col min="8196" max="8196" width="47.140625" style="17" bestFit="1" customWidth="1"/>
    <col min="8197" max="8197" width="18.7109375" style="17" bestFit="1" customWidth="1"/>
    <col min="8198" max="8199" width="14.140625" style="17" bestFit="1" customWidth="1"/>
    <col min="8200" max="8200" width="14.42578125" style="17" bestFit="1" customWidth="1"/>
    <col min="8201" max="8201" width="10.85546875" style="17" bestFit="1" customWidth="1"/>
    <col min="8202" max="8202" width="5" style="17" bestFit="1" customWidth="1"/>
    <col min="8203" max="8203" width="13" style="17" customWidth="1"/>
    <col min="8204" max="8449" width="9.140625" style="17" customWidth="1"/>
    <col min="8450" max="8450" width="5" style="17" bestFit="1" customWidth="1"/>
    <col min="8451" max="8451" width="13.42578125" style="17" bestFit="1" customWidth="1"/>
    <col min="8452" max="8452" width="47.140625" style="17" bestFit="1" customWidth="1"/>
    <col min="8453" max="8453" width="18.7109375" style="17" bestFit="1" customWidth="1"/>
    <col min="8454" max="8455" width="14.140625" style="17" bestFit="1" customWidth="1"/>
    <col min="8456" max="8456" width="14.42578125" style="17" bestFit="1" customWidth="1"/>
    <col min="8457" max="8457" width="10.85546875" style="17" bestFit="1" customWidth="1"/>
    <col min="8458" max="8458" width="5" style="17" bestFit="1" customWidth="1"/>
    <col min="8459" max="8459" width="13" style="17" customWidth="1"/>
    <col min="8460" max="8705" width="9.140625" style="17" customWidth="1"/>
    <col min="8706" max="8706" width="5" style="17" bestFit="1" customWidth="1"/>
    <col min="8707" max="8707" width="13.42578125" style="17" bestFit="1" customWidth="1"/>
    <col min="8708" max="8708" width="47.140625" style="17" bestFit="1" customWidth="1"/>
    <col min="8709" max="8709" width="18.7109375" style="17" bestFit="1" customWidth="1"/>
    <col min="8710" max="8711" width="14.140625" style="17" bestFit="1" customWidth="1"/>
    <col min="8712" max="8712" width="14.42578125" style="17" bestFit="1" customWidth="1"/>
    <col min="8713" max="8713" width="10.85546875" style="17" bestFit="1" customWidth="1"/>
    <col min="8714" max="8714" width="5" style="17" bestFit="1" customWidth="1"/>
    <col min="8715" max="8715" width="13" style="17" customWidth="1"/>
    <col min="8716" max="8961" width="9.140625" style="17" customWidth="1"/>
    <col min="8962" max="8962" width="5" style="17" bestFit="1" customWidth="1"/>
    <col min="8963" max="8963" width="13.42578125" style="17" bestFit="1" customWidth="1"/>
    <col min="8964" max="8964" width="47.140625" style="17" bestFit="1" customWidth="1"/>
    <col min="8965" max="8965" width="18.7109375" style="17" bestFit="1" customWidth="1"/>
    <col min="8966" max="8967" width="14.140625" style="17" bestFit="1" customWidth="1"/>
    <col min="8968" max="8968" width="14.42578125" style="17" bestFit="1" customWidth="1"/>
    <col min="8969" max="8969" width="10.85546875" style="17" bestFit="1" customWidth="1"/>
    <col min="8970" max="8970" width="5" style="17" bestFit="1" customWidth="1"/>
    <col min="8971" max="8971" width="13" style="17" customWidth="1"/>
    <col min="8972" max="9217" width="9.140625" style="17" customWidth="1"/>
    <col min="9218" max="9218" width="5" style="17" bestFit="1" customWidth="1"/>
    <col min="9219" max="9219" width="13.42578125" style="17" bestFit="1" customWidth="1"/>
    <col min="9220" max="9220" width="47.140625" style="17" bestFit="1" customWidth="1"/>
    <col min="9221" max="9221" width="18.7109375" style="17" bestFit="1" customWidth="1"/>
    <col min="9222" max="9223" width="14.140625" style="17" bestFit="1" customWidth="1"/>
    <col min="9224" max="9224" width="14.42578125" style="17" bestFit="1" customWidth="1"/>
    <col min="9225" max="9225" width="10.85546875" style="17" bestFit="1" customWidth="1"/>
    <col min="9226" max="9226" width="5" style="17" bestFit="1" customWidth="1"/>
    <col min="9227" max="9227" width="13" style="17" customWidth="1"/>
    <col min="9228" max="9473" width="9.140625" style="17" customWidth="1"/>
    <col min="9474" max="9474" width="5" style="17" bestFit="1" customWidth="1"/>
    <col min="9475" max="9475" width="13.42578125" style="17" bestFit="1" customWidth="1"/>
    <col min="9476" max="9476" width="47.140625" style="17" bestFit="1" customWidth="1"/>
    <col min="9477" max="9477" width="18.7109375" style="17" bestFit="1" customWidth="1"/>
    <col min="9478" max="9479" width="14.140625" style="17" bestFit="1" customWidth="1"/>
    <col min="9480" max="9480" width="14.42578125" style="17" bestFit="1" customWidth="1"/>
    <col min="9481" max="9481" width="10.85546875" style="17" bestFit="1" customWidth="1"/>
    <col min="9482" max="9482" width="5" style="17" bestFit="1" customWidth="1"/>
    <col min="9483" max="9483" width="13" style="17" customWidth="1"/>
    <col min="9484" max="9729" width="9.140625" style="17" customWidth="1"/>
    <col min="9730" max="9730" width="5" style="17" bestFit="1" customWidth="1"/>
    <col min="9731" max="9731" width="13.42578125" style="17" bestFit="1" customWidth="1"/>
    <col min="9732" max="9732" width="47.140625" style="17" bestFit="1" customWidth="1"/>
    <col min="9733" max="9733" width="18.7109375" style="17" bestFit="1" customWidth="1"/>
    <col min="9734" max="9735" width="14.140625" style="17" bestFit="1" customWidth="1"/>
    <col min="9736" max="9736" width="14.42578125" style="17" bestFit="1" customWidth="1"/>
    <col min="9737" max="9737" width="10.85546875" style="17" bestFit="1" customWidth="1"/>
    <col min="9738" max="9738" width="5" style="17" bestFit="1" customWidth="1"/>
    <col min="9739" max="9739" width="13" style="17" customWidth="1"/>
    <col min="9740" max="9985" width="9.140625" style="17" customWidth="1"/>
    <col min="9986" max="9986" width="5" style="17" bestFit="1" customWidth="1"/>
    <col min="9987" max="9987" width="13.42578125" style="17" bestFit="1" customWidth="1"/>
    <col min="9988" max="9988" width="47.140625" style="17" bestFit="1" customWidth="1"/>
    <col min="9989" max="9989" width="18.7109375" style="17" bestFit="1" customWidth="1"/>
    <col min="9990" max="9991" width="14.140625" style="17" bestFit="1" customWidth="1"/>
    <col min="9992" max="9992" width="14.42578125" style="17" bestFit="1" customWidth="1"/>
    <col min="9993" max="9993" width="10.85546875" style="17" bestFit="1" customWidth="1"/>
    <col min="9994" max="9994" width="5" style="17" bestFit="1" customWidth="1"/>
    <col min="9995" max="9995" width="13" style="17" customWidth="1"/>
    <col min="9996" max="10241" width="9.140625" style="17" customWidth="1"/>
    <col min="10242" max="10242" width="5" style="17" bestFit="1" customWidth="1"/>
    <col min="10243" max="10243" width="13.42578125" style="17" bestFit="1" customWidth="1"/>
    <col min="10244" max="10244" width="47.140625" style="17" bestFit="1" customWidth="1"/>
    <col min="10245" max="10245" width="18.7109375" style="17" bestFit="1" customWidth="1"/>
    <col min="10246" max="10247" width="14.140625" style="17" bestFit="1" customWidth="1"/>
    <col min="10248" max="10248" width="14.42578125" style="17" bestFit="1" customWidth="1"/>
    <col min="10249" max="10249" width="10.85546875" style="17" bestFit="1" customWidth="1"/>
    <col min="10250" max="10250" width="5" style="17" bestFit="1" customWidth="1"/>
    <col min="10251" max="10251" width="13" style="17" customWidth="1"/>
    <col min="10252" max="10497" width="9.140625" style="17" customWidth="1"/>
    <col min="10498" max="10498" width="5" style="17" bestFit="1" customWidth="1"/>
    <col min="10499" max="10499" width="13.42578125" style="17" bestFit="1" customWidth="1"/>
    <col min="10500" max="10500" width="47.140625" style="17" bestFit="1" customWidth="1"/>
    <col min="10501" max="10501" width="18.7109375" style="17" bestFit="1" customWidth="1"/>
    <col min="10502" max="10503" width="14.140625" style="17" bestFit="1" customWidth="1"/>
    <col min="10504" max="10504" width="14.42578125" style="17" bestFit="1" customWidth="1"/>
    <col min="10505" max="10505" width="10.85546875" style="17" bestFit="1" customWidth="1"/>
    <col min="10506" max="10506" width="5" style="17" bestFit="1" customWidth="1"/>
    <col min="10507" max="10507" width="13" style="17" customWidth="1"/>
    <col min="10508" max="10753" width="9.140625" style="17" customWidth="1"/>
    <col min="10754" max="10754" width="5" style="17" bestFit="1" customWidth="1"/>
    <col min="10755" max="10755" width="13.42578125" style="17" bestFit="1" customWidth="1"/>
    <col min="10756" max="10756" width="47.140625" style="17" bestFit="1" customWidth="1"/>
    <col min="10757" max="10757" width="18.7109375" style="17" bestFit="1" customWidth="1"/>
    <col min="10758" max="10759" width="14.140625" style="17" bestFit="1" customWidth="1"/>
    <col min="10760" max="10760" width="14.42578125" style="17" bestFit="1" customWidth="1"/>
    <col min="10761" max="10761" width="10.85546875" style="17" bestFit="1" customWidth="1"/>
    <col min="10762" max="10762" width="5" style="17" bestFit="1" customWidth="1"/>
    <col min="10763" max="10763" width="13" style="17" customWidth="1"/>
    <col min="10764" max="11009" width="9.140625" style="17" customWidth="1"/>
    <col min="11010" max="11010" width="5" style="17" bestFit="1" customWidth="1"/>
    <col min="11011" max="11011" width="13.42578125" style="17" bestFit="1" customWidth="1"/>
    <col min="11012" max="11012" width="47.140625" style="17" bestFit="1" customWidth="1"/>
    <col min="11013" max="11013" width="18.7109375" style="17" bestFit="1" customWidth="1"/>
    <col min="11014" max="11015" width="14.140625" style="17" bestFit="1" customWidth="1"/>
    <col min="11016" max="11016" width="14.42578125" style="17" bestFit="1" customWidth="1"/>
    <col min="11017" max="11017" width="10.85546875" style="17" bestFit="1" customWidth="1"/>
    <col min="11018" max="11018" width="5" style="17" bestFit="1" customWidth="1"/>
    <col min="11019" max="11019" width="13" style="17" customWidth="1"/>
    <col min="11020" max="11265" width="9.140625" style="17" customWidth="1"/>
    <col min="11266" max="11266" width="5" style="17" bestFit="1" customWidth="1"/>
    <col min="11267" max="11267" width="13.42578125" style="17" bestFit="1" customWidth="1"/>
    <col min="11268" max="11268" width="47.140625" style="17" bestFit="1" customWidth="1"/>
    <col min="11269" max="11269" width="18.7109375" style="17" bestFit="1" customWidth="1"/>
    <col min="11270" max="11271" width="14.140625" style="17" bestFit="1" customWidth="1"/>
    <col min="11272" max="11272" width="14.42578125" style="17" bestFit="1" customWidth="1"/>
    <col min="11273" max="11273" width="10.85546875" style="17" bestFit="1" customWidth="1"/>
    <col min="11274" max="11274" width="5" style="17" bestFit="1" customWidth="1"/>
    <col min="11275" max="11275" width="13" style="17" customWidth="1"/>
    <col min="11276" max="11521" width="9.140625" style="17" customWidth="1"/>
    <col min="11522" max="11522" width="5" style="17" bestFit="1" customWidth="1"/>
    <col min="11523" max="11523" width="13.42578125" style="17" bestFit="1" customWidth="1"/>
    <col min="11524" max="11524" width="47.140625" style="17" bestFit="1" customWidth="1"/>
    <col min="11525" max="11525" width="18.7109375" style="17" bestFit="1" customWidth="1"/>
    <col min="11526" max="11527" width="14.140625" style="17" bestFit="1" customWidth="1"/>
    <col min="11528" max="11528" width="14.42578125" style="17" bestFit="1" customWidth="1"/>
    <col min="11529" max="11529" width="10.85546875" style="17" bestFit="1" customWidth="1"/>
    <col min="11530" max="11530" width="5" style="17" bestFit="1" customWidth="1"/>
    <col min="11531" max="11531" width="13" style="17" customWidth="1"/>
    <col min="11532" max="11777" width="9.140625" style="17" customWidth="1"/>
    <col min="11778" max="11778" width="5" style="17" bestFit="1" customWidth="1"/>
    <col min="11779" max="11779" width="13.42578125" style="17" bestFit="1" customWidth="1"/>
    <col min="11780" max="11780" width="47.140625" style="17" bestFit="1" customWidth="1"/>
    <col min="11781" max="11781" width="18.7109375" style="17" bestFit="1" customWidth="1"/>
    <col min="11782" max="11783" width="14.140625" style="17" bestFit="1" customWidth="1"/>
    <col min="11784" max="11784" width="14.42578125" style="17" bestFit="1" customWidth="1"/>
    <col min="11785" max="11785" width="10.85546875" style="17" bestFit="1" customWidth="1"/>
    <col min="11786" max="11786" width="5" style="17" bestFit="1" customWidth="1"/>
    <col min="11787" max="11787" width="13" style="17" customWidth="1"/>
    <col min="11788" max="12033" width="9.140625" style="17" customWidth="1"/>
    <col min="12034" max="12034" width="5" style="17" bestFit="1" customWidth="1"/>
    <col min="12035" max="12035" width="13.42578125" style="17" bestFit="1" customWidth="1"/>
    <col min="12036" max="12036" width="47.140625" style="17" bestFit="1" customWidth="1"/>
    <col min="12037" max="12037" width="18.7109375" style="17" bestFit="1" customWidth="1"/>
    <col min="12038" max="12039" width="14.140625" style="17" bestFit="1" customWidth="1"/>
    <col min="12040" max="12040" width="14.42578125" style="17" bestFit="1" customWidth="1"/>
    <col min="12041" max="12041" width="10.85546875" style="17" bestFit="1" customWidth="1"/>
    <col min="12042" max="12042" width="5" style="17" bestFit="1" customWidth="1"/>
    <col min="12043" max="12043" width="13" style="17" customWidth="1"/>
    <col min="12044" max="12289" width="9.140625" style="17" customWidth="1"/>
    <col min="12290" max="12290" width="5" style="17" bestFit="1" customWidth="1"/>
    <col min="12291" max="12291" width="13.42578125" style="17" bestFit="1" customWidth="1"/>
    <col min="12292" max="12292" width="47.140625" style="17" bestFit="1" customWidth="1"/>
    <col min="12293" max="12293" width="18.7109375" style="17" bestFit="1" customWidth="1"/>
    <col min="12294" max="12295" width="14.140625" style="17" bestFit="1" customWidth="1"/>
    <col min="12296" max="12296" width="14.42578125" style="17" bestFit="1" customWidth="1"/>
    <col min="12297" max="12297" width="10.85546875" style="17" bestFit="1" customWidth="1"/>
    <col min="12298" max="12298" width="5" style="17" bestFit="1" customWidth="1"/>
    <col min="12299" max="12299" width="13" style="17" customWidth="1"/>
    <col min="12300" max="12545" width="9.140625" style="17" customWidth="1"/>
    <col min="12546" max="12546" width="5" style="17" bestFit="1" customWidth="1"/>
    <col min="12547" max="12547" width="13.42578125" style="17" bestFit="1" customWidth="1"/>
    <col min="12548" max="12548" width="47.140625" style="17" bestFit="1" customWidth="1"/>
    <col min="12549" max="12549" width="18.7109375" style="17" bestFit="1" customWidth="1"/>
    <col min="12550" max="12551" width="14.140625" style="17" bestFit="1" customWidth="1"/>
    <col min="12552" max="12552" width="14.42578125" style="17" bestFit="1" customWidth="1"/>
    <col min="12553" max="12553" width="10.85546875" style="17" bestFit="1" customWidth="1"/>
    <col min="12554" max="12554" width="5" style="17" bestFit="1" customWidth="1"/>
    <col min="12555" max="12555" width="13" style="17" customWidth="1"/>
    <col min="12556" max="12801" width="9.140625" style="17" customWidth="1"/>
    <col min="12802" max="12802" width="5" style="17" bestFit="1" customWidth="1"/>
    <col min="12803" max="12803" width="13.42578125" style="17" bestFit="1" customWidth="1"/>
    <col min="12804" max="12804" width="47.140625" style="17" bestFit="1" customWidth="1"/>
    <col min="12805" max="12805" width="18.7109375" style="17" bestFit="1" customWidth="1"/>
    <col min="12806" max="12807" width="14.140625" style="17" bestFit="1" customWidth="1"/>
    <col min="12808" max="12808" width="14.42578125" style="17" bestFit="1" customWidth="1"/>
    <col min="12809" max="12809" width="10.85546875" style="17" bestFit="1" customWidth="1"/>
    <col min="12810" max="12810" width="5" style="17" bestFit="1" customWidth="1"/>
    <col min="12811" max="12811" width="13" style="17" customWidth="1"/>
    <col min="12812" max="13057" width="9.140625" style="17" customWidth="1"/>
    <col min="13058" max="13058" width="5" style="17" bestFit="1" customWidth="1"/>
    <col min="13059" max="13059" width="13.42578125" style="17" bestFit="1" customWidth="1"/>
    <col min="13060" max="13060" width="47.140625" style="17" bestFit="1" customWidth="1"/>
    <col min="13061" max="13061" width="18.7109375" style="17" bestFit="1" customWidth="1"/>
    <col min="13062" max="13063" width="14.140625" style="17" bestFit="1" customWidth="1"/>
    <col min="13064" max="13064" width="14.42578125" style="17" bestFit="1" customWidth="1"/>
    <col min="13065" max="13065" width="10.85546875" style="17" bestFit="1" customWidth="1"/>
    <col min="13066" max="13066" width="5" style="17" bestFit="1" customWidth="1"/>
    <col min="13067" max="13067" width="13" style="17" customWidth="1"/>
    <col min="13068" max="13313" width="9.140625" style="17" customWidth="1"/>
    <col min="13314" max="13314" width="5" style="17" bestFit="1" customWidth="1"/>
    <col min="13315" max="13315" width="13.42578125" style="17" bestFit="1" customWidth="1"/>
    <col min="13316" max="13316" width="47.140625" style="17" bestFit="1" customWidth="1"/>
    <col min="13317" max="13317" width="18.7109375" style="17" bestFit="1" customWidth="1"/>
    <col min="13318" max="13319" width="14.140625" style="17" bestFit="1" customWidth="1"/>
    <col min="13320" max="13320" width="14.42578125" style="17" bestFit="1" customWidth="1"/>
    <col min="13321" max="13321" width="10.85546875" style="17" bestFit="1" customWidth="1"/>
    <col min="13322" max="13322" width="5" style="17" bestFit="1" customWidth="1"/>
    <col min="13323" max="13323" width="13" style="17" customWidth="1"/>
    <col min="13324" max="13569" width="9.140625" style="17" customWidth="1"/>
    <col min="13570" max="13570" width="5" style="17" bestFit="1" customWidth="1"/>
    <col min="13571" max="13571" width="13.42578125" style="17" bestFit="1" customWidth="1"/>
    <col min="13572" max="13572" width="47.140625" style="17" bestFit="1" customWidth="1"/>
    <col min="13573" max="13573" width="18.7109375" style="17" bestFit="1" customWidth="1"/>
    <col min="13574" max="13575" width="14.140625" style="17" bestFit="1" customWidth="1"/>
    <col min="13576" max="13576" width="14.42578125" style="17" bestFit="1" customWidth="1"/>
    <col min="13577" max="13577" width="10.85546875" style="17" bestFit="1" customWidth="1"/>
    <col min="13578" max="13578" width="5" style="17" bestFit="1" customWidth="1"/>
    <col min="13579" max="13579" width="13" style="17" customWidth="1"/>
    <col min="13580" max="13825" width="9.140625" style="17" customWidth="1"/>
    <col min="13826" max="13826" width="5" style="17" bestFit="1" customWidth="1"/>
    <col min="13827" max="13827" width="13.42578125" style="17" bestFit="1" customWidth="1"/>
    <col min="13828" max="13828" width="47.140625" style="17" bestFit="1" customWidth="1"/>
    <col min="13829" max="13829" width="18.7109375" style="17" bestFit="1" customWidth="1"/>
    <col min="13830" max="13831" width="14.140625" style="17" bestFit="1" customWidth="1"/>
    <col min="13832" max="13832" width="14.42578125" style="17" bestFit="1" customWidth="1"/>
    <col min="13833" max="13833" width="10.85546875" style="17" bestFit="1" customWidth="1"/>
    <col min="13834" max="13834" width="5" style="17" bestFit="1" customWidth="1"/>
    <col min="13835" max="13835" width="13" style="17" customWidth="1"/>
    <col min="13836" max="14081" width="9.140625" style="17" customWidth="1"/>
    <col min="14082" max="14082" width="5" style="17" bestFit="1" customWidth="1"/>
    <col min="14083" max="14083" width="13.42578125" style="17" bestFit="1" customWidth="1"/>
    <col min="14084" max="14084" width="47.140625" style="17" bestFit="1" customWidth="1"/>
    <col min="14085" max="14085" width="18.7109375" style="17" bestFit="1" customWidth="1"/>
    <col min="14086" max="14087" width="14.140625" style="17" bestFit="1" customWidth="1"/>
    <col min="14088" max="14088" width="14.42578125" style="17" bestFit="1" customWidth="1"/>
    <col min="14089" max="14089" width="10.85546875" style="17" bestFit="1" customWidth="1"/>
    <col min="14090" max="14090" width="5" style="17" bestFit="1" customWidth="1"/>
    <col min="14091" max="14091" width="13" style="17" customWidth="1"/>
    <col min="14092" max="14337" width="9.140625" style="17" customWidth="1"/>
    <col min="14338" max="14338" width="5" style="17" bestFit="1" customWidth="1"/>
    <col min="14339" max="14339" width="13.42578125" style="17" bestFit="1" customWidth="1"/>
    <col min="14340" max="14340" width="47.140625" style="17" bestFit="1" customWidth="1"/>
    <col min="14341" max="14341" width="18.7109375" style="17" bestFit="1" customWidth="1"/>
    <col min="14342" max="14343" width="14.140625" style="17" bestFit="1" customWidth="1"/>
    <col min="14344" max="14344" width="14.42578125" style="17" bestFit="1" customWidth="1"/>
    <col min="14345" max="14345" width="10.85546875" style="17" bestFit="1" customWidth="1"/>
    <col min="14346" max="14346" width="5" style="17" bestFit="1" customWidth="1"/>
    <col min="14347" max="14347" width="13" style="17" customWidth="1"/>
    <col min="14348" max="14593" width="9.140625" style="17" customWidth="1"/>
    <col min="14594" max="14594" width="5" style="17" bestFit="1" customWidth="1"/>
    <col min="14595" max="14595" width="13.42578125" style="17" bestFit="1" customWidth="1"/>
    <col min="14596" max="14596" width="47.140625" style="17" bestFit="1" customWidth="1"/>
    <col min="14597" max="14597" width="18.7109375" style="17" bestFit="1" customWidth="1"/>
    <col min="14598" max="14599" width="14.140625" style="17" bestFit="1" customWidth="1"/>
    <col min="14600" max="14600" width="14.42578125" style="17" bestFit="1" customWidth="1"/>
    <col min="14601" max="14601" width="10.85546875" style="17" bestFit="1" customWidth="1"/>
    <col min="14602" max="14602" width="5" style="17" bestFit="1" customWidth="1"/>
    <col min="14603" max="14603" width="13" style="17" customWidth="1"/>
    <col min="14604" max="14849" width="9.140625" style="17" customWidth="1"/>
    <col min="14850" max="14850" width="5" style="17" bestFit="1" customWidth="1"/>
    <col min="14851" max="14851" width="13.42578125" style="17" bestFit="1" customWidth="1"/>
    <col min="14852" max="14852" width="47.140625" style="17" bestFit="1" customWidth="1"/>
    <col min="14853" max="14853" width="18.7109375" style="17" bestFit="1" customWidth="1"/>
    <col min="14854" max="14855" width="14.140625" style="17" bestFit="1" customWidth="1"/>
    <col min="14856" max="14856" width="14.42578125" style="17" bestFit="1" customWidth="1"/>
    <col min="14857" max="14857" width="10.85546875" style="17" bestFit="1" customWidth="1"/>
    <col min="14858" max="14858" width="5" style="17" bestFit="1" customWidth="1"/>
    <col min="14859" max="14859" width="13" style="17" customWidth="1"/>
    <col min="14860" max="15105" width="9.140625" style="17" customWidth="1"/>
    <col min="15106" max="15106" width="5" style="17" bestFit="1" customWidth="1"/>
    <col min="15107" max="15107" width="13.42578125" style="17" bestFit="1" customWidth="1"/>
    <col min="15108" max="15108" width="47.140625" style="17" bestFit="1" customWidth="1"/>
    <col min="15109" max="15109" width="18.7109375" style="17" bestFit="1" customWidth="1"/>
    <col min="15110" max="15111" width="14.140625" style="17" bestFit="1" customWidth="1"/>
    <col min="15112" max="15112" width="14.42578125" style="17" bestFit="1" customWidth="1"/>
    <col min="15113" max="15113" width="10.85546875" style="17" bestFit="1" customWidth="1"/>
    <col min="15114" max="15114" width="5" style="17" bestFit="1" customWidth="1"/>
    <col min="15115" max="15115" width="13" style="17" customWidth="1"/>
    <col min="15116" max="15361" width="9.140625" style="17" customWidth="1"/>
    <col min="15362" max="15362" width="5" style="17" bestFit="1" customWidth="1"/>
    <col min="15363" max="15363" width="13.42578125" style="17" bestFit="1" customWidth="1"/>
    <col min="15364" max="15364" width="47.140625" style="17" bestFit="1" customWidth="1"/>
    <col min="15365" max="15365" width="18.7109375" style="17" bestFit="1" customWidth="1"/>
    <col min="15366" max="15367" width="14.140625" style="17" bestFit="1" customWidth="1"/>
    <col min="15368" max="15368" width="14.42578125" style="17" bestFit="1" customWidth="1"/>
    <col min="15369" max="15369" width="10.85546875" style="17" bestFit="1" customWidth="1"/>
    <col min="15370" max="15370" width="5" style="17" bestFit="1" customWidth="1"/>
    <col min="15371" max="15371" width="13" style="17" customWidth="1"/>
    <col min="15372" max="15617" width="9.140625" style="17" customWidth="1"/>
    <col min="15618" max="15618" width="5" style="17" bestFit="1" customWidth="1"/>
    <col min="15619" max="15619" width="13.42578125" style="17" bestFit="1" customWidth="1"/>
    <col min="15620" max="15620" width="47.140625" style="17" bestFit="1" customWidth="1"/>
    <col min="15621" max="15621" width="18.7109375" style="17" bestFit="1" customWidth="1"/>
    <col min="15622" max="15623" width="14.140625" style="17" bestFit="1" customWidth="1"/>
    <col min="15624" max="15624" width="14.42578125" style="17" bestFit="1" customWidth="1"/>
    <col min="15625" max="15625" width="10.85546875" style="17" bestFit="1" customWidth="1"/>
    <col min="15626" max="15626" width="5" style="17" bestFit="1" customWidth="1"/>
    <col min="15627" max="15627" width="13" style="17" customWidth="1"/>
    <col min="15628" max="15873" width="9.140625" style="17" customWidth="1"/>
    <col min="15874" max="15874" width="5" style="17" bestFit="1" customWidth="1"/>
    <col min="15875" max="15875" width="13.42578125" style="17" bestFit="1" customWidth="1"/>
    <col min="15876" max="15876" width="47.140625" style="17" bestFit="1" customWidth="1"/>
    <col min="15877" max="15877" width="18.7109375" style="17" bestFit="1" customWidth="1"/>
    <col min="15878" max="15879" width="14.140625" style="17" bestFit="1" customWidth="1"/>
    <col min="15880" max="15880" width="14.42578125" style="17" bestFit="1" customWidth="1"/>
    <col min="15881" max="15881" width="10.85546875" style="17" bestFit="1" customWidth="1"/>
    <col min="15882" max="15882" width="5" style="17" bestFit="1" customWidth="1"/>
    <col min="15883" max="15883" width="13" style="17" customWidth="1"/>
    <col min="15884" max="16129" width="9.140625" style="17" customWidth="1"/>
    <col min="16130" max="16130" width="5" style="17" bestFit="1" customWidth="1"/>
    <col min="16131" max="16131" width="13.42578125" style="17" bestFit="1" customWidth="1"/>
    <col min="16132" max="16132" width="47.140625" style="17" bestFit="1" customWidth="1"/>
    <col min="16133" max="16133" width="18.7109375" style="17" bestFit="1" customWidth="1"/>
    <col min="16134" max="16135" width="14.140625" style="17" bestFit="1" customWidth="1"/>
    <col min="16136" max="16136" width="14.42578125" style="17" bestFit="1" customWidth="1"/>
    <col min="16137" max="16137" width="10.85546875" style="17" bestFit="1" customWidth="1"/>
    <col min="16138" max="16138" width="5" style="17" bestFit="1" customWidth="1"/>
    <col min="16139" max="16139" width="13" style="17" customWidth="1"/>
    <col min="16140" max="16384" width="9.140625" style="17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</sheetData>
  <pageMargins left="0.75" right="0.75" top="1" bottom="1" header="0.5" footer="0.5"/>
  <pageSetup orientation="portrait" horizontalDpi="300" verticalDpi="300" copies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B88EC-4F75-4590-BF24-87C6D57ECE3D}">
  <sheetPr codeName="Hoja5"/>
  <dimension ref="A1:AG211"/>
  <sheetViews>
    <sheetView zoomScale="80" zoomScaleNormal="80" workbookViewId="0">
      <pane ySplit="1" topLeftCell="A37" activePane="bottomLeft" state="frozen"/>
      <selection activeCell="A2" sqref="A2:XFD1048576"/>
      <selection pane="bottomLeft" activeCell="N67" sqref="N67"/>
    </sheetView>
  </sheetViews>
  <sheetFormatPr baseColWidth="10" defaultRowHeight="12.75"/>
  <cols>
    <col min="1" max="1" width="5" bestFit="1" customWidth="1"/>
    <col min="2" max="2" width="13.42578125" bestFit="1" customWidth="1"/>
    <col min="3" max="3" width="66.28515625" customWidth="1"/>
    <col min="4" max="4" width="18.7109375" hidden="1" customWidth="1"/>
    <col min="5" max="6" width="15.28515625" style="20" bestFit="1" customWidth="1"/>
    <col min="7" max="7" width="15.85546875" style="20" bestFit="1" customWidth="1"/>
    <col min="8" max="8" width="10.85546875" bestFit="1" customWidth="1"/>
    <col min="9" max="9" width="14.140625" bestFit="1" customWidth="1"/>
    <col min="10" max="10" width="27.85546875" bestFit="1" customWidth="1"/>
    <col min="11" max="11" width="29.85546875" bestFit="1" customWidth="1"/>
    <col min="12" max="12" width="8.85546875" customWidth="1"/>
    <col min="13" max="13" width="15.28515625" customWidth="1"/>
    <col min="14" max="14" width="17.85546875" bestFit="1" customWidth="1"/>
    <col min="15" max="15" width="15.42578125" customWidth="1"/>
    <col min="16" max="16" width="14.5703125" bestFit="1" customWidth="1"/>
    <col min="17" max="18" width="16.28515625" bestFit="1" customWidth="1"/>
    <col min="19" max="19" width="16" bestFit="1" customWidth="1"/>
    <col min="20" max="20" width="14.5703125" bestFit="1" customWidth="1"/>
    <col min="21" max="21" width="15.28515625" customWidth="1"/>
    <col min="22" max="22" width="15.28515625" bestFit="1" customWidth="1"/>
    <col min="23" max="24" width="14.42578125" customWidth="1"/>
    <col min="25" max="26" width="16.7109375" bestFit="1" customWidth="1"/>
    <col min="27" max="27" width="13.85546875" customWidth="1"/>
    <col min="28" max="28" width="14.28515625" customWidth="1"/>
    <col min="29" max="30" width="10.7109375" customWidth="1"/>
    <col min="31" max="31" width="8.85546875" customWidth="1"/>
    <col min="32" max="32" width="12.85546875" customWidth="1"/>
    <col min="33" max="257" width="8.85546875" customWidth="1"/>
    <col min="258" max="258" width="5" bestFit="1" customWidth="1"/>
    <col min="259" max="259" width="13.42578125" bestFit="1" customWidth="1"/>
    <col min="260" max="260" width="47.28515625" bestFit="1" customWidth="1"/>
    <col min="261" max="261" width="18.7109375" bestFit="1" customWidth="1"/>
    <col min="262" max="264" width="14.85546875" bestFit="1" customWidth="1"/>
    <col min="265" max="265" width="10.85546875" bestFit="1" customWidth="1"/>
    <col min="266" max="266" width="5" bestFit="1" customWidth="1"/>
    <col min="267" max="267" width="13.140625" customWidth="1"/>
    <col min="268" max="513" width="8.85546875" customWidth="1"/>
    <col min="514" max="514" width="5" bestFit="1" customWidth="1"/>
    <col min="515" max="515" width="13.42578125" bestFit="1" customWidth="1"/>
    <col min="516" max="516" width="47.28515625" bestFit="1" customWidth="1"/>
    <col min="517" max="517" width="18.7109375" bestFit="1" customWidth="1"/>
    <col min="518" max="520" width="14.85546875" bestFit="1" customWidth="1"/>
    <col min="521" max="521" width="10.85546875" bestFit="1" customWidth="1"/>
    <col min="522" max="522" width="5" bestFit="1" customWidth="1"/>
    <col min="523" max="523" width="13.140625" customWidth="1"/>
    <col min="524" max="769" width="8.85546875" customWidth="1"/>
    <col min="770" max="770" width="5" bestFit="1" customWidth="1"/>
    <col min="771" max="771" width="13.42578125" bestFit="1" customWidth="1"/>
    <col min="772" max="772" width="47.28515625" bestFit="1" customWidth="1"/>
    <col min="773" max="773" width="18.7109375" bestFit="1" customWidth="1"/>
    <col min="774" max="776" width="14.85546875" bestFit="1" customWidth="1"/>
    <col min="777" max="777" width="10.85546875" bestFit="1" customWidth="1"/>
    <col min="778" max="778" width="5" bestFit="1" customWidth="1"/>
    <col min="779" max="779" width="13.140625" customWidth="1"/>
    <col min="780" max="1025" width="8.85546875" customWidth="1"/>
    <col min="1026" max="1026" width="5" bestFit="1" customWidth="1"/>
    <col min="1027" max="1027" width="13.42578125" bestFit="1" customWidth="1"/>
    <col min="1028" max="1028" width="47.28515625" bestFit="1" customWidth="1"/>
    <col min="1029" max="1029" width="18.7109375" bestFit="1" customWidth="1"/>
    <col min="1030" max="1032" width="14.85546875" bestFit="1" customWidth="1"/>
    <col min="1033" max="1033" width="10.85546875" bestFit="1" customWidth="1"/>
    <col min="1034" max="1034" width="5" bestFit="1" customWidth="1"/>
    <col min="1035" max="1035" width="13.140625" customWidth="1"/>
    <col min="1036" max="1281" width="8.85546875" customWidth="1"/>
    <col min="1282" max="1282" width="5" bestFit="1" customWidth="1"/>
    <col min="1283" max="1283" width="13.42578125" bestFit="1" customWidth="1"/>
    <col min="1284" max="1284" width="47.28515625" bestFit="1" customWidth="1"/>
    <col min="1285" max="1285" width="18.7109375" bestFit="1" customWidth="1"/>
    <col min="1286" max="1288" width="14.85546875" bestFit="1" customWidth="1"/>
    <col min="1289" max="1289" width="10.85546875" bestFit="1" customWidth="1"/>
    <col min="1290" max="1290" width="5" bestFit="1" customWidth="1"/>
    <col min="1291" max="1291" width="13.140625" customWidth="1"/>
    <col min="1292" max="1537" width="8.85546875" customWidth="1"/>
    <col min="1538" max="1538" width="5" bestFit="1" customWidth="1"/>
    <col min="1539" max="1539" width="13.42578125" bestFit="1" customWidth="1"/>
    <col min="1540" max="1540" width="47.28515625" bestFit="1" customWidth="1"/>
    <col min="1541" max="1541" width="18.7109375" bestFit="1" customWidth="1"/>
    <col min="1542" max="1544" width="14.85546875" bestFit="1" customWidth="1"/>
    <col min="1545" max="1545" width="10.85546875" bestFit="1" customWidth="1"/>
    <col min="1546" max="1546" width="5" bestFit="1" customWidth="1"/>
    <col min="1547" max="1547" width="13.140625" customWidth="1"/>
    <col min="1548" max="1793" width="8.85546875" customWidth="1"/>
    <col min="1794" max="1794" width="5" bestFit="1" customWidth="1"/>
    <col min="1795" max="1795" width="13.42578125" bestFit="1" customWidth="1"/>
    <col min="1796" max="1796" width="47.28515625" bestFit="1" customWidth="1"/>
    <col min="1797" max="1797" width="18.7109375" bestFit="1" customWidth="1"/>
    <col min="1798" max="1800" width="14.85546875" bestFit="1" customWidth="1"/>
    <col min="1801" max="1801" width="10.85546875" bestFit="1" customWidth="1"/>
    <col min="1802" max="1802" width="5" bestFit="1" customWidth="1"/>
    <col min="1803" max="1803" width="13.140625" customWidth="1"/>
    <col min="1804" max="2049" width="8.85546875" customWidth="1"/>
    <col min="2050" max="2050" width="5" bestFit="1" customWidth="1"/>
    <col min="2051" max="2051" width="13.42578125" bestFit="1" customWidth="1"/>
    <col min="2052" max="2052" width="47.28515625" bestFit="1" customWidth="1"/>
    <col min="2053" max="2053" width="18.7109375" bestFit="1" customWidth="1"/>
    <col min="2054" max="2056" width="14.85546875" bestFit="1" customWidth="1"/>
    <col min="2057" max="2057" width="10.85546875" bestFit="1" customWidth="1"/>
    <col min="2058" max="2058" width="5" bestFit="1" customWidth="1"/>
    <col min="2059" max="2059" width="13.140625" customWidth="1"/>
    <col min="2060" max="2305" width="8.85546875" customWidth="1"/>
    <col min="2306" max="2306" width="5" bestFit="1" customWidth="1"/>
    <col min="2307" max="2307" width="13.42578125" bestFit="1" customWidth="1"/>
    <col min="2308" max="2308" width="47.28515625" bestFit="1" customWidth="1"/>
    <col min="2309" max="2309" width="18.7109375" bestFit="1" customWidth="1"/>
    <col min="2310" max="2312" width="14.85546875" bestFit="1" customWidth="1"/>
    <col min="2313" max="2313" width="10.85546875" bestFit="1" customWidth="1"/>
    <col min="2314" max="2314" width="5" bestFit="1" customWidth="1"/>
    <col min="2315" max="2315" width="13.140625" customWidth="1"/>
    <col min="2316" max="2561" width="8.85546875" customWidth="1"/>
    <col min="2562" max="2562" width="5" bestFit="1" customWidth="1"/>
    <col min="2563" max="2563" width="13.42578125" bestFit="1" customWidth="1"/>
    <col min="2564" max="2564" width="47.28515625" bestFit="1" customWidth="1"/>
    <col min="2565" max="2565" width="18.7109375" bestFit="1" customWidth="1"/>
    <col min="2566" max="2568" width="14.85546875" bestFit="1" customWidth="1"/>
    <col min="2569" max="2569" width="10.85546875" bestFit="1" customWidth="1"/>
    <col min="2570" max="2570" width="5" bestFit="1" customWidth="1"/>
    <col min="2571" max="2571" width="13.140625" customWidth="1"/>
    <col min="2572" max="2817" width="8.85546875" customWidth="1"/>
    <col min="2818" max="2818" width="5" bestFit="1" customWidth="1"/>
    <col min="2819" max="2819" width="13.42578125" bestFit="1" customWidth="1"/>
    <col min="2820" max="2820" width="47.28515625" bestFit="1" customWidth="1"/>
    <col min="2821" max="2821" width="18.7109375" bestFit="1" customWidth="1"/>
    <col min="2822" max="2824" width="14.85546875" bestFit="1" customWidth="1"/>
    <col min="2825" max="2825" width="10.85546875" bestFit="1" customWidth="1"/>
    <col min="2826" max="2826" width="5" bestFit="1" customWidth="1"/>
    <col min="2827" max="2827" width="13.140625" customWidth="1"/>
    <col min="2828" max="3073" width="8.85546875" customWidth="1"/>
    <col min="3074" max="3074" width="5" bestFit="1" customWidth="1"/>
    <col min="3075" max="3075" width="13.42578125" bestFit="1" customWidth="1"/>
    <col min="3076" max="3076" width="47.28515625" bestFit="1" customWidth="1"/>
    <col min="3077" max="3077" width="18.7109375" bestFit="1" customWidth="1"/>
    <col min="3078" max="3080" width="14.85546875" bestFit="1" customWidth="1"/>
    <col min="3081" max="3081" width="10.85546875" bestFit="1" customWidth="1"/>
    <col min="3082" max="3082" width="5" bestFit="1" customWidth="1"/>
    <col min="3083" max="3083" width="13.140625" customWidth="1"/>
    <col min="3084" max="3329" width="8.85546875" customWidth="1"/>
    <col min="3330" max="3330" width="5" bestFit="1" customWidth="1"/>
    <col min="3331" max="3331" width="13.42578125" bestFit="1" customWidth="1"/>
    <col min="3332" max="3332" width="47.28515625" bestFit="1" customWidth="1"/>
    <col min="3333" max="3333" width="18.7109375" bestFit="1" customWidth="1"/>
    <col min="3334" max="3336" width="14.85546875" bestFit="1" customWidth="1"/>
    <col min="3337" max="3337" width="10.85546875" bestFit="1" customWidth="1"/>
    <col min="3338" max="3338" width="5" bestFit="1" customWidth="1"/>
    <col min="3339" max="3339" width="13.140625" customWidth="1"/>
    <col min="3340" max="3585" width="8.85546875" customWidth="1"/>
    <col min="3586" max="3586" width="5" bestFit="1" customWidth="1"/>
    <col min="3587" max="3587" width="13.42578125" bestFit="1" customWidth="1"/>
    <col min="3588" max="3588" width="47.28515625" bestFit="1" customWidth="1"/>
    <col min="3589" max="3589" width="18.7109375" bestFit="1" customWidth="1"/>
    <col min="3590" max="3592" width="14.85546875" bestFit="1" customWidth="1"/>
    <col min="3593" max="3593" width="10.85546875" bestFit="1" customWidth="1"/>
    <col min="3594" max="3594" width="5" bestFit="1" customWidth="1"/>
    <col min="3595" max="3595" width="13.140625" customWidth="1"/>
    <col min="3596" max="3841" width="8.85546875" customWidth="1"/>
    <col min="3842" max="3842" width="5" bestFit="1" customWidth="1"/>
    <col min="3843" max="3843" width="13.42578125" bestFit="1" customWidth="1"/>
    <col min="3844" max="3844" width="47.28515625" bestFit="1" customWidth="1"/>
    <col min="3845" max="3845" width="18.7109375" bestFit="1" customWidth="1"/>
    <col min="3846" max="3848" width="14.85546875" bestFit="1" customWidth="1"/>
    <col min="3849" max="3849" width="10.85546875" bestFit="1" customWidth="1"/>
    <col min="3850" max="3850" width="5" bestFit="1" customWidth="1"/>
    <col min="3851" max="3851" width="13.140625" customWidth="1"/>
    <col min="3852" max="4097" width="8.85546875" customWidth="1"/>
    <col min="4098" max="4098" width="5" bestFit="1" customWidth="1"/>
    <col min="4099" max="4099" width="13.42578125" bestFit="1" customWidth="1"/>
    <col min="4100" max="4100" width="47.28515625" bestFit="1" customWidth="1"/>
    <col min="4101" max="4101" width="18.7109375" bestFit="1" customWidth="1"/>
    <col min="4102" max="4104" width="14.85546875" bestFit="1" customWidth="1"/>
    <col min="4105" max="4105" width="10.85546875" bestFit="1" customWidth="1"/>
    <col min="4106" max="4106" width="5" bestFit="1" customWidth="1"/>
    <col min="4107" max="4107" width="13.140625" customWidth="1"/>
    <col min="4108" max="4353" width="8.85546875" customWidth="1"/>
    <col min="4354" max="4354" width="5" bestFit="1" customWidth="1"/>
    <col min="4355" max="4355" width="13.42578125" bestFit="1" customWidth="1"/>
    <col min="4356" max="4356" width="47.28515625" bestFit="1" customWidth="1"/>
    <col min="4357" max="4357" width="18.7109375" bestFit="1" customWidth="1"/>
    <col min="4358" max="4360" width="14.85546875" bestFit="1" customWidth="1"/>
    <col min="4361" max="4361" width="10.85546875" bestFit="1" customWidth="1"/>
    <col min="4362" max="4362" width="5" bestFit="1" customWidth="1"/>
    <col min="4363" max="4363" width="13.140625" customWidth="1"/>
    <col min="4364" max="4609" width="8.85546875" customWidth="1"/>
    <col min="4610" max="4610" width="5" bestFit="1" customWidth="1"/>
    <col min="4611" max="4611" width="13.42578125" bestFit="1" customWidth="1"/>
    <col min="4612" max="4612" width="47.28515625" bestFit="1" customWidth="1"/>
    <col min="4613" max="4613" width="18.7109375" bestFit="1" customWidth="1"/>
    <col min="4614" max="4616" width="14.85546875" bestFit="1" customWidth="1"/>
    <col min="4617" max="4617" width="10.85546875" bestFit="1" customWidth="1"/>
    <col min="4618" max="4618" width="5" bestFit="1" customWidth="1"/>
    <col min="4619" max="4619" width="13.140625" customWidth="1"/>
    <col min="4620" max="4865" width="8.85546875" customWidth="1"/>
    <col min="4866" max="4866" width="5" bestFit="1" customWidth="1"/>
    <col min="4867" max="4867" width="13.42578125" bestFit="1" customWidth="1"/>
    <col min="4868" max="4868" width="47.28515625" bestFit="1" customWidth="1"/>
    <col min="4869" max="4869" width="18.7109375" bestFit="1" customWidth="1"/>
    <col min="4870" max="4872" width="14.85546875" bestFit="1" customWidth="1"/>
    <col min="4873" max="4873" width="10.85546875" bestFit="1" customWidth="1"/>
    <col min="4874" max="4874" width="5" bestFit="1" customWidth="1"/>
    <col min="4875" max="4875" width="13.140625" customWidth="1"/>
    <col min="4876" max="5121" width="8.85546875" customWidth="1"/>
    <col min="5122" max="5122" width="5" bestFit="1" customWidth="1"/>
    <col min="5123" max="5123" width="13.42578125" bestFit="1" customWidth="1"/>
    <col min="5124" max="5124" width="47.28515625" bestFit="1" customWidth="1"/>
    <col min="5125" max="5125" width="18.7109375" bestFit="1" customWidth="1"/>
    <col min="5126" max="5128" width="14.85546875" bestFit="1" customWidth="1"/>
    <col min="5129" max="5129" width="10.85546875" bestFit="1" customWidth="1"/>
    <col min="5130" max="5130" width="5" bestFit="1" customWidth="1"/>
    <col min="5131" max="5131" width="13.140625" customWidth="1"/>
    <col min="5132" max="5377" width="8.85546875" customWidth="1"/>
    <col min="5378" max="5378" width="5" bestFit="1" customWidth="1"/>
    <col min="5379" max="5379" width="13.42578125" bestFit="1" customWidth="1"/>
    <col min="5380" max="5380" width="47.28515625" bestFit="1" customWidth="1"/>
    <col min="5381" max="5381" width="18.7109375" bestFit="1" customWidth="1"/>
    <col min="5382" max="5384" width="14.85546875" bestFit="1" customWidth="1"/>
    <col min="5385" max="5385" width="10.85546875" bestFit="1" customWidth="1"/>
    <col min="5386" max="5386" width="5" bestFit="1" customWidth="1"/>
    <col min="5387" max="5387" width="13.140625" customWidth="1"/>
    <col min="5388" max="5633" width="8.85546875" customWidth="1"/>
    <col min="5634" max="5634" width="5" bestFit="1" customWidth="1"/>
    <col min="5635" max="5635" width="13.42578125" bestFit="1" customWidth="1"/>
    <col min="5636" max="5636" width="47.28515625" bestFit="1" customWidth="1"/>
    <col min="5637" max="5637" width="18.7109375" bestFit="1" customWidth="1"/>
    <col min="5638" max="5640" width="14.85546875" bestFit="1" customWidth="1"/>
    <col min="5641" max="5641" width="10.85546875" bestFit="1" customWidth="1"/>
    <col min="5642" max="5642" width="5" bestFit="1" customWidth="1"/>
    <col min="5643" max="5643" width="13.140625" customWidth="1"/>
    <col min="5644" max="5889" width="8.85546875" customWidth="1"/>
    <col min="5890" max="5890" width="5" bestFit="1" customWidth="1"/>
    <col min="5891" max="5891" width="13.42578125" bestFit="1" customWidth="1"/>
    <col min="5892" max="5892" width="47.28515625" bestFit="1" customWidth="1"/>
    <col min="5893" max="5893" width="18.7109375" bestFit="1" customWidth="1"/>
    <col min="5894" max="5896" width="14.85546875" bestFit="1" customWidth="1"/>
    <col min="5897" max="5897" width="10.85546875" bestFit="1" customWidth="1"/>
    <col min="5898" max="5898" width="5" bestFit="1" customWidth="1"/>
    <col min="5899" max="5899" width="13.140625" customWidth="1"/>
    <col min="5900" max="6145" width="8.85546875" customWidth="1"/>
    <col min="6146" max="6146" width="5" bestFit="1" customWidth="1"/>
    <col min="6147" max="6147" width="13.42578125" bestFit="1" customWidth="1"/>
    <col min="6148" max="6148" width="47.28515625" bestFit="1" customWidth="1"/>
    <col min="6149" max="6149" width="18.7109375" bestFit="1" customWidth="1"/>
    <col min="6150" max="6152" width="14.85546875" bestFit="1" customWidth="1"/>
    <col min="6153" max="6153" width="10.85546875" bestFit="1" customWidth="1"/>
    <col min="6154" max="6154" width="5" bestFit="1" customWidth="1"/>
    <col min="6155" max="6155" width="13.140625" customWidth="1"/>
    <col min="6156" max="6401" width="8.85546875" customWidth="1"/>
    <col min="6402" max="6402" width="5" bestFit="1" customWidth="1"/>
    <col min="6403" max="6403" width="13.42578125" bestFit="1" customWidth="1"/>
    <col min="6404" max="6404" width="47.28515625" bestFit="1" customWidth="1"/>
    <col min="6405" max="6405" width="18.7109375" bestFit="1" customWidth="1"/>
    <col min="6406" max="6408" width="14.85546875" bestFit="1" customWidth="1"/>
    <col min="6409" max="6409" width="10.85546875" bestFit="1" customWidth="1"/>
    <col min="6410" max="6410" width="5" bestFit="1" customWidth="1"/>
    <col min="6411" max="6411" width="13.140625" customWidth="1"/>
    <col min="6412" max="6657" width="8.85546875" customWidth="1"/>
    <col min="6658" max="6658" width="5" bestFit="1" customWidth="1"/>
    <col min="6659" max="6659" width="13.42578125" bestFit="1" customWidth="1"/>
    <col min="6660" max="6660" width="47.28515625" bestFit="1" customWidth="1"/>
    <col min="6661" max="6661" width="18.7109375" bestFit="1" customWidth="1"/>
    <col min="6662" max="6664" width="14.85546875" bestFit="1" customWidth="1"/>
    <col min="6665" max="6665" width="10.85546875" bestFit="1" customWidth="1"/>
    <col min="6666" max="6666" width="5" bestFit="1" customWidth="1"/>
    <col min="6667" max="6667" width="13.140625" customWidth="1"/>
    <col min="6668" max="6913" width="8.85546875" customWidth="1"/>
    <col min="6914" max="6914" width="5" bestFit="1" customWidth="1"/>
    <col min="6915" max="6915" width="13.42578125" bestFit="1" customWidth="1"/>
    <col min="6916" max="6916" width="47.28515625" bestFit="1" customWidth="1"/>
    <col min="6917" max="6917" width="18.7109375" bestFit="1" customWidth="1"/>
    <col min="6918" max="6920" width="14.85546875" bestFit="1" customWidth="1"/>
    <col min="6921" max="6921" width="10.85546875" bestFit="1" customWidth="1"/>
    <col min="6922" max="6922" width="5" bestFit="1" customWidth="1"/>
    <col min="6923" max="6923" width="13.140625" customWidth="1"/>
    <col min="6924" max="7169" width="8.85546875" customWidth="1"/>
    <col min="7170" max="7170" width="5" bestFit="1" customWidth="1"/>
    <col min="7171" max="7171" width="13.42578125" bestFit="1" customWidth="1"/>
    <col min="7172" max="7172" width="47.28515625" bestFit="1" customWidth="1"/>
    <col min="7173" max="7173" width="18.7109375" bestFit="1" customWidth="1"/>
    <col min="7174" max="7176" width="14.85546875" bestFit="1" customWidth="1"/>
    <col min="7177" max="7177" width="10.85546875" bestFit="1" customWidth="1"/>
    <col min="7178" max="7178" width="5" bestFit="1" customWidth="1"/>
    <col min="7179" max="7179" width="13.140625" customWidth="1"/>
    <col min="7180" max="7425" width="8.85546875" customWidth="1"/>
    <col min="7426" max="7426" width="5" bestFit="1" customWidth="1"/>
    <col min="7427" max="7427" width="13.42578125" bestFit="1" customWidth="1"/>
    <col min="7428" max="7428" width="47.28515625" bestFit="1" customWidth="1"/>
    <col min="7429" max="7429" width="18.7109375" bestFit="1" customWidth="1"/>
    <col min="7430" max="7432" width="14.85546875" bestFit="1" customWidth="1"/>
    <col min="7433" max="7433" width="10.85546875" bestFit="1" customWidth="1"/>
    <col min="7434" max="7434" width="5" bestFit="1" customWidth="1"/>
    <col min="7435" max="7435" width="13.140625" customWidth="1"/>
    <col min="7436" max="7681" width="8.85546875" customWidth="1"/>
    <col min="7682" max="7682" width="5" bestFit="1" customWidth="1"/>
    <col min="7683" max="7683" width="13.42578125" bestFit="1" customWidth="1"/>
    <col min="7684" max="7684" width="47.28515625" bestFit="1" customWidth="1"/>
    <col min="7685" max="7685" width="18.7109375" bestFit="1" customWidth="1"/>
    <col min="7686" max="7688" width="14.85546875" bestFit="1" customWidth="1"/>
    <col min="7689" max="7689" width="10.85546875" bestFit="1" customWidth="1"/>
    <col min="7690" max="7690" width="5" bestFit="1" customWidth="1"/>
    <col min="7691" max="7691" width="13.140625" customWidth="1"/>
    <col min="7692" max="7937" width="8.85546875" customWidth="1"/>
    <col min="7938" max="7938" width="5" bestFit="1" customWidth="1"/>
    <col min="7939" max="7939" width="13.42578125" bestFit="1" customWidth="1"/>
    <col min="7940" max="7940" width="47.28515625" bestFit="1" customWidth="1"/>
    <col min="7941" max="7941" width="18.7109375" bestFit="1" customWidth="1"/>
    <col min="7942" max="7944" width="14.85546875" bestFit="1" customWidth="1"/>
    <col min="7945" max="7945" width="10.85546875" bestFit="1" customWidth="1"/>
    <col min="7946" max="7946" width="5" bestFit="1" customWidth="1"/>
    <col min="7947" max="7947" width="13.140625" customWidth="1"/>
    <col min="7948" max="8193" width="8.85546875" customWidth="1"/>
    <col min="8194" max="8194" width="5" bestFit="1" customWidth="1"/>
    <col min="8195" max="8195" width="13.42578125" bestFit="1" customWidth="1"/>
    <col min="8196" max="8196" width="47.28515625" bestFit="1" customWidth="1"/>
    <col min="8197" max="8197" width="18.7109375" bestFit="1" customWidth="1"/>
    <col min="8198" max="8200" width="14.85546875" bestFit="1" customWidth="1"/>
    <col min="8201" max="8201" width="10.85546875" bestFit="1" customWidth="1"/>
    <col min="8202" max="8202" width="5" bestFit="1" customWidth="1"/>
    <col min="8203" max="8203" width="13.140625" customWidth="1"/>
    <col min="8204" max="8449" width="8.85546875" customWidth="1"/>
    <col min="8450" max="8450" width="5" bestFit="1" customWidth="1"/>
    <col min="8451" max="8451" width="13.42578125" bestFit="1" customWidth="1"/>
    <col min="8452" max="8452" width="47.28515625" bestFit="1" customWidth="1"/>
    <col min="8453" max="8453" width="18.7109375" bestFit="1" customWidth="1"/>
    <col min="8454" max="8456" width="14.85546875" bestFit="1" customWidth="1"/>
    <col min="8457" max="8457" width="10.85546875" bestFit="1" customWidth="1"/>
    <col min="8458" max="8458" width="5" bestFit="1" customWidth="1"/>
    <col min="8459" max="8459" width="13.140625" customWidth="1"/>
    <col min="8460" max="8705" width="8.85546875" customWidth="1"/>
    <col min="8706" max="8706" width="5" bestFit="1" customWidth="1"/>
    <col min="8707" max="8707" width="13.42578125" bestFit="1" customWidth="1"/>
    <col min="8708" max="8708" width="47.28515625" bestFit="1" customWidth="1"/>
    <col min="8709" max="8709" width="18.7109375" bestFit="1" customWidth="1"/>
    <col min="8710" max="8712" width="14.85546875" bestFit="1" customWidth="1"/>
    <col min="8713" max="8713" width="10.85546875" bestFit="1" customWidth="1"/>
    <col min="8714" max="8714" width="5" bestFit="1" customWidth="1"/>
    <col min="8715" max="8715" width="13.140625" customWidth="1"/>
    <col min="8716" max="8961" width="8.85546875" customWidth="1"/>
    <col min="8962" max="8962" width="5" bestFit="1" customWidth="1"/>
    <col min="8963" max="8963" width="13.42578125" bestFit="1" customWidth="1"/>
    <col min="8964" max="8964" width="47.28515625" bestFit="1" customWidth="1"/>
    <col min="8965" max="8965" width="18.7109375" bestFit="1" customWidth="1"/>
    <col min="8966" max="8968" width="14.85546875" bestFit="1" customWidth="1"/>
    <col min="8969" max="8969" width="10.85546875" bestFit="1" customWidth="1"/>
    <col min="8970" max="8970" width="5" bestFit="1" customWidth="1"/>
    <col min="8971" max="8971" width="13.140625" customWidth="1"/>
    <col min="8972" max="9217" width="8.85546875" customWidth="1"/>
    <col min="9218" max="9218" width="5" bestFit="1" customWidth="1"/>
    <col min="9219" max="9219" width="13.42578125" bestFit="1" customWidth="1"/>
    <col min="9220" max="9220" width="47.28515625" bestFit="1" customWidth="1"/>
    <col min="9221" max="9221" width="18.7109375" bestFit="1" customWidth="1"/>
    <col min="9222" max="9224" width="14.85546875" bestFit="1" customWidth="1"/>
    <col min="9225" max="9225" width="10.85546875" bestFit="1" customWidth="1"/>
    <col min="9226" max="9226" width="5" bestFit="1" customWidth="1"/>
    <col min="9227" max="9227" width="13.140625" customWidth="1"/>
    <col min="9228" max="9473" width="8.85546875" customWidth="1"/>
    <col min="9474" max="9474" width="5" bestFit="1" customWidth="1"/>
    <col min="9475" max="9475" width="13.42578125" bestFit="1" customWidth="1"/>
    <col min="9476" max="9476" width="47.28515625" bestFit="1" customWidth="1"/>
    <col min="9477" max="9477" width="18.7109375" bestFit="1" customWidth="1"/>
    <col min="9478" max="9480" width="14.85546875" bestFit="1" customWidth="1"/>
    <col min="9481" max="9481" width="10.85546875" bestFit="1" customWidth="1"/>
    <col min="9482" max="9482" width="5" bestFit="1" customWidth="1"/>
    <col min="9483" max="9483" width="13.140625" customWidth="1"/>
    <col min="9484" max="9729" width="8.85546875" customWidth="1"/>
    <col min="9730" max="9730" width="5" bestFit="1" customWidth="1"/>
    <col min="9731" max="9731" width="13.42578125" bestFit="1" customWidth="1"/>
    <col min="9732" max="9732" width="47.28515625" bestFit="1" customWidth="1"/>
    <col min="9733" max="9733" width="18.7109375" bestFit="1" customWidth="1"/>
    <col min="9734" max="9736" width="14.85546875" bestFit="1" customWidth="1"/>
    <col min="9737" max="9737" width="10.85546875" bestFit="1" customWidth="1"/>
    <col min="9738" max="9738" width="5" bestFit="1" customWidth="1"/>
    <col min="9739" max="9739" width="13.140625" customWidth="1"/>
    <col min="9740" max="9985" width="8.85546875" customWidth="1"/>
    <col min="9986" max="9986" width="5" bestFit="1" customWidth="1"/>
    <col min="9987" max="9987" width="13.42578125" bestFit="1" customWidth="1"/>
    <col min="9988" max="9988" width="47.28515625" bestFit="1" customWidth="1"/>
    <col min="9989" max="9989" width="18.7109375" bestFit="1" customWidth="1"/>
    <col min="9990" max="9992" width="14.85546875" bestFit="1" customWidth="1"/>
    <col min="9993" max="9993" width="10.85546875" bestFit="1" customWidth="1"/>
    <col min="9994" max="9994" width="5" bestFit="1" customWidth="1"/>
    <col min="9995" max="9995" width="13.140625" customWidth="1"/>
    <col min="9996" max="10241" width="8.85546875" customWidth="1"/>
    <col min="10242" max="10242" width="5" bestFit="1" customWidth="1"/>
    <col min="10243" max="10243" width="13.42578125" bestFit="1" customWidth="1"/>
    <col min="10244" max="10244" width="47.28515625" bestFit="1" customWidth="1"/>
    <col min="10245" max="10245" width="18.7109375" bestFit="1" customWidth="1"/>
    <col min="10246" max="10248" width="14.85546875" bestFit="1" customWidth="1"/>
    <col min="10249" max="10249" width="10.85546875" bestFit="1" customWidth="1"/>
    <col min="10250" max="10250" width="5" bestFit="1" customWidth="1"/>
    <col min="10251" max="10251" width="13.140625" customWidth="1"/>
    <col min="10252" max="10497" width="8.85546875" customWidth="1"/>
    <col min="10498" max="10498" width="5" bestFit="1" customWidth="1"/>
    <col min="10499" max="10499" width="13.42578125" bestFit="1" customWidth="1"/>
    <col min="10500" max="10500" width="47.28515625" bestFit="1" customWidth="1"/>
    <col min="10501" max="10501" width="18.7109375" bestFit="1" customWidth="1"/>
    <col min="10502" max="10504" width="14.85546875" bestFit="1" customWidth="1"/>
    <col min="10505" max="10505" width="10.85546875" bestFit="1" customWidth="1"/>
    <col min="10506" max="10506" width="5" bestFit="1" customWidth="1"/>
    <col min="10507" max="10507" width="13.140625" customWidth="1"/>
    <col min="10508" max="10753" width="8.85546875" customWidth="1"/>
    <col min="10754" max="10754" width="5" bestFit="1" customWidth="1"/>
    <col min="10755" max="10755" width="13.42578125" bestFit="1" customWidth="1"/>
    <col min="10756" max="10756" width="47.28515625" bestFit="1" customWidth="1"/>
    <col min="10757" max="10757" width="18.7109375" bestFit="1" customWidth="1"/>
    <col min="10758" max="10760" width="14.85546875" bestFit="1" customWidth="1"/>
    <col min="10761" max="10761" width="10.85546875" bestFit="1" customWidth="1"/>
    <col min="10762" max="10762" width="5" bestFit="1" customWidth="1"/>
    <col min="10763" max="10763" width="13.140625" customWidth="1"/>
    <col min="10764" max="11009" width="8.85546875" customWidth="1"/>
    <col min="11010" max="11010" width="5" bestFit="1" customWidth="1"/>
    <col min="11011" max="11011" width="13.42578125" bestFit="1" customWidth="1"/>
    <col min="11012" max="11012" width="47.28515625" bestFit="1" customWidth="1"/>
    <col min="11013" max="11013" width="18.7109375" bestFit="1" customWidth="1"/>
    <col min="11014" max="11016" width="14.85546875" bestFit="1" customWidth="1"/>
    <col min="11017" max="11017" width="10.85546875" bestFit="1" customWidth="1"/>
    <col min="11018" max="11018" width="5" bestFit="1" customWidth="1"/>
    <col min="11019" max="11019" width="13.140625" customWidth="1"/>
    <col min="11020" max="11265" width="8.85546875" customWidth="1"/>
    <col min="11266" max="11266" width="5" bestFit="1" customWidth="1"/>
    <col min="11267" max="11267" width="13.42578125" bestFit="1" customWidth="1"/>
    <col min="11268" max="11268" width="47.28515625" bestFit="1" customWidth="1"/>
    <col min="11269" max="11269" width="18.7109375" bestFit="1" customWidth="1"/>
    <col min="11270" max="11272" width="14.85546875" bestFit="1" customWidth="1"/>
    <col min="11273" max="11273" width="10.85546875" bestFit="1" customWidth="1"/>
    <col min="11274" max="11274" width="5" bestFit="1" customWidth="1"/>
    <col min="11275" max="11275" width="13.140625" customWidth="1"/>
    <col min="11276" max="11521" width="8.85546875" customWidth="1"/>
    <col min="11522" max="11522" width="5" bestFit="1" customWidth="1"/>
    <col min="11523" max="11523" width="13.42578125" bestFit="1" customWidth="1"/>
    <col min="11524" max="11524" width="47.28515625" bestFit="1" customWidth="1"/>
    <col min="11525" max="11525" width="18.7109375" bestFit="1" customWidth="1"/>
    <col min="11526" max="11528" width="14.85546875" bestFit="1" customWidth="1"/>
    <col min="11529" max="11529" width="10.85546875" bestFit="1" customWidth="1"/>
    <col min="11530" max="11530" width="5" bestFit="1" customWidth="1"/>
    <col min="11531" max="11531" width="13.140625" customWidth="1"/>
    <col min="11532" max="11777" width="8.85546875" customWidth="1"/>
    <col min="11778" max="11778" width="5" bestFit="1" customWidth="1"/>
    <col min="11779" max="11779" width="13.42578125" bestFit="1" customWidth="1"/>
    <col min="11780" max="11780" width="47.28515625" bestFit="1" customWidth="1"/>
    <col min="11781" max="11781" width="18.7109375" bestFit="1" customWidth="1"/>
    <col min="11782" max="11784" width="14.85546875" bestFit="1" customWidth="1"/>
    <col min="11785" max="11785" width="10.85546875" bestFit="1" customWidth="1"/>
    <col min="11786" max="11786" width="5" bestFit="1" customWidth="1"/>
    <col min="11787" max="11787" width="13.140625" customWidth="1"/>
    <col min="11788" max="12033" width="8.85546875" customWidth="1"/>
    <col min="12034" max="12034" width="5" bestFit="1" customWidth="1"/>
    <col min="12035" max="12035" width="13.42578125" bestFit="1" customWidth="1"/>
    <col min="12036" max="12036" width="47.28515625" bestFit="1" customWidth="1"/>
    <col min="12037" max="12037" width="18.7109375" bestFit="1" customWidth="1"/>
    <col min="12038" max="12040" width="14.85546875" bestFit="1" customWidth="1"/>
    <col min="12041" max="12041" width="10.85546875" bestFit="1" customWidth="1"/>
    <col min="12042" max="12042" width="5" bestFit="1" customWidth="1"/>
    <col min="12043" max="12043" width="13.140625" customWidth="1"/>
    <col min="12044" max="12289" width="8.85546875" customWidth="1"/>
    <col min="12290" max="12290" width="5" bestFit="1" customWidth="1"/>
    <col min="12291" max="12291" width="13.42578125" bestFit="1" customWidth="1"/>
    <col min="12292" max="12292" width="47.28515625" bestFit="1" customWidth="1"/>
    <col min="12293" max="12293" width="18.7109375" bestFit="1" customWidth="1"/>
    <col min="12294" max="12296" width="14.85546875" bestFit="1" customWidth="1"/>
    <col min="12297" max="12297" width="10.85546875" bestFit="1" customWidth="1"/>
    <col min="12298" max="12298" width="5" bestFit="1" customWidth="1"/>
    <col min="12299" max="12299" width="13.140625" customWidth="1"/>
    <col min="12300" max="12545" width="8.85546875" customWidth="1"/>
    <col min="12546" max="12546" width="5" bestFit="1" customWidth="1"/>
    <col min="12547" max="12547" width="13.42578125" bestFit="1" customWidth="1"/>
    <col min="12548" max="12548" width="47.28515625" bestFit="1" customWidth="1"/>
    <col min="12549" max="12549" width="18.7109375" bestFit="1" customWidth="1"/>
    <col min="12550" max="12552" width="14.85546875" bestFit="1" customWidth="1"/>
    <col min="12553" max="12553" width="10.85546875" bestFit="1" customWidth="1"/>
    <col min="12554" max="12554" width="5" bestFit="1" customWidth="1"/>
    <col min="12555" max="12555" width="13.140625" customWidth="1"/>
    <col min="12556" max="12801" width="8.85546875" customWidth="1"/>
    <col min="12802" max="12802" width="5" bestFit="1" customWidth="1"/>
    <col min="12803" max="12803" width="13.42578125" bestFit="1" customWidth="1"/>
    <col min="12804" max="12804" width="47.28515625" bestFit="1" customWidth="1"/>
    <col min="12805" max="12805" width="18.7109375" bestFit="1" customWidth="1"/>
    <col min="12806" max="12808" width="14.85546875" bestFit="1" customWidth="1"/>
    <col min="12809" max="12809" width="10.85546875" bestFit="1" customWidth="1"/>
    <col min="12810" max="12810" width="5" bestFit="1" customWidth="1"/>
    <col min="12811" max="12811" width="13.140625" customWidth="1"/>
    <col min="12812" max="13057" width="8.85546875" customWidth="1"/>
    <col min="13058" max="13058" width="5" bestFit="1" customWidth="1"/>
    <col min="13059" max="13059" width="13.42578125" bestFit="1" customWidth="1"/>
    <col min="13060" max="13060" width="47.28515625" bestFit="1" customWidth="1"/>
    <col min="13061" max="13061" width="18.7109375" bestFit="1" customWidth="1"/>
    <col min="13062" max="13064" width="14.85546875" bestFit="1" customWidth="1"/>
    <col min="13065" max="13065" width="10.85546875" bestFit="1" customWidth="1"/>
    <col min="13066" max="13066" width="5" bestFit="1" customWidth="1"/>
    <col min="13067" max="13067" width="13.140625" customWidth="1"/>
    <col min="13068" max="13313" width="8.85546875" customWidth="1"/>
    <col min="13314" max="13314" width="5" bestFit="1" customWidth="1"/>
    <col min="13315" max="13315" width="13.42578125" bestFit="1" customWidth="1"/>
    <col min="13316" max="13316" width="47.28515625" bestFit="1" customWidth="1"/>
    <col min="13317" max="13317" width="18.7109375" bestFit="1" customWidth="1"/>
    <col min="13318" max="13320" width="14.85546875" bestFit="1" customWidth="1"/>
    <col min="13321" max="13321" width="10.85546875" bestFit="1" customWidth="1"/>
    <col min="13322" max="13322" width="5" bestFit="1" customWidth="1"/>
    <col min="13323" max="13323" width="13.140625" customWidth="1"/>
    <col min="13324" max="13569" width="8.85546875" customWidth="1"/>
    <col min="13570" max="13570" width="5" bestFit="1" customWidth="1"/>
    <col min="13571" max="13571" width="13.42578125" bestFit="1" customWidth="1"/>
    <col min="13572" max="13572" width="47.28515625" bestFit="1" customWidth="1"/>
    <col min="13573" max="13573" width="18.7109375" bestFit="1" customWidth="1"/>
    <col min="13574" max="13576" width="14.85546875" bestFit="1" customWidth="1"/>
    <col min="13577" max="13577" width="10.85546875" bestFit="1" customWidth="1"/>
    <col min="13578" max="13578" width="5" bestFit="1" customWidth="1"/>
    <col min="13579" max="13579" width="13.140625" customWidth="1"/>
    <col min="13580" max="13825" width="8.85546875" customWidth="1"/>
    <col min="13826" max="13826" width="5" bestFit="1" customWidth="1"/>
    <col min="13827" max="13827" width="13.42578125" bestFit="1" customWidth="1"/>
    <col min="13828" max="13828" width="47.28515625" bestFit="1" customWidth="1"/>
    <col min="13829" max="13829" width="18.7109375" bestFit="1" customWidth="1"/>
    <col min="13830" max="13832" width="14.85546875" bestFit="1" customWidth="1"/>
    <col min="13833" max="13833" width="10.85546875" bestFit="1" customWidth="1"/>
    <col min="13834" max="13834" width="5" bestFit="1" customWidth="1"/>
    <col min="13835" max="13835" width="13.140625" customWidth="1"/>
    <col min="13836" max="14081" width="8.85546875" customWidth="1"/>
    <col min="14082" max="14082" width="5" bestFit="1" customWidth="1"/>
    <col min="14083" max="14083" width="13.42578125" bestFit="1" customWidth="1"/>
    <col min="14084" max="14084" width="47.28515625" bestFit="1" customWidth="1"/>
    <col min="14085" max="14085" width="18.7109375" bestFit="1" customWidth="1"/>
    <col min="14086" max="14088" width="14.85546875" bestFit="1" customWidth="1"/>
    <col min="14089" max="14089" width="10.85546875" bestFit="1" customWidth="1"/>
    <col min="14090" max="14090" width="5" bestFit="1" customWidth="1"/>
    <col min="14091" max="14091" width="13.140625" customWidth="1"/>
    <col min="14092" max="14337" width="8.85546875" customWidth="1"/>
    <col min="14338" max="14338" width="5" bestFit="1" customWidth="1"/>
    <col min="14339" max="14339" width="13.42578125" bestFit="1" customWidth="1"/>
    <col min="14340" max="14340" width="47.28515625" bestFit="1" customWidth="1"/>
    <col min="14341" max="14341" width="18.7109375" bestFit="1" customWidth="1"/>
    <col min="14342" max="14344" width="14.85546875" bestFit="1" customWidth="1"/>
    <col min="14345" max="14345" width="10.85546875" bestFit="1" customWidth="1"/>
    <col min="14346" max="14346" width="5" bestFit="1" customWidth="1"/>
    <col min="14347" max="14347" width="13.140625" customWidth="1"/>
    <col min="14348" max="14593" width="8.85546875" customWidth="1"/>
    <col min="14594" max="14594" width="5" bestFit="1" customWidth="1"/>
    <col min="14595" max="14595" width="13.42578125" bestFit="1" customWidth="1"/>
    <col min="14596" max="14596" width="47.28515625" bestFit="1" customWidth="1"/>
    <col min="14597" max="14597" width="18.7109375" bestFit="1" customWidth="1"/>
    <col min="14598" max="14600" width="14.85546875" bestFit="1" customWidth="1"/>
    <col min="14601" max="14601" width="10.85546875" bestFit="1" customWidth="1"/>
    <col min="14602" max="14602" width="5" bestFit="1" customWidth="1"/>
    <col min="14603" max="14603" width="13.140625" customWidth="1"/>
    <col min="14604" max="14849" width="8.85546875" customWidth="1"/>
    <col min="14850" max="14850" width="5" bestFit="1" customWidth="1"/>
    <col min="14851" max="14851" width="13.42578125" bestFit="1" customWidth="1"/>
    <col min="14852" max="14852" width="47.28515625" bestFit="1" customWidth="1"/>
    <col min="14853" max="14853" width="18.7109375" bestFit="1" customWidth="1"/>
    <col min="14854" max="14856" width="14.85546875" bestFit="1" customWidth="1"/>
    <col min="14857" max="14857" width="10.85546875" bestFit="1" customWidth="1"/>
    <col min="14858" max="14858" width="5" bestFit="1" customWidth="1"/>
    <col min="14859" max="14859" width="13.140625" customWidth="1"/>
    <col min="14860" max="15105" width="8.85546875" customWidth="1"/>
    <col min="15106" max="15106" width="5" bestFit="1" customWidth="1"/>
    <col min="15107" max="15107" width="13.42578125" bestFit="1" customWidth="1"/>
    <col min="15108" max="15108" width="47.28515625" bestFit="1" customWidth="1"/>
    <col min="15109" max="15109" width="18.7109375" bestFit="1" customWidth="1"/>
    <col min="15110" max="15112" width="14.85546875" bestFit="1" customWidth="1"/>
    <col min="15113" max="15113" width="10.85546875" bestFit="1" customWidth="1"/>
    <col min="15114" max="15114" width="5" bestFit="1" customWidth="1"/>
    <col min="15115" max="15115" width="13.140625" customWidth="1"/>
    <col min="15116" max="15361" width="8.85546875" customWidth="1"/>
    <col min="15362" max="15362" width="5" bestFit="1" customWidth="1"/>
    <col min="15363" max="15363" width="13.42578125" bestFit="1" customWidth="1"/>
    <col min="15364" max="15364" width="47.28515625" bestFit="1" customWidth="1"/>
    <col min="15365" max="15365" width="18.7109375" bestFit="1" customWidth="1"/>
    <col min="15366" max="15368" width="14.85546875" bestFit="1" customWidth="1"/>
    <col min="15369" max="15369" width="10.85546875" bestFit="1" customWidth="1"/>
    <col min="15370" max="15370" width="5" bestFit="1" customWidth="1"/>
    <col min="15371" max="15371" width="13.140625" customWidth="1"/>
    <col min="15372" max="15617" width="8.85546875" customWidth="1"/>
    <col min="15618" max="15618" width="5" bestFit="1" customWidth="1"/>
    <col min="15619" max="15619" width="13.42578125" bestFit="1" customWidth="1"/>
    <col min="15620" max="15620" width="47.28515625" bestFit="1" customWidth="1"/>
    <col min="15621" max="15621" width="18.7109375" bestFit="1" customWidth="1"/>
    <col min="15622" max="15624" width="14.85546875" bestFit="1" customWidth="1"/>
    <col min="15625" max="15625" width="10.85546875" bestFit="1" customWidth="1"/>
    <col min="15626" max="15626" width="5" bestFit="1" customWidth="1"/>
    <col min="15627" max="15627" width="13.140625" customWidth="1"/>
    <col min="15628" max="15873" width="8.85546875" customWidth="1"/>
    <col min="15874" max="15874" width="5" bestFit="1" customWidth="1"/>
    <col min="15875" max="15875" width="13.42578125" bestFit="1" customWidth="1"/>
    <col min="15876" max="15876" width="47.28515625" bestFit="1" customWidth="1"/>
    <col min="15877" max="15877" width="18.7109375" bestFit="1" customWidth="1"/>
    <col min="15878" max="15880" width="14.85546875" bestFit="1" customWidth="1"/>
    <col min="15881" max="15881" width="10.85546875" bestFit="1" customWidth="1"/>
    <col min="15882" max="15882" width="5" bestFit="1" customWidth="1"/>
    <col min="15883" max="15883" width="13.140625" customWidth="1"/>
    <col min="15884" max="16129" width="8.85546875" customWidth="1"/>
    <col min="16130" max="16130" width="5" bestFit="1" customWidth="1"/>
    <col min="16131" max="16131" width="13.42578125" bestFit="1" customWidth="1"/>
    <col min="16132" max="16132" width="47.28515625" bestFit="1" customWidth="1"/>
    <col min="16133" max="16133" width="18.7109375" bestFit="1" customWidth="1"/>
    <col min="16134" max="16136" width="14.85546875" bestFit="1" customWidth="1"/>
    <col min="16137" max="16137" width="10.85546875" bestFit="1" customWidth="1"/>
    <col min="16138" max="16138" width="5" bestFit="1" customWidth="1"/>
    <col min="16139" max="16139" width="13.140625" customWidth="1"/>
    <col min="16140" max="16384" width="8.85546875" customWidth="1"/>
  </cols>
  <sheetData>
    <row r="1" spans="2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>
        <v>278427.77</v>
      </c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2:32" ht="16.899999999999999" customHeight="1">
      <c r="B2" s="191" t="s">
        <v>119</v>
      </c>
      <c r="C2" s="10" t="s">
        <v>45</v>
      </c>
      <c r="D2" s="191">
        <v>0</v>
      </c>
      <c r="E2" s="195">
        <v>308.73</v>
      </c>
      <c r="F2" s="195">
        <v>0</v>
      </c>
      <c r="G2" s="195">
        <v>4832171.33</v>
      </c>
      <c r="H2" s="5" t="s">
        <v>46</v>
      </c>
      <c r="I2" s="192">
        <f>IF(C2="Pago de Obligaciones a ARCA Tipo de Pago: ARCA VEP PENDIENTES",VLOOKUP(K2,#REF!,3,FALSE),IFERROR(IFERROR(VLOOKUP(C2,REFERENCIAS!C:H,4,FALSE),VLOOKUP(H2,REFERENCIAS!B:H,5,FALSE)&amp;(" (revisar)")),0))</f>
        <v>0</v>
      </c>
      <c r="J2" s="192" t="str">
        <f>IF(C2="Pago de Obligaciones a ARCA Tipo de Pago: ARCA VEP PENDIENTES",VLOOKUP(E2,#REF!,6,FALSE),IFERROR(IFERROR(VLOOKUP(C2,REFERENCIAS!C:H,2,FALSE),VLOOKUP(H2,REFERENCIAS!B:H,3,FALSE)&amp;(" (revisar)")),0))</f>
        <v>GASTOS</v>
      </c>
      <c r="K2" t="str">
        <f>IF(C2="Pago de Obligaciones a ARCA Tipo de Pago: ARCA VEP PENDIENTES",VLOOKUP(E2,#REF!,7,FALSE),IFERROR(IFERROR(VLOOKUP(C2,REFERENCIAS!C:H,3,FALSE),VLOOKUP(H2,REFERENCIAS!B:H,4,FALSE)&amp;(" (revisar)")),0))</f>
        <v>IVA DEB.FISCAL 10,5%</v>
      </c>
      <c r="N2" s="20">
        <f>N1-E2+F2</f>
        <v>278119.04000000004</v>
      </c>
      <c r="O2" s="20">
        <f t="shared" ref="O2:AF10" si="0">IF($K2=O$1,(-$E2+$F2),0)</f>
        <v>0</v>
      </c>
      <c r="P2" s="20">
        <f t="shared" si="0"/>
        <v>0</v>
      </c>
      <c r="Q2" s="20">
        <f t="shared" si="0"/>
        <v>0</v>
      </c>
      <c r="R2" s="20">
        <f t="shared" si="0"/>
        <v>0</v>
      </c>
      <c r="S2" s="20">
        <f t="shared" si="0"/>
        <v>0</v>
      </c>
      <c r="T2" s="20">
        <f t="shared" si="0"/>
        <v>0</v>
      </c>
      <c r="U2" s="20">
        <f t="shared" si="0"/>
        <v>0</v>
      </c>
      <c r="V2" s="20">
        <f t="shared" si="0"/>
        <v>0</v>
      </c>
      <c r="W2" s="20">
        <f t="shared" si="0"/>
        <v>0</v>
      </c>
      <c r="X2" s="20">
        <f t="shared" si="0"/>
        <v>0</v>
      </c>
      <c r="Y2" s="20">
        <f t="shared" si="0"/>
        <v>0</v>
      </c>
      <c r="Z2" s="20">
        <f t="shared" si="0"/>
        <v>0</v>
      </c>
      <c r="AA2" s="20">
        <f t="shared" si="0"/>
        <v>-308.73</v>
      </c>
      <c r="AB2" s="20">
        <f t="shared" si="0"/>
        <v>0</v>
      </c>
      <c r="AC2" s="20">
        <f t="shared" si="0"/>
        <v>0</v>
      </c>
      <c r="AD2" s="20">
        <f t="shared" si="0"/>
        <v>0</v>
      </c>
      <c r="AE2" s="20">
        <f t="shared" si="0"/>
        <v>0</v>
      </c>
      <c r="AF2" s="20">
        <f t="shared" si="0"/>
        <v>0</v>
      </c>
    </row>
    <row r="3" spans="2:32" ht="16.899999999999999" customHeight="1">
      <c r="B3" s="191" t="s">
        <v>119</v>
      </c>
      <c r="C3" s="10" t="s">
        <v>12</v>
      </c>
      <c r="D3" s="191">
        <v>0</v>
      </c>
      <c r="E3" s="195">
        <v>19.75</v>
      </c>
      <c r="F3" s="195">
        <v>0</v>
      </c>
      <c r="G3" s="195">
        <v>4832480.0599999996</v>
      </c>
      <c r="H3" s="5" t="s">
        <v>13</v>
      </c>
      <c r="I3" s="192">
        <f>IF(C3="Pago de Obligaciones a ARCA Tipo de Pago: ARCA VEP PENDIENTES",VLOOKUP(K3,#REF!,3,FALSE),IFERROR(IFERROR(VLOOKUP(C3,REFERENCIAS!C:H,4,FALSE),VLOOKUP(H3,REFERENCIAS!B:H,5,FALSE)&amp;(" (revisar)")),0))</f>
        <v>0</v>
      </c>
      <c r="J3" s="192" t="str">
        <f>IF(C3="Pago de Obligaciones a ARCA Tipo de Pago: ARCA VEP PENDIENTES",VLOOKUP(E3,#REF!,6,FALSE),IFERROR(IFERROR(VLOOKUP(C3,REFERENCIAS!C:H,2,FALSE),VLOOKUP(H3,REFERENCIAS!B:H,3,FALSE)&amp;(" (revisar)")),0))</f>
        <v>GASTOS</v>
      </c>
      <c r="K3" t="str">
        <f>IF(C3="Pago de Obligaciones a ARCA Tipo de Pago: ARCA VEP PENDIENTES",VLOOKUP(E3,#REF!,7,FALSE),IFERROR(IFERROR(VLOOKUP(C3,REFERENCIAS!C:H,3,FALSE),VLOOKUP(H3,REFERENCIAS!B:H,4,FALSE)&amp;(" (revisar)")),0))</f>
        <v>IMP. L.25413-DEB</v>
      </c>
      <c r="N3" s="20">
        <f t="shared" ref="N3:N66" si="1">N2-E3+F3</f>
        <v>278099.29000000004</v>
      </c>
      <c r="O3" s="20">
        <f t="shared" si="0"/>
        <v>0</v>
      </c>
      <c r="P3" s="20">
        <f t="shared" si="0"/>
        <v>0</v>
      </c>
      <c r="Q3" s="20">
        <f t="shared" si="0"/>
        <v>0</v>
      </c>
      <c r="R3" s="20">
        <f t="shared" si="0"/>
        <v>0</v>
      </c>
      <c r="S3" s="20">
        <f t="shared" si="0"/>
        <v>0</v>
      </c>
      <c r="T3" s="20">
        <f t="shared" si="0"/>
        <v>0</v>
      </c>
      <c r="U3" s="20">
        <f t="shared" si="0"/>
        <v>0</v>
      </c>
      <c r="V3" s="20">
        <f t="shared" si="0"/>
        <v>0</v>
      </c>
      <c r="W3" s="20">
        <f t="shared" si="0"/>
        <v>0</v>
      </c>
      <c r="X3" s="20">
        <f t="shared" si="0"/>
        <v>-19.75</v>
      </c>
      <c r="Y3" s="20">
        <f t="shared" si="0"/>
        <v>0</v>
      </c>
      <c r="Z3" s="20">
        <f t="shared" si="0"/>
        <v>0</v>
      </c>
      <c r="AA3" s="20">
        <f t="shared" si="0"/>
        <v>0</v>
      </c>
      <c r="AB3" s="20">
        <f t="shared" si="0"/>
        <v>0</v>
      </c>
      <c r="AC3" s="20">
        <f t="shared" si="0"/>
        <v>0</v>
      </c>
      <c r="AD3" s="20">
        <f t="shared" si="0"/>
        <v>0</v>
      </c>
      <c r="AE3" s="20">
        <f t="shared" si="0"/>
        <v>0</v>
      </c>
      <c r="AF3" s="20">
        <f t="shared" si="0"/>
        <v>0</v>
      </c>
    </row>
    <row r="4" spans="2:32" ht="16.899999999999999" customHeight="1">
      <c r="B4" s="191" t="s">
        <v>119</v>
      </c>
      <c r="C4" s="10" t="s">
        <v>47</v>
      </c>
      <c r="D4" s="191">
        <v>0</v>
      </c>
      <c r="E4" s="195">
        <v>44.1</v>
      </c>
      <c r="F4" s="195">
        <v>0</v>
      </c>
      <c r="G4" s="195">
        <v>4832499.8099999996</v>
      </c>
      <c r="H4" s="5" t="s">
        <v>48</v>
      </c>
      <c r="I4" s="192">
        <f>IF(C4="Pago de Obligaciones a ARCA Tipo de Pago: ARCA VEP PENDIENTES",VLOOKUP(K4,#REF!,3,FALSE),IFERROR(IFERROR(VLOOKUP(C4,REFERENCIAS!C:H,4,FALSE),VLOOKUP(H4,REFERENCIAS!B:H,5,FALSE)&amp;(" (revisar)")),0))</f>
        <v>0</v>
      </c>
      <c r="J4" s="192" t="str">
        <f>IF(C4="Pago de Obligaciones a ARCA Tipo de Pago: ARCA VEP PENDIENTES",VLOOKUP(E4,#REF!,6,FALSE),IFERROR(IFERROR(VLOOKUP(C4,REFERENCIAS!C:H,2,FALSE),VLOOKUP(H4,REFERENCIAS!B:H,3,FALSE)&amp;(" (revisar)")),0))</f>
        <v>GASTOS</v>
      </c>
      <c r="K4" t="str">
        <f>IF(C4="Pago de Obligaciones a ARCA Tipo de Pago: ARCA VEP PENDIENTES",VLOOKUP(E4,#REF!,7,FALSE),IFERROR(IFERROR(VLOOKUP(C4,REFERENCIAS!C:H,3,FALSE),VLOOKUP(H4,REFERENCIAS!B:H,4,FALSE)&amp;(" (revisar)")),0))</f>
        <v xml:space="preserve">Comisiones y Gastos Bancarios </v>
      </c>
      <c r="N4" s="20">
        <f t="shared" si="1"/>
        <v>278055.19000000006</v>
      </c>
      <c r="O4" s="20">
        <f t="shared" si="0"/>
        <v>0</v>
      </c>
      <c r="P4" s="20">
        <f t="shared" si="0"/>
        <v>0</v>
      </c>
      <c r="Q4" s="20">
        <f t="shared" si="0"/>
        <v>0</v>
      </c>
      <c r="R4" s="20">
        <f t="shared" si="0"/>
        <v>0</v>
      </c>
      <c r="S4" s="20">
        <f t="shared" si="0"/>
        <v>0</v>
      </c>
      <c r="T4" s="20">
        <f t="shared" si="0"/>
        <v>0</v>
      </c>
      <c r="U4" s="20">
        <f t="shared" si="0"/>
        <v>0</v>
      </c>
      <c r="V4" s="20">
        <f t="shared" si="0"/>
        <v>0</v>
      </c>
      <c r="W4" s="20">
        <f t="shared" si="0"/>
        <v>-44.1</v>
      </c>
      <c r="X4" s="20">
        <f t="shared" si="0"/>
        <v>0</v>
      </c>
      <c r="Y4" s="20">
        <f t="shared" si="0"/>
        <v>0</v>
      </c>
      <c r="Z4" s="20">
        <f t="shared" si="0"/>
        <v>0</v>
      </c>
      <c r="AA4" s="20">
        <f t="shared" si="0"/>
        <v>0</v>
      </c>
      <c r="AB4" s="20">
        <f t="shared" si="0"/>
        <v>0</v>
      </c>
      <c r="AC4" s="20">
        <f t="shared" si="0"/>
        <v>0</v>
      </c>
      <c r="AD4" s="20">
        <f t="shared" si="0"/>
        <v>0</v>
      </c>
      <c r="AE4" s="20">
        <f t="shared" si="0"/>
        <v>0</v>
      </c>
      <c r="AF4" s="20">
        <f t="shared" si="0"/>
        <v>0</v>
      </c>
    </row>
    <row r="5" spans="2:32" ht="16.899999999999999" customHeight="1">
      <c r="B5" s="191" t="s">
        <v>119</v>
      </c>
      <c r="C5" s="10" t="s">
        <v>49</v>
      </c>
      <c r="D5" s="191">
        <v>0</v>
      </c>
      <c r="E5" s="195">
        <v>2940.29</v>
      </c>
      <c r="F5" s="195">
        <v>0</v>
      </c>
      <c r="G5" s="195">
        <v>4832543.91</v>
      </c>
      <c r="H5" s="5">
        <v>560</v>
      </c>
      <c r="I5" s="192">
        <f>IF(C5="Pago de Obligaciones a ARCA Tipo de Pago: ARCA VEP PENDIENTES",VLOOKUP(K5,#REF!,3,FALSE),IFERROR(IFERROR(VLOOKUP(C5,REFERENCIAS!C:H,4,FALSE),VLOOKUP(H5,REFERENCIAS!B:H,5,FALSE)&amp;(" (revisar)")),0))</f>
        <v>0</v>
      </c>
      <c r="J5" s="192" t="str">
        <f>IF(C5="Pago de Obligaciones a ARCA Tipo de Pago: ARCA VEP PENDIENTES",VLOOKUP(E5,#REF!,6,FALSE),IFERROR(IFERROR(VLOOKUP(C5,REFERENCIAS!C:H,2,FALSE),VLOOKUP(H5,REFERENCIAS!B:H,3,FALSE)&amp;(" (revisar)")),0))</f>
        <v>GASTOS</v>
      </c>
      <c r="K5" t="str">
        <f>IF(C5="Pago de Obligaciones a ARCA Tipo de Pago: ARCA VEP PENDIENTES",VLOOKUP(E5,#REF!,7,FALSE),IFERROR(IFERROR(VLOOKUP(C5,REFERENCIAS!C:H,3,FALSE),VLOOKUP(H5,REFERENCIAS!B:H,4,FALSE)&amp;(" (revisar)")),0))</f>
        <v xml:space="preserve">Comisiones y Gastos Bancarios </v>
      </c>
      <c r="N5" s="20">
        <f t="shared" si="1"/>
        <v>275114.90000000008</v>
      </c>
      <c r="O5" s="20">
        <f t="shared" si="0"/>
        <v>0</v>
      </c>
      <c r="P5" s="20">
        <f t="shared" si="0"/>
        <v>0</v>
      </c>
      <c r="Q5" s="20">
        <f t="shared" si="0"/>
        <v>0</v>
      </c>
      <c r="R5" s="20">
        <f t="shared" si="0"/>
        <v>0</v>
      </c>
      <c r="S5" s="20">
        <f t="shared" si="0"/>
        <v>0</v>
      </c>
      <c r="T5" s="20">
        <f t="shared" si="0"/>
        <v>0</v>
      </c>
      <c r="U5" s="20">
        <f t="shared" si="0"/>
        <v>0</v>
      </c>
      <c r="V5" s="20">
        <f t="shared" si="0"/>
        <v>0</v>
      </c>
      <c r="W5" s="20">
        <f t="shared" si="0"/>
        <v>-2940.29</v>
      </c>
      <c r="X5" s="20">
        <f t="shared" si="0"/>
        <v>0</v>
      </c>
      <c r="Y5" s="20">
        <f t="shared" si="0"/>
        <v>0</v>
      </c>
      <c r="Z5" s="20">
        <f t="shared" si="0"/>
        <v>0</v>
      </c>
      <c r="AA5" s="20">
        <f t="shared" si="0"/>
        <v>0</v>
      </c>
      <c r="AB5" s="20">
        <f t="shared" si="0"/>
        <v>0</v>
      </c>
      <c r="AC5" s="20">
        <f t="shared" si="0"/>
        <v>0</v>
      </c>
      <c r="AD5" s="20">
        <f t="shared" si="0"/>
        <v>0</v>
      </c>
      <c r="AE5" s="20">
        <f t="shared" si="0"/>
        <v>0</v>
      </c>
      <c r="AF5" s="20">
        <f t="shared" si="0"/>
        <v>0</v>
      </c>
    </row>
    <row r="6" spans="2:32" ht="16.899999999999999" customHeight="1">
      <c r="B6" s="191" t="s">
        <v>120</v>
      </c>
      <c r="C6" s="10" t="s">
        <v>16</v>
      </c>
      <c r="D6" s="191">
        <v>0</v>
      </c>
      <c r="E6" s="195">
        <v>1350</v>
      </c>
      <c r="F6" s="195">
        <v>0</v>
      </c>
      <c r="G6" s="195">
        <v>4835484.2</v>
      </c>
      <c r="H6" s="5" t="s">
        <v>17</v>
      </c>
      <c r="I6" s="192">
        <f>IF(C6="Pago de Obligaciones a ARCA Tipo de Pago: ARCA VEP PENDIENTES",VLOOKUP(K6,#REF!,3,FALSE),IFERROR(IFERROR(VLOOKUP(C6,REFERENCIAS!C:H,4,FALSE),VLOOKUP(H6,REFERENCIAS!B:H,5,FALSE)&amp;(" (revisar)")),0))</f>
        <v>0</v>
      </c>
      <c r="J6" s="192" t="str">
        <f>IF(C6="Pago de Obligaciones a ARCA Tipo de Pago: ARCA VEP PENDIENTES",VLOOKUP(E6,#REF!,6,FALSE),IFERROR(IFERROR(VLOOKUP(C6,REFERENCIAS!C:H,2,FALSE),VLOOKUP(H6,REFERENCIAS!B:H,3,FALSE)&amp;(" (revisar)")),0))</f>
        <v>GASTOS</v>
      </c>
      <c r="K6" t="str">
        <f>IF(C6="Pago de Obligaciones a ARCA Tipo de Pago: ARCA VEP PENDIENTES",VLOOKUP(E6,#REF!,7,FALSE),IFERROR(IFERROR(VLOOKUP(C6,REFERENCIAS!C:H,3,FALSE),VLOOKUP(H6,REFERENCIAS!B:H,4,FALSE)&amp;(" (revisar)")),0))</f>
        <v>PERC. IVA</v>
      </c>
      <c r="N6" s="20">
        <f t="shared" si="1"/>
        <v>273764.90000000008</v>
      </c>
      <c r="O6" s="20">
        <f t="shared" si="0"/>
        <v>0</v>
      </c>
      <c r="P6" s="20">
        <f t="shared" si="0"/>
        <v>0</v>
      </c>
      <c r="Q6" s="20">
        <f t="shared" si="0"/>
        <v>0</v>
      </c>
      <c r="R6" s="20">
        <f t="shared" si="0"/>
        <v>0</v>
      </c>
      <c r="S6" s="20">
        <f t="shared" si="0"/>
        <v>0</v>
      </c>
      <c r="T6" s="20">
        <f t="shared" si="0"/>
        <v>0</v>
      </c>
      <c r="U6" s="20">
        <f t="shared" si="0"/>
        <v>0</v>
      </c>
      <c r="V6" s="20">
        <f t="shared" si="0"/>
        <v>0</v>
      </c>
      <c r="W6" s="20">
        <f t="shared" si="0"/>
        <v>0</v>
      </c>
      <c r="X6" s="20">
        <f t="shared" si="0"/>
        <v>0</v>
      </c>
      <c r="Y6" s="20">
        <f t="shared" si="0"/>
        <v>0</v>
      </c>
      <c r="Z6" s="20">
        <f t="shared" si="0"/>
        <v>0</v>
      </c>
      <c r="AA6" s="20">
        <f t="shared" si="0"/>
        <v>0</v>
      </c>
      <c r="AB6" s="20">
        <f t="shared" si="0"/>
        <v>0</v>
      </c>
      <c r="AC6" s="20">
        <f t="shared" si="0"/>
        <v>0</v>
      </c>
      <c r="AD6" s="20">
        <f t="shared" si="0"/>
        <v>-1350</v>
      </c>
      <c r="AE6" s="20">
        <f t="shared" si="0"/>
        <v>0</v>
      </c>
      <c r="AF6" s="20">
        <f t="shared" si="0"/>
        <v>0</v>
      </c>
    </row>
    <row r="7" spans="2:32" ht="16.899999999999999" customHeight="1">
      <c r="B7" s="191" t="s">
        <v>120</v>
      </c>
      <c r="C7" s="10" t="s">
        <v>14</v>
      </c>
      <c r="D7" s="191">
        <v>0</v>
      </c>
      <c r="E7" s="195">
        <v>9450</v>
      </c>
      <c r="F7" s="195">
        <v>0</v>
      </c>
      <c r="G7" s="195">
        <v>4836834.2</v>
      </c>
      <c r="H7" s="5" t="s">
        <v>15</v>
      </c>
      <c r="I7" s="192">
        <f>IF(C7="Pago de Obligaciones a ARCA Tipo de Pago: ARCA VEP PENDIENTES",VLOOKUP(K7,#REF!,3,FALSE),IFERROR(IFERROR(VLOOKUP(C7,REFERENCIAS!C:H,4,FALSE),VLOOKUP(H7,REFERENCIAS!B:H,5,FALSE)&amp;(" (revisar)")),0))</f>
        <v>0</v>
      </c>
      <c r="J7" s="192" t="str">
        <f>IF(C7="Pago de Obligaciones a ARCA Tipo de Pago: ARCA VEP PENDIENTES",VLOOKUP(E7,#REF!,6,FALSE),IFERROR(IFERROR(VLOOKUP(C7,REFERENCIAS!C:H,2,FALSE),VLOOKUP(H7,REFERENCIAS!B:H,3,FALSE)&amp;(" (revisar)")),0))</f>
        <v>GASTOS</v>
      </c>
      <c r="K7" t="str">
        <f>IF(C7="Pago de Obligaciones a ARCA Tipo de Pago: ARCA VEP PENDIENTES",VLOOKUP(E7,#REF!,7,FALSE),IFERROR(IFERROR(VLOOKUP(C7,REFERENCIAS!C:H,3,FALSE),VLOOKUP(H7,REFERENCIAS!B:H,4,FALSE)&amp;(" (revisar)")),0))</f>
        <v>IVA DEB.FISCAL 21%</v>
      </c>
      <c r="N7" s="20">
        <f t="shared" si="1"/>
        <v>264314.90000000008</v>
      </c>
      <c r="O7" s="20">
        <f t="shared" si="0"/>
        <v>0</v>
      </c>
      <c r="P7" s="20">
        <f t="shared" si="0"/>
        <v>0</v>
      </c>
      <c r="Q7" s="20">
        <f t="shared" si="0"/>
        <v>0</v>
      </c>
      <c r="R7" s="20">
        <f t="shared" si="0"/>
        <v>0</v>
      </c>
      <c r="S7" s="20">
        <f t="shared" si="0"/>
        <v>0</v>
      </c>
      <c r="T7" s="20">
        <f t="shared" si="0"/>
        <v>0</v>
      </c>
      <c r="U7" s="20">
        <f t="shared" si="0"/>
        <v>0</v>
      </c>
      <c r="V7" s="20">
        <f t="shared" si="0"/>
        <v>0</v>
      </c>
      <c r="W7" s="20">
        <f t="shared" si="0"/>
        <v>0</v>
      </c>
      <c r="X7" s="20">
        <f t="shared" si="0"/>
        <v>0</v>
      </c>
      <c r="Y7" s="20">
        <f t="shared" si="0"/>
        <v>0</v>
      </c>
      <c r="Z7" s="20">
        <f t="shared" si="0"/>
        <v>-9450</v>
      </c>
      <c r="AA7" s="20">
        <f t="shared" si="0"/>
        <v>0</v>
      </c>
      <c r="AB7" s="20">
        <f t="shared" si="0"/>
        <v>0</v>
      </c>
      <c r="AC7" s="20">
        <f t="shared" si="0"/>
        <v>0</v>
      </c>
      <c r="AD7" s="20">
        <f t="shared" si="0"/>
        <v>0</v>
      </c>
      <c r="AE7" s="20">
        <f t="shared" si="0"/>
        <v>0</v>
      </c>
      <c r="AF7" s="20">
        <f t="shared" si="0"/>
        <v>0</v>
      </c>
    </row>
    <row r="8" spans="2:32" ht="16.899999999999999" customHeight="1">
      <c r="B8" s="191" t="s">
        <v>120</v>
      </c>
      <c r="C8" s="10" t="s">
        <v>12</v>
      </c>
      <c r="D8" s="191">
        <v>0</v>
      </c>
      <c r="E8" s="195">
        <v>3214.8</v>
      </c>
      <c r="F8" s="195">
        <v>0</v>
      </c>
      <c r="G8" s="195">
        <v>4846284.2</v>
      </c>
      <c r="H8" s="5" t="s">
        <v>13</v>
      </c>
      <c r="I8" s="192">
        <f>IF(C8="Pago de Obligaciones a ARCA Tipo de Pago: ARCA VEP PENDIENTES",VLOOKUP(K8,#REF!,3,FALSE),IFERROR(IFERROR(VLOOKUP(C8,REFERENCIAS!C:H,4,FALSE),VLOOKUP(H8,REFERENCIAS!B:H,5,FALSE)&amp;(" (revisar)")),0))</f>
        <v>0</v>
      </c>
      <c r="J8" s="192" t="str">
        <f>IF(C8="Pago de Obligaciones a ARCA Tipo de Pago: ARCA VEP PENDIENTES",VLOOKUP(E8,#REF!,6,FALSE),IFERROR(IFERROR(VLOOKUP(C8,REFERENCIAS!C:H,2,FALSE),VLOOKUP(H8,REFERENCIAS!B:H,3,FALSE)&amp;(" (revisar)")),0))</f>
        <v>GASTOS</v>
      </c>
      <c r="K8" t="str">
        <f>IF(C8="Pago de Obligaciones a ARCA Tipo de Pago: ARCA VEP PENDIENTES",VLOOKUP(E8,#REF!,7,FALSE),IFERROR(IFERROR(VLOOKUP(C8,REFERENCIAS!C:H,3,FALSE),VLOOKUP(H8,REFERENCIAS!B:H,4,FALSE)&amp;(" (revisar)")),0))</f>
        <v>IMP. L.25413-DEB</v>
      </c>
      <c r="N8" s="20">
        <f t="shared" si="1"/>
        <v>261100.10000000009</v>
      </c>
      <c r="O8" s="20">
        <f t="shared" si="0"/>
        <v>0</v>
      </c>
      <c r="P8" s="20">
        <f t="shared" si="0"/>
        <v>0</v>
      </c>
      <c r="Q8" s="20">
        <f t="shared" si="0"/>
        <v>0</v>
      </c>
      <c r="R8" s="20">
        <f t="shared" si="0"/>
        <v>0</v>
      </c>
      <c r="S8" s="20">
        <f t="shared" si="0"/>
        <v>0</v>
      </c>
      <c r="T8" s="20">
        <f t="shared" si="0"/>
        <v>0</v>
      </c>
      <c r="U8" s="20">
        <f t="shared" si="0"/>
        <v>0</v>
      </c>
      <c r="V8" s="20">
        <f t="shared" si="0"/>
        <v>0</v>
      </c>
      <c r="W8" s="20">
        <f t="shared" si="0"/>
        <v>0</v>
      </c>
      <c r="X8" s="20">
        <f t="shared" si="0"/>
        <v>-3214.8</v>
      </c>
      <c r="Y8" s="20">
        <f t="shared" si="0"/>
        <v>0</v>
      </c>
      <c r="Z8" s="20">
        <f t="shared" si="0"/>
        <v>0</v>
      </c>
      <c r="AA8" s="20">
        <f t="shared" si="0"/>
        <v>0</v>
      </c>
      <c r="AB8" s="20">
        <f t="shared" si="0"/>
        <v>0</v>
      </c>
      <c r="AC8" s="20">
        <f t="shared" si="0"/>
        <v>0</v>
      </c>
      <c r="AD8" s="20">
        <f t="shared" si="0"/>
        <v>0</v>
      </c>
      <c r="AE8" s="20">
        <f t="shared" si="0"/>
        <v>0</v>
      </c>
      <c r="AF8" s="20">
        <f t="shared" si="0"/>
        <v>0</v>
      </c>
    </row>
    <row r="9" spans="2:32" ht="16.899999999999999" customHeight="1">
      <c r="B9" s="191" t="s">
        <v>120</v>
      </c>
      <c r="C9" s="10" t="s">
        <v>53</v>
      </c>
      <c r="D9" s="191">
        <v>253328</v>
      </c>
      <c r="E9" s="195">
        <v>45000</v>
      </c>
      <c r="F9" s="195">
        <v>0</v>
      </c>
      <c r="G9" s="195">
        <v>4849499</v>
      </c>
      <c r="H9" s="5">
        <v>1507</v>
      </c>
      <c r="I9" s="192">
        <f>IF(C9="Pago de Obligaciones a ARCA Tipo de Pago: ARCA VEP PENDIENTES",VLOOKUP(K9,#REF!,3,FALSE),IFERROR(IFERROR(VLOOKUP(C9,REFERENCIAS!C:H,4,FALSE),VLOOKUP(H9,REFERENCIAS!B:H,5,FALSE)&amp;(" (revisar)")),0))</f>
        <v>0</v>
      </c>
      <c r="J9" s="192" t="str">
        <f>IF(C9="Pago de Obligaciones a ARCA Tipo de Pago: ARCA VEP PENDIENTES",VLOOKUP(E9,#REF!,6,FALSE),IFERROR(IFERROR(VLOOKUP(C9,REFERENCIAS!C:H,2,FALSE),VLOOKUP(H9,REFERENCIAS!B:H,3,FALSE)&amp;(" (revisar)")),0))</f>
        <v>GASTOS</v>
      </c>
      <c r="K9" t="str">
        <f>IF(C9="Pago de Obligaciones a ARCA Tipo de Pago: ARCA VEP PENDIENTES",VLOOKUP(E9,#REF!,7,FALSE),IFERROR(IFERROR(VLOOKUP(C9,REFERENCIAS!C:H,3,FALSE),VLOOKUP(H9,REFERENCIAS!B:H,4,FALSE)&amp;(" (revisar)")),0))</f>
        <v xml:space="preserve">Comisiones y Gastos Bancarios </v>
      </c>
      <c r="N9" s="20">
        <f t="shared" si="1"/>
        <v>216100.10000000009</v>
      </c>
      <c r="O9" s="20">
        <f t="shared" si="0"/>
        <v>0</v>
      </c>
      <c r="P9" s="20">
        <f t="shared" si="0"/>
        <v>0</v>
      </c>
      <c r="Q9" s="20">
        <f t="shared" si="0"/>
        <v>0</v>
      </c>
      <c r="R9" s="20">
        <f t="shared" si="0"/>
        <v>0</v>
      </c>
      <c r="S9" s="20">
        <f t="shared" si="0"/>
        <v>0</v>
      </c>
      <c r="T9" s="20">
        <f t="shared" si="0"/>
        <v>0</v>
      </c>
      <c r="U9" s="20">
        <f t="shared" si="0"/>
        <v>0</v>
      </c>
      <c r="V9" s="20">
        <f t="shared" si="0"/>
        <v>0</v>
      </c>
      <c r="W9" s="20">
        <f t="shared" si="0"/>
        <v>-45000</v>
      </c>
      <c r="X9" s="20">
        <f t="shared" si="0"/>
        <v>0</v>
      </c>
      <c r="Y9" s="20">
        <f t="shared" si="0"/>
        <v>0</v>
      </c>
      <c r="Z9" s="20">
        <f t="shared" si="0"/>
        <v>0</v>
      </c>
      <c r="AA9" s="20">
        <f t="shared" si="0"/>
        <v>0</v>
      </c>
      <c r="AB9" s="20">
        <f t="shared" si="0"/>
        <v>0</v>
      </c>
      <c r="AC9" s="20">
        <f t="shared" si="0"/>
        <v>0</v>
      </c>
      <c r="AD9" s="20">
        <f t="shared" si="0"/>
        <v>0</v>
      </c>
      <c r="AE9" s="20">
        <f t="shared" si="0"/>
        <v>0</v>
      </c>
      <c r="AF9" s="20">
        <f t="shared" si="0"/>
        <v>0</v>
      </c>
    </row>
    <row r="10" spans="2:32" ht="16.899999999999999" customHeight="1">
      <c r="B10" s="191" t="s">
        <v>122</v>
      </c>
      <c r="C10" s="10" t="s">
        <v>14</v>
      </c>
      <c r="D10" s="191">
        <v>0</v>
      </c>
      <c r="E10" s="195">
        <v>199.5</v>
      </c>
      <c r="F10" s="195">
        <v>0</v>
      </c>
      <c r="G10" s="195">
        <v>5374499</v>
      </c>
      <c r="H10" s="5" t="s">
        <v>15</v>
      </c>
      <c r="I10" s="192">
        <f>IF(C10="Pago de Obligaciones a ARCA Tipo de Pago: ARCA VEP PENDIENTES",VLOOKUP(K10,#REF!,3,FALSE),IFERROR(IFERROR(VLOOKUP(C10,REFERENCIAS!C:H,4,FALSE),VLOOKUP(H10,REFERENCIAS!B:H,5,FALSE)&amp;(" (revisar)")),0))</f>
        <v>0</v>
      </c>
      <c r="J10" s="192" t="str">
        <f>IF(C10="Pago de Obligaciones a ARCA Tipo de Pago: ARCA VEP PENDIENTES",VLOOKUP(E10,#REF!,6,FALSE),IFERROR(IFERROR(VLOOKUP(C10,REFERENCIAS!C:H,2,FALSE),VLOOKUP(H10,REFERENCIAS!B:H,3,FALSE)&amp;(" (revisar)")),0))</f>
        <v>GASTOS</v>
      </c>
      <c r="K10" t="str">
        <f>IF(C10="Pago de Obligaciones a ARCA Tipo de Pago: ARCA VEP PENDIENTES",VLOOKUP(E10,#REF!,7,FALSE),IFERROR(IFERROR(VLOOKUP(C10,REFERENCIAS!C:H,3,FALSE),VLOOKUP(H10,REFERENCIAS!B:H,4,FALSE)&amp;(" (revisar)")),0))</f>
        <v>IVA DEB.FISCAL 21%</v>
      </c>
      <c r="N10" s="20">
        <f t="shared" si="1"/>
        <v>215900.60000000009</v>
      </c>
      <c r="O10" s="20">
        <f t="shared" si="0"/>
        <v>0</v>
      </c>
      <c r="P10" s="20">
        <f t="shared" si="0"/>
        <v>0</v>
      </c>
      <c r="Q10" s="20">
        <f t="shared" si="0"/>
        <v>0</v>
      </c>
      <c r="R10" s="20">
        <f t="shared" ref="R10:AF15" si="2">IF($K10=R$1,(-$E10+$F10),0)</f>
        <v>0</v>
      </c>
      <c r="S10" s="20">
        <f t="shared" si="2"/>
        <v>0</v>
      </c>
      <c r="T10" s="20">
        <f t="shared" si="2"/>
        <v>0</v>
      </c>
      <c r="U10" s="20">
        <f t="shared" si="2"/>
        <v>0</v>
      </c>
      <c r="V10" s="20">
        <f t="shared" si="2"/>
        <v>0</v>
      </c>
      <c r="W10" s="20">
        <f t="shared" si="2"/>
        <v>0</v>
      </c>
      <c r="X10" s="20">
        <f t="shared" si="2"/>
        <v>0</v>
      </c>
      <c r="Y10" s="20">
        <f t="shared" si="2"/>
        <v>0</v>
      </c>
      <c r="Z10" s="20">
        <f t="shared" si="2"/>
        <v>-199.5</v>
      </c>
      <c r="AA10" s="20">
        <f t="shared" si="2"/>
        <v>0</v>
      </c>
      <c r="AB10" s="20">
        <f t="shared" si="2"/>
        <v>0</v>
      </c>
      <c r="AC10" s="20">
        <f t="shared" si="2"/>
        <v>0</v>
      </c>
      <c r="AD10" s="20">
        <f t="shared" si="2"/>
        <v>0</v>
      </c>
      <c r="AE10" s="20">
        <f t="shared" si="2"/>
        <v>0</v>
      </c>
      <c r="AF10" s="20">
        <f t="shared" si="2"/>
        <v>0</v>
      </c>
    </row>
    <row r="11" spans="2:32" ht="16.899999999999999" customHeight="1">
      <c r="B11" s="191" t="s">
        <v>122</v>
      </c>
      <c r="C11" s="10" t="s">
        <v>12</v>
      </c>
      <c r="D11" s="191">
        <v>0</v>
      </c>
      <c r="E11" s="195">
        <v>32578.21</v>
      </c>
      <c r="F11" s="195">
        <v>0</v>
      </c>
      <c r="G11" s="195">
        <v>5374698.5</v>
      </c>
      <c r="H11" s="5" t="s">
        <v>13</v>
      </c>
      <c r="I11" s="192">
        <f>IF(C11="Pago de Obligaciones a ARCA Tipo de Pago: ARCA VEP PENDIENTES",VLOOKUP(K11,#REF!,3,FALSE),IFERROR(IFERROR(VLOOKUP(C11,REFERENCIAS!C:H,4,FALSE),VLOOKUP(H11,REFERENCIAS!B:H,5,FALSE)&amp;(" (revisar)")),0))</f>
        <v>0</v>
      </c>
      <c r="J11" s="192" t="str">
        <f>IF(C11="Pago de Obligaciones a ARCA Tipo de Pago: ARCA VEP PENDIENTES",VLOOKUP(E11,#REF!,6,FALSE),IFERROR(IFERROR(VLOOKUP(C11,REFERENCIAS!C:H,2,FALSE),VLOOKUP(H11,REFERENCIAS!B:H,3,FALSE)&amp;(" (revisar)")),0))</f>
        <v>GASTOS</v>
      </c>
      <c r="K11" t="str">
        <f>IF(C11="Pago de Obligaciones a ARCA Tipo de Pago: ARCA VEP PENDIENTES",VLOOKUP(E11,#REF!,7,FALSE),IFERROR(IFERROR(VLOOKUP(C11,REFERENCIAS!C:H,3,FALSE),VLOOKUP(H11,REFERENCIAS!B:H,4,FALSE)&amp;(" (revisar)")),0))</f>
        <v>IMP. L.25413-DEB</v>
      </c>
      <c r="N11" s="20">
        <f t="shared" si="1"/>
        <v>183322.3900000001</v>
      </c>
      <c r="O11" s="20">
        <f t="shared" ref="O11:AD16" si="3">IF($K11=O$1,(-$E11+$F11),0)</f>
        <v>0</v>
      </c>
      <c r="P11" s="20">
        <f t="shared" si="3"/>
        <v>0</v>
      </c>
      <c r="Q11" s="20">
        <f t="shared" si="3"/>
        <v>0</v>
      </c>
      <c r="R11" s="20">
        <f t="shared" si="3"/>
        <v>0</v>
      </c>
      <c r="S11" s="20">
        <f t="shared" si="3"/>
        <v>0</v>
      </c>
      <c r="T11" s="20">
        <f t="shared" si="3"/>
        <v>0</v>
      </c>
      <c r="U11" s="20">
        <f t="shared" si="3"/>
        <v>0</v>
      </c>
      <c r="V11" s="20">
        <f t="shared" si="3"/>
        <v>0</v>
      </c>
      <c r="W11" s="20">
        <f t="shared" si="3"/>
        <v>0</v>
      </c>
      <c r="X11" s="20">
        <f t="shared" si="3"/>
        <v>-32578.21</v>
      </c>
      <c r="Y11" s="20">
        <f t="shared" si="3"/>
        <v>0</v>
      </c>
      <c r="Z11" s="20">
        <f t="shared" si="3"/>
        <v>0</v>
      </c>
      <c r="AA11" s="20">
        <f t="shared" si="3"/>
        <v>0</v>
      </c>
      <c r="AB11" s="20">
        <f t="shared" si="3"/>
        <v>0</v>
      </c>
      <c r="AC11" s="20">
        <f t="shared" si="3"/>
        <v>0</v>
      </c>
      <c r="AD11" s="20">
        <f t="shared" si="3"/>
        <v>0</v>
      </c>
      <c r="AE11" s="20">
        <f t="shared" si="2"/>
        <v>0</v>
      </c>
      <c r="AF11" s="20">
        <f t="shared" si="2"/>
        <v>0</v>
      </c>
    </row>
    <row r="12" spans="2:32" ht="16.899999999999999" customHeight="1">
      <c r="B12" s="191" t="s">
        <v>122</v>
      </c>
      <c r="C12" s="10" t="s">
        <v>19</v>
      </c>
      <c r="D12" s="191">
        <v>56856</v>
      </c>
      <c r="E12" s="195">
        <v>54851.12</v>
      </c>
      <c r="F12" s="195">
        <v>0</v>
      </c>
      <c r="G12" s="195">
        <v>5407276.71</v>
      </c>
      <c r="H12" s="5">
        <v>382</v>
      </c>
      <c r="I12" s="192">
        <f>IF(C12="Pago de Obligaciones a ARCA Tipo de Pago: ARCA VEP PENDIENTES",VLOOKUP(K12,#REF!,3,FALSE),IFERROR(IFERROR(VLOOKUP(C12,REFERENCIAS!C:H,4,FALSE),VLOOKUP(H12,REFERENCIAS!B:H,5,FALSE)&amp;(" (revisar)")),0))</f>
        <v>0</v>
      </c>
      <c r="J12" s="192" t="str">
        <f>IF(C12="Pago de Obligaciones a ARCA Tipo de Pago: ARCA VEP PENDIENTES",VLOOKUP(E12,#REF!,6,FALSE),IFERROR(IFERROR(VLOOKUP(C12,REFERENCIAS!C:H,2,FALSE),VLOOKUP(H12,REFERENCIAS!B:H,3,FALSE)&amp;(" (revisar)")),0))</f>
        <v>PAGOS</v>
      </c>
      <c r="K12" t="str">
        <f>IF(C12="Pago de Obligaciones a ARCA Tipo de Pago: ARCA VEP PENDIENTES",VLOOKUP(E12,#REF!,7,FALSE),IFERROR(IFERROR(VLOOKUP(C12,REFERENCIAS!C:H,3,FALSE),VLOOKUP(H12,REFERENCIAS!B:H,4,FALSE)&amp;(" (revisar)")),0))</f>
        <v>Proveedores</v>
      </c>
      <c r="N12" s="20">
        <f t="shared" si="1"/>
        <v>128471.27000000011</v>
      </c>
      <c r="O12" s="20">
        <f t="shared" si="3"/>
        <v>0</v>
      </c>
      <c r="P12" s="20">
        <f t="shared" si="3"/>
        <v>0</v>
      </c>
      <c r="Q12" s="20">
        <f t="shared" si="3"/>
        <v>0</v>
      </c>
      <c r="R12" s="20">
        <f t="shared" si="3"/>
        <v>0</v>
      </c>
      <c r="S12" s="20">
        <f t="shared" si="3"/>
        <v>0</v>
      </c>
      <c r="T12" s="20">
        <f t="shared" si="3"/>
        <v>0</v>
      </c>
      <c r="U12" s="20">
        <f t="shared" si="3"/>
        <v>-54851.12</v>
      </c>
      <c r="V12" s="20">
        <f t="shared" si="3"/>
        <v>0</v>
      </c>
      <c r="W12" s="20">
        <f t="shared" si="3"/>
        <v>0</v>
      </c>
      <c r="X12" s="20">
        <f t="shared" si="3"/>
        <v>0</v>
      </c>
      <c r="Y12" s="20">
        <f t="shared" si="3"/>
        <v>0</v>
      </c>
      <c r="Z12" s="20">
        <f t="shared" si="3"/>
        <v>0</v>
      </c>
      <c r="AA12" s="20">
        <f t="shared" si="3"/>
        <v>0</v>
      </c>
      <c r="AB12" s="20">
        <f t="shared" si="3"/>
        <v>0</v>
      </c>
      <c r="AC12" s="20">
        <f t="shared" si="3"/>
        <v>0</v>
      </c>
      <c r="AD12" s="20">
        <f t="shared" si="3"/>
        <v>0</v>
      </c>
      <c r="AE12" s="20">
        <f t="shared" si="2"/>
        <v>0</v>
      </c>
      <c r="AF12" s="20">
        <f t="shared" si="2"/>
        <v>0</v>
      </c>
    </row>
    <row r="13" spans="2:32" ht="16.899999999999999" customHeight="1">
      <c r="B13" s="191" t="s">
        <v>123</v>
      </c>
      <c r="C13" s="10" t="s">
        <v>12</v>
      </c>
      <c r="D13" s="191">
        <v>0</v>
      </c>
      <c r="E13" s="195">
        <v>15534.03</v>
      </c>
      <c r="F13" s="195">
        <v>0</v>
      </c>
      <c r="G13" s="195">
        <v>10836777.83</v>
      </c>
      <c r="H13" s="5" t="s">
        <v>13</v>
      </c>
      <c r="I13" s="192">
        <f>IF(C13="Pago de Obligaciones a ARCA Tipo de Pago: ARCA VEP PENDIENTES",VLOOKUP(K13,#REF!,3,FALSE),IFERROR(IFERROR(VLOOKUP(C13,REFERENCIAS!C:H,4,FALSE),VLOOKUP(H13,REFERENCIAS!B:H,5,FALSE)&amp;(" (revisar)")),0))</f>
        <v>0</v>
      </c>
      <c r="J13" s="192" t="str">
        <f>IF(C13="Pago de Obligaciones a ARCA Tipo de Pago: ARCA VEP PENDIENTES",VLOOKUP(E13,#REF!,6,FALSE),IFERROR(IFERROR(VLOOKUP(C13,REFERENCIAS!C:H,2,FALSE),VLOOKUP(H13,REFERENCIAS!B:H,3,FALSE)&amp;(" (revisar)")),0))</f>
        <v>GASTOS</v>
      </c>
      <c r="K13" t="str">
        <f>IF(C13="Pago de Obligaciones a ARCA Tipo de Pago: ARCA VEP PENDIENTES",VLOOKUP(E13,#REF!,7,FALSE),IFERROR(IFERROR(VLOOKUP(C13,REFERENCIAS!C:H,3,FALSE),VLOOKUP(H13,REFERENCIAS!B:H,4,FALSE)&amp;(" (revisar)")),0))</f>
        <v>IMP. L.25413-DEB</v>
      </c>
      <c r="N13" s="20">
        <f t="shared" si="1"/>
        <v>112937.24000000011</v>
      </c>
      <c r="O13" s="20">
        <f t="shared" si="3"/>
        <v>0</v>
      </c>
      <c r="P13" s="20">
        <f t="shared" si="3"/>
        <v>0</v>
      </c>
      <c r="Q13" s="20">
        <f t="shared" si="3"/>
        <v>0</v>
      </c>
      <c r="R13" s="20">
        <f t="shared" si="3"/>
        <v>0</v>
      </c>
      <c r="S13" s="20">
        <f t="shared" si="3"/>
        <v>0</v>
      </c>
      <c r="T13" s="20">
        <f t="shared" si="3"/>
        <v>0</v>
      </c>
      <c r="U13" s="20">
        <f t="shared" si="3"/>
        <v>0</v>
      </c>
      <c r="V13" s="20">
        <f t="shared" si="3"/>
        <v>0</v>
      </c>
      <c r="W13" s="20">
        <f t="shared" si="3"/>
        <v>0</v>
      </c>
      <c r="X13" s="20">
        <f t="shared" si="3"/>
        <v>-15534.03</v>
      </c>
      <c r="Y13" s="20">
        <f t="shared" si="3"/>
        <v>0</v>
      </c>
      <c r="Z13" s="20">
        <f t="shared" si="3"/>
        <v>0</v>
      </c>
      <c r="AA13" s="20">
        <f t="shared" si="3"/>
        <v>0</v>
      </c>
      <c r="AB13" s="20">
        <f t="shared" si="3"/>
        <v>0</v>
      </c>
      <c r="AC13" s="20">
        <f t="shared" si="3"/>
        <v>0</v>
      </c>
      <c r="AD13" s="20">
        <f t="shared" si="3"/>
        <v>0</v>
      </c>
      <c r="AE13" s="20">
        <f t="shared" si="2"/>
        <v>0</v>
      </c>
      <c r="AF13" s="20">
        <f t="shared" si="2"/>
        <v>0</v>
      </c>
    </row>
    <row r="14" spans="2:32" ht="16.899999999999999" customHeight="1">
      <c r="B14" s="191" t="s">
        <v>123</v>
      </c>
      <c r="C14" s="10" t="s">
        <v>10</v>
      </c>
      <c r="D14" s="191">
        <v>0</v>
      </c>
      <c r="E14" s="195">
        <v>74504.41</v>
      </c>
      <c r="F14" s="195">
        <v>0</v>
      </c>
      <c r="G14" s="195">
        <v>10852311.859999999</v>
      </c>
      <c r="H14" s="5" t="s">
        <v>11</v>
      </c>
      <c r="I14" s="192">
        <f>IF(C14="Pago de Obligaciones a ARCA Tipo de Pago: ARCA VEP PENDIENTES",VLOOKUP(K14,#REF!,3,FALSE),IFERROR(IFERROR(VLOOKUP(C14,REFERENCIAS!C:H,4,FALSE),VLOOKUP(H14,REFERENCIAS!B:H,5,FALSE)&amp;(" (revisar)")),0))</f>
        <v>0</v>
      </c>
      <c r="J14" s="192" t="str">
        <f>IF(C14="Pago de Obligaciones a ARCA Tipo de Pago: ARCA VEP PENDIENTES",VLOOKUP(E14,#REF!,6,FALSE),IFERROR(IFERROR(VLOOKUP(C14,REFERENCIAS!C:H,2,FALSE),VLOOKUP(H14,REFERENCIAS!B:H,3,FALSE)&amp;(" (revisar)")),0))</f>
        <v>GASTOS</v>
      </c>
      <c r="K14" t="str">
        <f>IF(C14="Pago de Obligaciones a ARCA Tipo de Pago: ARCA VEP PENDIENTES",VLOOKUP(E14,#REF!,7,FALSE),IFERROR(IFERROR(VLOOKUP(C14,REFERENCIAS!C:H,3,FALSE),VLOOKUP(H14,REFERENCIAS!B:H,4,FALSE)&amp;(" (revisar)")),0))</f>
        <v>IMP.LEY 25413-S/CRED 6%</v>
      </c>
      <c r="N14" s="20">
        <f t="shared" si="1"/>
        <v>38432.830000000104</v>
      </c>
      <c r="O14" s="20">
        <f t="shared" si="3"/>
        <v>0</v>
      </c>
      <c r="P14" s="20">
        <f t="shared" si="3"/>
        <v>0</v>
      </c>
      <c r="Q14" s="20">
        <f t="shared" si="3"/>
        <v>0</v>
      </c>
      <c r="R14" s="20">
        <f t="shared" si="3"/>
        <v>0</v>
      </c>
      <c r="S14" s="20">
        <f t="shared" si="3"/>
        <v>0</v>
      </c>
      <c r="T14" s="20">
        <f t="shared" si="3"/>
        <v>0</v>
      </c>
      <c r="U14" s="20">
        <f t="shared" si="3"/>
        <v>0</v>
      </c>
      <c r="V14" s="20">
        <f t="shared" si="3"/>
        <v>0</v>
      </c>
      <c r="W14" s="20">
        <f t="shared" si="3"/>
        <v>0</v>
      </c>
      <c r="X14" s="20">
        <f t="shared" si="3"/>
        <v>0</v>
      </c>
      <c r="Y14" s="20">
        <f t="shared" si="3"/>
        <v>-74504.41</v>
      </c>
      <c r="Z14" s="20">
        <f t="shared" si="3"/>
        <v>0</v>
      </c>
      <c r="AA14" s="20">
        <f t="shared" si="3"/>
        <v>0</v>
      </c>
      <c r="AB14" s="20">
        <f t="shared" si="3"/>
        <v>0</v>
      </c>
      <c r="AC14" s="20">
        <f t="shared" si="3"/>
        <v>0</v>
      </c>
      <c r="AD14" s="20">
        <f t="shared" si="3"/>
        <v>0</v>
      </c>
      <c r="AE14" s="20">
        <f t="shared" si="2"/>
        <v>0</v>
      </c>
      <c r="AF14" s="20">
        <f t="shared" si="2"/>
        <v>0</v>
      </c>
    </row>
    <row r="15" spans="2:32" ht="16.899999999999999" customHeight="1">
      <c r="B15" s="191" t="s">
        <v>123</v>
      </c>
      <c r="C15" s="10" t="s">
        <v>22</v>
      </c>
      <c r="D15" s="191">
        <v>0</v>
      </c>
      <c r="E15" s="195">
        <v>0</v>
      </c>
      <c r="F15" s="195">
        <v>1297402.47</v>
      </c>
      <c r="G15" s="195">
        <v>10926816.27</v>
      </c>
      <c r="H15" s="5" t="s">
        <v>23</v>
      </c>
      <c r="I15" s="192">
        <f>IF(C15="Pago de Obligaciones a ARCA Tipo de Pago: ARCA VEP PENDIENTES",VLOOKUP(K15,#REF!,3,FALSE),IFERROR(IFERROR(VLOOKUP(C15,REFERENCIAS!C:H,4,FALSE),VLOOKUP(H15,REFERENCIAS!B:H,5,FALSE)&amp;(" (revisar)")),0))</f>
        <v>0</v>
      </c>
      <c r="J15" s="192" t="str">
        <f>IF(C15="Pago de Obligaciones a ARCA Tipo de Pago: ARCA VEP PENDIENTES",VLOOKUP(E15,#REF!,6,FALSE),IFERROR(IFERROR(VLOOKUP(C15,REFERENCIAS!C:H,2,FALSE),VLOOKUP(H15,REFERENCIAS!B:H,3,FALSE)&amp;(" (revisar)")),0))</f>
        <v>ACREDITACIONES</v>
      </c>
      <c r="K15" t="str">
        <f>IF(C15="Pago de Obligaciones a ARCA Tipo de Pago: ARCA VEP PENDIENTES",VLOOKUP(E15,#REF!,7,FALSE),IFERROR(IFERROR(VLOOKUP(C15,REFERENCIAS!C:H,3,FALSE),VLOOKUP(H15,REFERENCIAS!B:H,4,FALSE)&amp;(" (revisar)")),0))</f>
        <v>Depósito de Ch. (Val. A Dep)</v>
      </c>
      <c r="N15" s="20">
        <f t="shared" si="1"/>
        <v>1335835.3</v>
      </c>
      <c r="O15" s="20">
        <f t="shared" si="3"/>
        <v>0</v>
      </c>
      <c r="P15" s="20">
        <f t="shared" si="3"/>
        <v>1297402.47</v>
      </c>
      <c r="Q15" s="20">
        <f t="shared" si="3"/>
        <v>0</v>
      </c>
      <c r="R15" s="20">
        <f t="shared" si="3"/>
        <v>0</v>
      </c>
      <c r="S15" s="20">
        <f t="shared" si="3"/>
        <v>0</v>
      </c>
      <c r="T15" s="20">
        <f t="shared" si="3"/>
        <v>0</v>
      </c>
      <c r="U15" s="20">
        <f t="shared" si="3"/>
        <v>0</v>
      </c>
      <c r="V15" s="20">
        <f t="shared" si="3"/>
        <v>0</v>
      </c>
      <c r="W15" s="20">
        <f t="shared" si="3"/>
        <v>0</v>
      </c>
      <c r="X15" s="20">
        <f t="shared" si="3"/>
        <v>0</v>
      </c>
      <c r="Y15" s="20">
        <f t="shared" si="3"/>
        <v>0</v>
      </c>
      <c r="Z15" s="20">
        <f t="shared" si="3"/>
        <v>0</v>
      </c>
      <c r="AA15" s="20">
        <f t="shared" si="3"/>
        <v>0</v>
      </c>
      <c r="AB15" s="20">
        <f t="shared" si="3"/>
        <v>0</v>
      </c>
      <c r="AC15" s="20">
        <f t="shared" si="3"/>
        <v>0</v>
      </c>
      <c r="AD15" s="20">
        <f t="shared" si="3"/>
        <v>0</v>
      </c>
      <c r="AE15" s="20">
        <f t="shared" si="2"/>
        <v>0</v>
      </c>
      <c r="AF15" s="20">
        <f t="shared" si="2"/>
        <v>0</v>
      </c>
    </row>
    <row r="16" spans="2:32" ht="16.899999999999999" customHeight="1">
      <c r="B16" s="191" t="s">
        <v>124</v>
      </c>
      <c r="C16" s="10" t="s">
        <v>12</v>
      </c>
      <c r="D16" s="191">
        <v>0</v>
      </c>
      <c r="E16" s="195">
        <v>10333.81</v>
      </c>
      <c r="F16" s="195">
        <v>0</v>
      </c>
      <c r="G16" s="195">
        <v>1098419.76</v>
      </c>
      <c r="H16" s="5" t="s">
        <v>13</v>
      </c>
      <c r="I16" s="192">
        <f>IF(C16="Pago de Obligaciones a ARCA Tipo de Pago: ARCA VEP PENDIENTES",VLOOKUP(K16,#REF!,3,FALSE),IFERROR(IFERROR(VLOOKUP(C16,REFERENCIAS!C:H,4,FALSE),VLOOKUP(H16,REFERENCIAS!B:H,5,FALSE)&amp;(" (revisar)")),0))</f>
        <v>0</v>
      </c>
      <c r="J16" s="192" t="str">
        <f>IF(C16="Pago de Obligaciones a ARCA Tipo de Pago: ARCA VEP PENDIENTES",VLOOKUP(E16,#REF!,6,FALSE),IFERROR(IFERROR(VLOOKUP(C16,REFERENCIAS!C:H,2,FALSE),VLOOKUP(H16,REFERENCIAS!B:H,3,FALSE)&amp;(" (revisar)")),0))</f>
        <v>GASTOS</v>
      </c>
      <c r="K16" t="str">
        <f>IF(C16="Pago de Obligaciones a ARCA Tipo de Pago: ARCA VEP PENDIENTES",VLOOKUP(E16,#REF!,7,FALSE),IFERROR(IFERROR(VLOOKUP(C16,REFERENCIAS!C:H,3,FALSE),VLOOKUP(H16,REFERENCIAS!B:H,4,FALSE)&amp;(" (revisar)")),0))</f>
        <v>IMP. L.25413-DEB</v>
      </c>
      <c r="N16" s="20">
        <f t="shared" si="1"/>
        <v>1325501.49</v>
      </c>
      <c r="O16" s="20">
        <f t="shared" si="3"/>
        <v>0</v>
      </c>
      <c r="P16" s="20">
        <f t="shared" si="3"/>
        <v>0</v>
      </c>
      <c r="Q16" s="20">
        <f t="shared" si="3"/>
        <v>0</v>
      </c>
      <c r="R16" s="20">
        <f t="shared" si="3"/>
        <v>0</v>
      </c>
      <c r="S16" s="20">
        <f t="shared" si="3"/>
        <v>0</v>
      </c>
      <c r="T16" s="20">
        <f t="shared" si="3"/>
        <v>0</v>
      </c>
      <c r="U16" s="20">
        <f t="shared" si="3"/>
        <v>0</v>
      </c>
      <c r="V16" s="20">
        <f t="shared" si="3"/>
        <v>0</v>
      </c>
      <c r="W16" s="20">
        <f t="shared" si="3"/>
        <v>0</v>
      </c>
      <c r="X16" s="20">
        <f t="shared" si="3"/>
        <v>-10333.81</v>
      </c>
      <c r="Y16" s="20">
        <f t="shared" si="3"/>
        <v>0</v>
      </c>
      <c r="Z16" s="20">
        <f t="shared" si="3"/>
        <v>0</v>
      </c>
      <c r="AA16" s="20">
        <f t="shared" si="3"/>
        <v>0</v>
      </c>
      <c r="AB16" s="20">
        <f t="shared" si="3"/>
        <v>0</v>
      </c>
      <c r="AC16" s="20">
        <f t="shared" si="3"/>
        <v>0</v>
      </c>
      <c r="AD16" s="20">
        <f t="shared" ref="AD16:AF25" si="4">IF($K16=AD$1,(-$E16+$F16),0)</f>
        <v>0</v>
      </c>
      <c r="AE16" s="20">
        <f t="shared" si="4"/>
        <v>0</v>
      </c>
      <c r="AF16" s="20">
        <f t="shared" si="4"/>
        <v>0</v>
      </c>
    </row>
    <row r="17" spans="2:32" ht="16.899999999999999" customHeight="1">
      <c r="B17" s="191" t="s">
        <v>124</v>
      </c>
      <c r="C17" s="10" t="s">
        <v>43</v>
      </c>
      <c r="D17" s="191">
        <v>624447</v>
      </c>
      <c r="E17" s="195">
        <v>172301.2</v>
      </c>
      <c r="F17" s="195">
        <v>0</v>
      </c>
      <c r="G17" s="195">
        <v>1108753.57</v>
      </c>
      <c r="H17" s="5">
        <v>382</v>
      </c>
      <c r="I17" s="192">
        <f>IF(C17="Pago de Obligaciones a ARCA Tipo de Pago: ARCA VEP PENDIENTES",VLOOKUP(K17,#REF!,3,FALSE),IFERROR(IFERROR(VLOOKUP(C17,REFERENCIAS!C:H,4,FALSE),VLOOKUP(H17,REFERENCIAS!B:H,5,FALSE)&amp;(" (revisar)")),0))</f>
        <v>0</v>
      </c>
      <c r="J17" s="192" t="str">
        <f>IF(C17="Pago de Obligaciones a ARCA Tipo de Pago: ARCA VEP PENDIENTES",VLOOKUP(E17,#REF!,6,FALSE),IFERROR(IFERROR(VLOOKUP(C17,REFERENCIAS!C:H,2,FALSE),VLOOKUP(H17,REFERENCIAS!B:H,3,FALSE)&amp;(" (revisar)")),0))</f>
        <v>PAGOS</v>
      </c>
      <c r="K17" t="str">
        <f>IF(C17="Pago de Obligaciones a ARCA Tipo de Pago: ARCA VEP PENDIENTES",VLOOKUP(E17,#REF!,7,FALSE),IFERROR(IFERROR(VLOOKUP(C17,REFERENCIAS!C:H,3,FALSE),VLOOKUP(H17,REFERENCIAS!B:H,4,FALSE)&amp;(" (revisar)")),0))</f>
        <v>Pagos del mes</v>
      </c>
      <c r="N17" s="20">
        <f t="shared" si="1"/>
        <v>1153200.29</v>
      </c>
      <c r="O17" s="20">
        <f t="shared" ref="O17:AD26" si="5">IF($K17=O$1,(-$E17+$F17),0)</f>
        <v>0</v>
      </c>
      <c r="P17" s="20">
        <f t="shared" si="5"/>
        <v>0</v>
      </c>
      <c r="Q17" s="20">
        <f t="shared" si="5"/>
        <v>0</v>
      </c>
      <c r="R17" s="20">
        <f t="shared" si="5"/>
        <v>0</v>
      </c>
      <c r="S17" s="20">
        <f t="shared" si="5"/>
        <v>-172301.2</v>
      </c>
      <c r="T17" s="20">
        <f t="shared" si="5"/>
        <v>0</v>
      </c>
      <c r="U17" s="20">
        <f t="shared" si="5"/>
        <v>0</v>
      </c>
      <c r="V17" s="20">
        <f t="shared" si="5"/>
        <v>0</v>
      </c>
      <c r="W17" s="20">
        <f t="shared" si="5"/>
        <v>0</v>
      </c>
      <c r="X17" s="20">
        <f t="shared" si="5"/>
        <v>0</v>
      </c>
      <c r="Y17" s="20">
        <f t="shared" si="5"/>
        <v>0</v>
      </c>
      <c r="Z17" s="20">
        <f t="shared" si="5"/>
        <v>0</v>
      </c>
      <c r="AA17" s="20">
        <f t="shared" si="5"/>
        <v>0</v>
      </c>
      <c r="AB17" s="20">
        <f t="shared" si="5"/>
        <v>0</v>
      </c>
      <c r="AC17" s="20">
        <f t="shared" si="5"/>
        <v>0</v>
      </c>
      <c r="AD17" s="20">
        <f t="shared" si="5"/>
        <v>0</v>
      </c>
      <c r="AE17" s="20">
        <f t="shared" si="4"/>
        <v>0</v>
      </c>
      <c r="AF17" s="20">
        <f t="shared" si="4"/>
        <v>0</v>
      </c>
    </row>
    <row r="18" spans="2:32" ht="16.899999999999999" customHeight="1">
      <c r="B18" s="191" t="s">
        <v>125</v>
      </c>
      <c r="C18" s="10" t="s">
        <v>12</v>
      </c>
      <c r="D18" s="191">
        <v>0</v>
      </c>
      <c r="E18" s="195">
        <v>1446.94</v>
      </c>
      <c r="F18" s="195">
        <v>0</v>
      </c>
      <c r="G18" s="195">
        <v>2831054.77</v>
      </c>
      <c r="H18" s="5" t="s">
        <v>13</v>
      </c>
      <c r="I18" s="192">
        <f>IF(C18="Pago de Obligaciones a ARCA Tipo de Pago: ARCA VEP PENDIENTES",VLOOKUP(K18,#REF!,3,FALSE),IFERROR(IFERROR(VLOOKUP(C18,REFERENCIAS!C:H,4,FALSE),VLOOKUP(H18,REFERENCIAS!B:H,5,FALSE)&amp;(" (revisar)")),0))</f>
        <v>0</v>
      </c>
      <c r="J18" s="192" t="str">
        <f>IF(C18="Pago de Obligaciones a ARCA Tipo de Pago: ARCA VEP PENDIENTES",VLOOKUP(E18,#REF!,6,FALSE),IFERROR(IFERROR(VLOOKUP(C18,REFERENCIAS!C:H,2,FALSE),VLOOKUP(H18,REFERENCIAS!B:H,3,FALSE)&amp;(" (revisar)")),0))</f>
        <v>GASTOS</v>
      </c>
      <c r="K18" t="str">
        <f>IF(C18="Pago de Obligaciones a ARCA Tipo de Pago: ARCA VEP PENDIENTES",VLOOKUP(E18,#REF!,7,FALSE),IFERROR(IFERROR(VLOOKUP(C18,REFERENCIAS!C:H,3,FALSE),VLOOKUP(H18,REFERENCIAS!B:H,4,FALSE)&amp;(" (revisar)")),0))</f>
        <v>IMP. L.25413-DEB</v>
      </c>
      <c r="N18" s="20">
        <f t="shared" si="1"/>
        <v>1151753.3500000001</v>
      </c>
      <c r="O18" s="20">
        <f t="shared" si="5"/>
        <v>0</v>
      </c>
      <c r="P18" s="20">
        <f t="shared" si="5"/>
        <v>0</v>
      </c>
      <c r="Q18" s="20">
        <f t="shared" si="5"/>
        <v>0</v>
      </c>
      <c r="R18" s="20">
        <f t="shared" si="5"/>
        <v>0</v>
      </c>
      <c r="S18" s="20">
        <f t="shared" si="5"/>
        <v>0</v>
      </c>
      <c r="T18" s="20">
        <f t="shared" si="5"/>
        <v>0</v>
      </c>
      <c r="U18" s="20">
        <f t="shared" si="5"/>
        <v>0</v>
      </c>
      <c r="V18" s="20">
        <f t="shared" si="5"/>
        <v>0</v>
      </c>
      <c r="W18" s="20">
        <f t="shared" si="5"/>
        <v>0</v>
      </c>
      <c r="X18" s="20">
        <f t="shared" si="5"/>
        <v>-1446.94</v>
      </c>
      <c r="Y18" s="20">
        <f t="shared" si="5"/>
        <v>0</v>
      </c>
      <c r="Z18" s="20">
        <f t="shared" si="5"/>
        <v>0</v>
      </c>
      <c r="AA18" s="20">
        <f t="shared" si="5"/>
        <v>0</v>
      </c>
      <c r="AB18" s="20">
        <f t="shared" si="5"/>
        <v>0</v>
      </c>
      <c r="AC18" s="20">
        <f t="shared" si="5"/>
        <v>0</v>
      </c>
      <c r="AD18" s="20">
        <f t="shared" si="5"/>
        <v>0</v>
      </c>
      <c r="AE18" s="20">
        <f t="shared" si="4"/>
        <v>0</v>
      </c>
      <c r="AF18" s="20">
        <f t="shared" si="4"/>
        <v>0</v>
      </c>
    </row>
    <row r="19" spans="2:32" ht="16.899999999999999" customHeight="1">
      <c r="B19" s="191" t="s">
        <v>126</v>
      </c>
      <c r="C19" s="10" t="s">
        <v>14</v>
      </c>
      <c r="D19" s="191">
        <v>0</v>
      </c>
      <c r="E19" s="195">
        <v>63</v>
      </c>
      <c r="F19" s="195">
        <v>0</v>
      </c>
      <c r="G19" s="195">
        <v>3073659.26</v>
      </c>
      <c r="H19" s="5" t="s">
        <v>15</v>
      </c>
      <c r="I19" s="192">
        <f>IF(C19="Pago de Obligaciones a ARCA Tipo de Pago: ARCA VEP PENDIENTES",VLOOKUP(K19,#REF!,3,FALSE),IFERROR(IFERROR(VLOOKUP(C19,REFERENCIAS!C:H,4,FALSE),VLOOKUP(H19,REFERENCIAS!B:H,5,FALSE)&amp;(" (revisar)")),0))</f>
        <v>0</v>
      </c>
      <c r="J19" s="192" t="str">
        <f>IF(C19="Pago de Obligaciones a ARCA Tipo de Pago: ARCA VEP PENDIENTES",VLOOKUP(E19,#REF!,6,FALSE),IFERROR(IFERROR(VLOOKUP(C19,REFERENCIAS!C:H,2,FALSE),VLOOKUP(H19,REFERENCIAS!B:H,3,FALSE)&amp;(" (revisar)")),0))</f>
        <v>GASTOS</v>
      </c>
      <c r="K19" t="str">
        <f>IF(C19="Pago de Obligaciones a ARCA Tipo de Pago: ARCA VEP PENDIENTES",VLOOKUP(E19,#REF!,7,FALSE),IFERROR(IFERROR(VLOOKUP(C19,REFERENCIAS!C:H,3,FALSE),VLOOKUP(H19,REFERENCIAS!B:H,4,FALSE)&amp;(" (revisar)")),0))</f>
        <v>IVA DEB.FISCAL 21%</v>
      </c>
      <c r="N19" s="20">
        <f t="shared" si="1"/>
        <v>1151690.3500000001</v>
      </c>
      <c r="O19" s="20">
        <f t="shared" si="5"/>
        <v>0</v>
      </c>
      <c r="P19" s="20">
        <f t="shared" si="5"/>
        <v>0</v>
      </c>
      <c r="Q19" s="20">
        <f t="shared" si="5"/>
        <v>0</v>
      </c>
      <c r="R19" s="20">
        <f t="shared" si="5"/>
        <v>0</v>
      </c>
      <c r="S19" s="20">
        <f t="shared" si="5"/>
        <v>0</v>
      </c>
      <c r="T19" s="20">
        <f t="shared" si="5"/>
        <v>0</v>
      </c>
      <c r="U19" s="20">
        <f t="shared" si="5"/>
        <v>0</v>
      </c>
      <c r="V19" s="20">
        <f t="shared" si="5"/>
        <v>0</v>
      </c>
      <c r="W19" s="20">
        <f t="shared" si="5"/>
        <v>0</v>
      </c>
      <c r="X19" s="20">
        <f t="shared" si="5"/>
        <v>0</v>
      </c>
      <c r="Y19" s="20">
        <f t="shared" si="5"/>
        <v>0</v>
      </c>
      <c r="Z19" s="20">
        <f t="shared" si="5"/>
        <v>-63</v>
      </c>
      <c r="AA19" s="20">
        <f t="shared" si="5"/>
        <v>0</v>
      </c>
      <c r="AB19" s="20">
        <f t="shared" si="5"/>
        <v>0</v>
      </c>
      <c r="AC19" s="20">
        <f t="shared" si="5"/>
        <v>0</v>
      </c>
      <c r="AD19" s="20">
        <f t="shared" si="5"/>
        <v>0</v>
      </c>
      <c r="AE19" s="20">
        <f t="shared" si="4"/>
        <v>0</v>
      </c>
      <c r="AF19" s="20">
        <f t="shared" si="4"/>
        <v>0</v>
      </c>
    </row>
    <row r="20" spans="2:32" ht="16.899999999999999" customHeight="1">
      <c r="B20" s="191" t="s">
        <v>126</v>
      </c>
      <c r="C20" s="10" t="s">
        <v>12</v>
      </c>
      <c r="D20" s="191">
        <v>0</v>
      </c>
      <c r="E20" s="195">
        <v>30332.27</v>
      </c>
      <c r="F20" s="195">
        <v>0</v>
      </c>
      <c r="G20" s="195">
        <v>3073722.26</v>
      </c>
      <c r="H20" s="5" t="s">
        <v>13</v>
      </c>
      <c r="I20" s="192">
        <f>IF(C20="Pago de Obligaciones a ARCA Tipo de Pago: ARCA VEP PENDIENTES",VLOOKUP(K20,#REF!,3,FALSE),IFERROR(IFERROR(VLOOKUP(C20,REFERENCIAS!C:H,4,FALSE),VLOOKUP(H20,REFERENCIAS!B:H,5,FALSE)&amp;(" (revisar)")),0))</f>
        <v>0</v>
      </c>
      <c r="J20" s="192" t="str">
        <f>IF(C20="Pago de Obligaciones a ARCA Tipo de Pago: ARCA VEP PENDIENTES",VLOOKUP(E20,#REF!,6,FALSE),IFERROR(IFERROR(VLOOKUP(C20,REFERENCIAS!C:H,2,FALSE),VLOOKUP(H20,REFERENCIAS!B:H,3,FALSE)&amp;(" (revisar)")),0))</f>
        <v>GASTOS</v>
      </c>
      <c r="K20" t="str">
        <f>IF(C20="Pago de Obligaciones a ARCA Tipo de Pago: ARCA VEP PENDIENTES",VLOOKUP(E20,#REF!,7,FALSE),IFERROR(IFERROR(VLOOKUP(C20,REFERENCIAS!C:H,3,FALSE),VLOOKUP(H20,REFERENCIAS!B:H,4,FALSE)&amp;(" (revisar)")),0))</f>
        <v>IMP. L.25413-DEB</v>
      </c>
      <c r="N20" s="20">
        <f t="shared" si="1"/>
        <v>1121358.08</v>
      </c>
      <c r="O20" s="20">
        <f t="shared" si="5"/>
        <v>0</v>
      </c>
      <c r="P20" s="20">
        <f t="shared" si="5"/>
        <v>0</v>
      </c>
      <c r="Q20" s="20">
        <f t="shared" si="5"/>
        <v>0</v>
      </c>
      <c r="R20" s="20">
        <f t="shared" si="5"/>
        <v>0</v>
      </c>
      <c r="S20" s="20">
        <f t="shared" si="5"/>
        <v>0</v>
      </c>
      <c r="T20" s="20">
        <f t="shared" si="5"/>
        <v>0</v>
      </c>
      <c r="U20" s="20">
        <f t="shared" si="5"/>
        <v>0</v>
      </c>
      <c r="V20" s="20">
        <f t="shared" si="5"/>
        <v>0</v>
      </c>
      <c r="W20" s="20">
        <f t="shared" si="5"/>
        <v>0</v>
      </c>
      <c r="X20" s="20">
        <f t="shared" si="5"/>
        <v>-30332.27</v>
      </c>
      <c r="Y20" s="20">
        <f t="shared" si="5"/>
        <v>0</v>
      </c>
      <c r="Z20" s="20">
        <f t="shared" si="5"/>
        <v>0</v>
      </c>
      <c r="AA20" s="20">
        <f t="shared" si="5"/>
        <v>0</v>
      </c>
      <c r="AB20" s="20">
        <f t="shared" si="5"/>
        <v>0</v>
      </c>
      <c r="AC20" s="20">
        <f t="shared" si="5"/>
        <v>0</v>
      </c>
      <c r="AD20" s="20">
        <f t="shared" si="5"/>
        <v>0</v>
      </c>
      <c r="AE20" s="20">
        <f t="shared" si="4"/>
        <v>0</v>
      </c>
      <c r="AF20" s="20">
        <f t="shared" si="4"/>
        <v>0</v>
      </c>
    </row>
    <row r="21" spans="2:32" ht="16.899999999999999" customHeight="1">
      <c r="B21" s="191" t="s">
        <v>126</v>
      </c>
      <c r="C21" s="18" t="s">
        <v>142</v>
      </c>
      <c r="D21" s="191">
        <v>335536</v>
      </c>
      <c r="E21" s="195">
        <v>300</v>
      </c>
      <c r="F21" s="195">
        <v>0</v>
      </c>
      <c r="G21" s="195">
        <v>8159071.5199999996</v>
      </c>
      <c r="H21" s="5">
        <v>211</v>
      </c>
      <c r="I21" s="192">
        <f>IF(C21="Pago de Obligaciones a ARCA Tipo de Pago: ARCA VEP PENDIENTES",VLOOKUP(K21,#REF!,3,FALSE),IFERROR(IFERROR(VLOOKUP(C21,REFERENCIAS!C:H,4,FALSE),VLOOKUP(H21,REFERENCIAS!B:H,5,FALSE)&amp;(" (revisar)")),0))</f>
        <v>0</v>
      </c>
      <c r="J21" s="192" t="str">
        <f>IF(C21="Pago de Obligaciones a ARCA Tipo de Pago: ARCA VEP PENDIENTES",VLOOKUP(E21,#REF!,6,FALSE),IFERROR(IFERROR(VLOOKUP(C21,REFERENCIAS!C:H,2,FALSE),VLOOKUP(H21,REFERENCIAS!B:H,3,FALSE)&amp;(" (revisar)")),0))</f>
        <v>GASTOS</v>
      </c>
      <c r="K21" t="str">
        <f>IF(C21="Pago de Obligaciones a ARCA Tipo de Pago: ARCA VEP PENDIENTES",VLOOKUP(E21,#REF!,7,FALSE),IFERROR(IFERROR(VLOOKUP(C21,REFERENCIAS!C:H,3,FALSE),VLOOKUP(H21,REFERENCIAS!B:H,4,FALSE)&amp;(" (revisar)")),0))</f>
        <v xml:space="preserve">Comisiones y Gastos Bancarios </v>
      </c>
      <c r="N21" s="20">
        <f t="shared" si="1"/>
        <v>1121058.08</v>
      </c>
      <c r="O21" s="20">
        <f t="shared" si="5"/>
        <v>0</v>
      </c>
      <c r="P21" s="20">
        <f t="shared" si="5"/>
        <v>0</v>
      </c>
      <c r="Q21" s="20">
        <f t="shared" si="5"/>
        <v>0</v>
      </c>
      <c r="R21" s="20">
        <f t="shared" si="5"/>
        <v>0</v>
      </c>
      <c r="S21" s="20">
        <f t="shared" si="5"/>
        <v>0</v>
      </c>
      <c r="T21" s="20">
        <f t="shared" si="5"/>
        <v>0</v>
      </c>
      <c r="U21" s="20">
        <f t="shared" si="5"/>
        <v>0</v>
      </c>
      <c r="V21" s="20">
        <f t="shared" si="5"/>
        <v>0</v>
      </c>
      <c r="W21" s="20">
        <f t="shared" si="5"/>
        <v>-300</v>
      </c>
      <c r="X21" s="20">
        <f t="shared" si="5"/>
        <v>0</v>
      </c>
      <c r="Y21" s="20">
        <f t="shared" si="5"/>
        <v>0</v>
      </c>
      <c r="Z21" s="20">
        <f t="shared" si="5"/>
        <v>0</v>
      </c>
      <c r="AA21" s="20">
        <f t="shared" si="5"/>
        <v>0</v>
      </c>
      <c r="AB21" s="20">
        <f t="shared" si="5"/>
        <v>0</v>
      </c>
      <c r="AC21" s="20">
        <f t="shared" si="5"/>
        <v>0</v>
      </c>
      <c r="AD21" s="20">
        <f t="shared" si="5"/>
        <v>0</v>
      </c>
      <c r="AE21" s="20">
        <f t="shared" si="4"/>
        <v>0</v>
      </c>
      <c r="AF21" s="20">
        <f t="shared" si="4"/>
        <v>0</v>
      </c>
    </row>
    <row r="22" spans="2:32" ht="16.899999999999999" customHeight="1">
      <c r="B22" s="191" t="s">
        <v>127</v>
      </c>
      <c r="C22" s="10" t="s">
        <v>12</v>
      </c>
      <c r="D22" s="191">
        <v>0</v>
      </c>
      <c r="E22" s="195">
        <v>2551.2800000000002</v>
      </c>
      <c r="F22" s="195">
        <v>0</v>
      </c>
      <c r="G22" s="195">
        <v>8159371.5199999996</v>
      </c>
      <c r="H22" s="5" t="s">
        <v>13</v>
      </c>
      <c r="I22" s="192">
        <f>IF(C22="Pago de Obligaciones a ARCA Tipo de Pago: ARCA VEP PENDIENTES",VLOOKUP(K22,#REF!,3,FALSE),IFERROR(IFERROR(VLOOKUP(C22,REFERENCIAS!C:H,4,FALSE),VLOOKUP(H22,REFERENCIAS!B:H,5,FALSE)&amp;(" (revisar)")),0))</f>
        <v>0</v>
      </c>
      <c r="J22" s="192" t="str">
        <f>IF(C22="Pago de Obligaciones a ARCA Tipo de Pago: ARCA VEP PENDIENTES",VLOOKUP(E22,#REF!,6,FALSE),IFERROR(IFERROR(VLOOKUP(C22,REFERENCIAS!C:H,2,FALSE),VLOOKUP(H22,REFERENCIAS!B:H,3,FALSE)&amp;(" (revisar)")),0))</f>
        <v>GASTOS</v>
      </c>
      <c r="K22" t="str">
        <f>IF(C22="Pago de Obligaciones a ARCA Tipo de Pago: ARCA VEP PENDIENTES",VLOOKUP(E22,#REF!,7,FALSE),IFERROR(IFERROR(VLOOKUP(C22,REFERENCIAS!C:H,3,FALSE),VLOOKUP(H22,REFERENCIAS!B:H,4,FALSE)&amp;(" (revisar)")),0))</f>
        <v>IMP. L.25413-DEB</v>
      </c>
      <c r="N22" s="20">
        <f t="shared" si="1"/>
        <v>1118506.8</v>
      </c>
      <c r="O22" s="20">
        <f t="shared" si="5"/>
        <v>0</v>
      </c>
      <c r="P22" s="20">
        <f t="shared" si="5"/>
        <v>0</v>
      </c>
      <c r="Q22" s="20">
        <f t="shared" si="5"/>
        <v>0</v>
      </c>
      <c r="R22" s="20">
        <f t="shared" si="5"/>
        <v>0</v>
      </c>
      <c r="S22" s="20">
        <f t="shared" si="5"/>
        <v>0</v>
      </c>
      <c r="T22" s="20">
        <f t="shared" si="5"/>
        <v>0</v>
      </c>
      <c r="U22" s="20">
        <f t="shared" si="5"/>
        <v>0</v>
      </c>
      <c r="V22" s="20">
        <f t="shared" si="5"/>
        <v>0</v>
      </c>
      <c r="W22" s="20">
        <f t="shared" si="5"/>
        <v>0</v>
      </c>
      <c r="X22" s="20">
        <f t="shared" si="5"/>
        <v>-2551.2800000000002</v>
      </c>
      <c r="Y22" s="20">
        <f t="shared" si="5"/>
        <v>0</v>
      </c>
      <c r="Z22" s="20">
        <f t="shared" si="5"/>
        <v>0</v>
      </c>
      <c r="AA22" s="20">
        <f t="shared" si="5"/>
        <v>0</v>
      </c>
      <c r="AB22" s="20">
        <f t="shared" si="5"/>
        <v>0</v>
      </c>
      <c r="AC22" s="20">
        <f t="shared" si="5"/>
        <v>0</v>
      </c>
      <c r="AD22" s="20">
        <f t="shared" si="5"/>
        <v>0</v>
      </c>
      <c r="AE22" s="20">
        <f t="shared" si="4"/>
        <v>0</v>
      </c>
      <c r="AF22" s="20">
        <f t="shared" si="4"/>
        <v>0</v>
      </c>
    </row>
    <row r="23" spans="2:32" ht="16.899999999999999" customHeight="1">
      <c r="B23" s="191" t="s">
        <v>128</v>
      </c>
      <c r="C23" s="10" t="s">
        <v>14</v>
      </c>
      <c r="D23" s="191">
        <v>0</v>
      </c>
      <c r="E23" s="195">
        <v>63</v>
      </c>
      <c r="F23" s="195">
        <v>0</v>
      </c>
      <c r="G23" s="195">
        <v>8587136.5</v>
      </c>
      <c r="H23" s="5" t="s">
        <v>15</v>
      </c>
      <c r="I23" s="192">
        <f>IF(C23="Pago de Obligaciones a ARCA Tipo de Pago: ARCA VEP PENDIENTES",VLOOKUP(K23,#REF!,3,FALSE),IFERROR(IFERROR(VLOOKUP(C23,REFERENCIAS!C:H,4,FALSE),VLOOKUP(H23,REFERENCIAS!B:H,5,FALSE)&amp;(" (revisar)")),0))</f>
        <v>0</v>
      </c>
      <c r="J23" s="192" t="str">
        <f>IF(C23="Pago de Obligaciones a ARCA Tipo de Pago: ARCA VEP PENDIENTES",VLOOKUP(E23,#REF!,6,FALSE),IFERROR(IFERROR(VLOOKUP(C23,REFERENCIAS!C:H,2,FALSE),VLOOKUP(H23,REFERENCIAS!B:H,3,FALSE)&amp;(" (revisar)")),0))</f>
        <v>GASTOS</v>
      </c>
      <c r="K23" t="str">
        <f>IF(C23="Pago de Obligaciones a ARCA Tipo de Pago: ARCA VEP PENDIENTES",VLOOKUP(E23,#REF!,7,FALSE),IFERROR(IFERROR(VLOOKUP(C23,REFERENCIAS!C:H,3,FALSE),VLOOKUP(H23,REFERENCIAS!B:H,4,FALSE)&amp;(" (revisar)")),0))</f>
        <v>IVA DEB.FISCAL 21%</v>
      </c>
      <c r="N23" s="20">
        <f t="shared" si="1"/>
        <v>1118443.8</v>
      </c>
      <c r="O23" s="20">
        <f t="shared" si="5"/>
        <v>0</v>
      </c>
      <c r="P23" s="20">
        <f t="shared" si="5"/>
        <v>0</v>
      </c>
      <c r="Q23" s="20">
        <f t="shared" si="5"/>
        <v>0</v>
      </c>
      <c r="R23" s="20">
        <f t="shared" si="5"/>
        <v>0</v>
      </c>
      <c r="S23" s="20">
        <f t="shared" si="5"/>
        <v>0</v>
      </c>
      <c r="T23" s="20">
        <f t="shared" si="5"/>
        <v>0</v>
      </c>
      <c r="U23" s="20">
        <f t="shared" si="5"/>
        <v>0</v>
      </c>
      <c r="V23" s="20">
        <f t="shared" si="5"/>
        <v>0</v>
      </c>
      <c r="W23" s="20">
        <f t="shared" si="5"/>
        <v>0</v>
      </c>
      <c r="X23" s="20">
        <f t="shared" si="5"/>
        <v>0</v>
      </c>
      <c r="Y23" s="20">
        <f t="shared" si="5"/>
        <v>0</v>
      </c>
      <c r="Z23" s="20">
        <f t="shared" si="5"/>
        <v>-63</v>
      </c>
      <c r="AA23" s="20">
        <f t="shared" si="5"/>
        <v>0</v>
      </c>
      <c r="AB23" s="20">
        <f t="shared" si="5"/>
        <v>0</v>
      </c>
      <c r="AC23" s="20">
        <f t="shared" si="5"/>
        <v>0</v>
      </c>
      <c r="AD23" s="20">
        <f t="shared" si="5"/>
        <v>0</v>
      </c>
      <c r="AE23" s="20">
        <f t="shared" si="4"/>
        <v>0</v>
      </c>
      <c r="AF23" s="20">
        <f t="shared" si="4"/>
        <v>0</v>
      </c>
    </row>
    <row r="24" spans="2:32" ht="16.899999999999999" customHeight="1">
      <c r="B24" s="191" t="s">
        <v>128</v>
      </c>
      <c r="C24" s="10" t="s">
        <v>12</v>
      </c>
      <c r="D24" s="191">
        <v>0</v>
      </c>
      <c r="E24" s="195">
        <v>9570.85</v>
      </c>
      <c r="F24" s="195">
        <v>0</v>
      </c>
      <c r="G24" s="195">
        <v>8587199.5</v>
      </c>
      <c r="H24" s="5" t="s">
        <v>13</v>
      </c>
      <c r="I24" s="192">
        <f>IF(C24="Pago de Obligaciones a ARCA Tipo de Pago: ARCA VEP PENDIENTES",VLOOKUP(K24,#REF!,3,FALSE),IFERROR(IFERROR(VLOOKUP(C24,REFERENCIAS!C:H,4,FALSE),VLOOKUP(H24,REFERENCIAS!B:H,5,FALSE)&amp;(" (revisar)")),0))</f>
        <v>0</v>
      </c>
      <c r="J24" s="192" t="str">
        <f>IF(C24="Pago de Obligaciones a ARCA Tipo de Pago: ARCA VEP PENDIENTES",VLOOKUP(E24,#REF!,6,FALSE),IFERROR(IFERROR(VLOOKUP(C24,REFERENCIAS!C:H,2,FALSE),VLOOKUP(H24,REFERENCIAS!B:H,3,FALSE)&amp;(" (revisar)")),0))</f>
        <v>GASTOS</v>
      </c>
      <c r="K24" t="str">
        <f>IF(C24="Pago de Obligaciones a ARCA Tipo de Pago: ARCA VEP PENDIENTES",VLOOKUP(E24,#REF!,7,FALSE),IFERROR(IFERROR(VLOOKUP(C24,REFERENCIAS!C:H,3,FALSE),VLOOKUP(H24,REFERENCIAS!B:H,4,FALSE)&amp;(" (revisar)")),0))</f>
        <v>IMP. L.25413-DEB</v>
      </c>
      <c r="N24" s="20">
        <f t="shared" si="1"/>
        <v>1108872.95</v>
      </c>
      <c r="O24" s="20">
        <f t="shared" si="5"/>
        <v>0</v>
      </c>
      <c r="P24" s="20">
        <f t="shared" si="5"/>
        <v>0</v>
      </c>
      <c r="Q24" s="20">
        <f t="shared" si="5"/>
        <v>0</v>
      </c>
      <c r="R24" s="20">
        <f t="shared" si="5"/>
        <v>0</v>
      </c>
      <c r="S24" s="20">
        <f t="shared" si="5"/>
        <v>0</v>
      </c>
      <c r="T24" s="20">
        <f t="shared" si="5"/>
        <v>0</v>
      </c>
      <c r="U24" s="20">
        <f t="shared" si="5"/>
        <v>0</v>
      </c>
      <c r="V24" s="20">
        <f t="shared" si="5"/>
        <v>0</v>
      </c>
      <c r="W24" s="20">
        <f t="shared" si="5"/>
        <v>0</v>
      </c>
      <c r="X24" s="20">
        <f t="shared" si="5"/>
        <v>-9570.85</v>
      </c>
      <c r="Y24" s="20">
        <f t="shared" si="5"/>
        <v>0</v>
      </c>
      <c r="Z24" s="20">
        <f t="shared" si="5"/>
        <v>0</v>
      </c>
      <c r="AA24" s="20">
        <f t="shared" si="5"/>
        <v>0</v>
      </c>
      <c r="AB24" s="20">
        <f t="shared" si="5"/>
        <v>0</v>
      </c>
      <c r="AC24" s="20">
        <f t="shared" si="5"/>
        <v>0</v>
      </c>
      <c r="AD24" s="20">
        <f t="shared" si="5"/>
        <v>0</v>
      </c>
      <c r="AE24" s="20">
        <f t="shared" si="4"/>
        <v>0</v>
      </c>
      <c r="AF24" s="20">
        <f t="shared" si="4"/>
        <v>0</v>
      </c>
    </row>
    <row r="25" spans="2:32" ht="16.899999999999999" customHeight="1">
      <c r="B25" s="191" t="s">
        <v>128</v>
      </c>
      <c r="C25" s="10" t="s">
        <v>10</v>
      </c>
      <c r="D25" s="191">
        <v>0</v>
      </c>
      <c r="E25" s="195">
        <v>62192.74</v>
      </c>
      <c r="F25" s="195">
        <v>0</v>
      </c>
      <c r="G25" s="195">
        <v>8596770.3499999996</v>
      </c>
      <c r="H25" s="5" t="s">
        <v>11</v>
      </c>
      <c r="I25" s="192">
        <f>IF(C25="Pago de Obligaciones a ARCA Tipo de Pago: ARCA VEP PENDIENTES",VLOOKUP(K25,#REF!,3,FALSE),IFERROR(IFERROR(VLOOKUP(C25,REFERENCIAS!C:H,4,FALSE),VLOOKUP(H25,REFERENCIAS!B:H,5,FALSE)&amp;(" (revisar)")),0))</f>
        <v>0</v>
      </c>
      <c r="J25" s="192" t="str">
        <f>IF(C25="Pago de Obligaciones a ARCA Tipo de Pago: ARCA VEP PENDIENTES",VLOOKUP(E25,#REF!,6,FALSE),IFERROR(IFERROR(VLOOKUP(C25,REFERENCIAS!C:H,2,FALSE),VLOOKUP(H25,REFERENCIAS!B:H,3,FALSE)&amp;(" (revisar)")),0))</f>
        <v>GASTOS</v>
      </c>
      <c r="K25" t="str">
        <f>IF(C25="Pago de Obligaciones a ARCA Tipo de Pago: ARCA VEP PENDIENTES",VLOOKUP(E25,#REF!,7,FALSE),IFERROR(IFERROR(VLOOKUP(C25,REFERENCIAS!C:H,3,FALSE),VLOOKUP(H25,REFERENCIAS!B:H,4,FALSE)&amp;(" (revisar)")),0))</f>
        <v>IMP.LEY 25413-S/CRED 6%</v>
      </c>
      <c r="N25" s="20">
        <f t="shared" si="1"/>
        <v>1046680.21</v>
      </c>
      <c r="O25" s="20">
        <f t="shared" si="5"/>
        <v>0</v>
      </c>
      <c r="P25" s="20">
        <f t="shared" si="5"/>
        <v>0</v>
      </c>
      <c r="Q25" s="20">
        <f t="shared" si="5"/>
        <v>0</v>
      </c>
      <c r="R25" s="20">
        <f t="shared" si="5"/>
        <v>0</v>
      </c>
      <c r="S25" s="20">
        <f t="shared" si="5"/>
        <v>0</v>
      </c>
      <c r="T25" s="20">
        <f t="shared" si="5"/>
        <v>0</v>
      </c>
      <c r="U25" s="20">
        <f t="shared" si="5"/>
        <v>0</v>
      </c>
      <c r="V25" s="20">
        <f t="shared" si="5"/>
        <v>0</v>
      </c>
      <c r="W25" s="20">
        <f t="shared" si="5"/>
        <v>0</v>
      </c>
      <c r="X25" s="20">
        <f t="shared" si="5"/>
        <v>0</v>
      </c>
      <c r="Y25" s="20">
        <f t="shared" si="5"/>
        <v>-62192.74</v>
      </c>
      <c r="Z25" s="20">
        <f t="shared" si="5"/>
        <v>0</v>
      </c>
      <c r="AA25" s="20">
        <f t="shared" si="5"/>
        <v>0</v>
      </c>
      <c r="AB25" s="20">
        <f t="shared" si="5"/>
        <v>0</v>
      </c>
      <c r="AC25" s="20">
        <f t="shared" si="5"/>
        <v>0</v>
      </c>
      <c r="AD25" s="20">
        <f t="shared" si="5"/>
        <v>0</v>
      </c>
      <c r="AE25" s="20">
        <f t="shared" si="4"/>
        <v>0</v>
      </c>
      <c r="AF25" s="20">
        <f t="shared" si="4"/>
        <v>0</v>
      </c>
    </row>
    <row r="26" spans="2:32" ht="16.899999999999999" customHeight="1">
      <c r="B26" s="191" t="s">
        <v>128</v>
      </c>
      <c r="C26" s="10" t="s">
        <v>22</v>
      </c>
      <c r="D26" s="191">
        <v>0</v>
      </c>
      <c r="E26" s="195">
        <v>0</v>
      </c>
      <c r="F26" s="195">
        <v>103457.16</v>
      </c>
      <c r="G26" s="195">
        <v>8658963.0899999999</v>
      </c>
      <c r="H26" s="5" t="s">
        <v>23</v>
      </c>
      <c r="I26" s="192">
        <f>IF(C26="Pago de Obligaciones a ARCA Tipo de Pago: ARCA VEP PENDIENTES",VLOOKUP(K26,#REF!,3,FALSE),IFERROR(IFERROR(VLOOKUP(C26,REFERENCIAS!C:H,4,FALSE),VLOOKUP(H26,REFERENCIAS!B:H,5,FALSE)&amp;(" (revisar)")),0))</f>
        <v>0</v>
      </c>
      <c r="J26" s="192" t="str">
        <f>IF(C26="Pago de Obligaciones a ARCA Tipo de Pago: ARCA VEP PENDIENTES",VLOOKUP(E26,#REF!,6,FALSE),IFERROR(IFERROR(VLOOKUP(C26,REFERENCIAS!C:H,2,FALSE),VLOOKUP(H26,REFERENCIAS!B:H,3,FALSE)&amp;(" (revisar)")),0))</f>
        <v>ACREDITACIONES</v>
      </c>
      <c r="K26" t="str">
        <f>IF(C26="Pago de Obligaciones a ARCA Tipo de Pago: ARCA VEP PENDIENTES",VLOOKUP(E26,#REF!,7,FALSE),IFERROR(IFERROR(VLOOKUP(C26,REFERENCIAS!C:H,3,FALSE),VLOOKUP(H26,REFERENCIAS!B:H,4,FALSE)&amp;(" (revisar)")),0))</f>
        <v>Depósito de Ch. (Val. A Dep)</v>
      </c>
      <c r="N26" s="20">
        <f t="shared" si="1"/>
        <v>1150137.3699999999</v>
      </c>
      <c r="O26" s="20">
        <f t="shared" si="5"/>
        <v>0</v>
      </c>
      <c r="P26" s="20">
        <f t="shared" si="5"/>
        <v>103457.16</v>
      </c>
      <c r="Q26" s="20">
        <f t="shared" si="5"/>
        <v>0</v>
      </c>
      <c r="R26" s="20">
        <f t="shared" si="5"/>
        <v>0</v>
      </c>
      <c r="S26" s="20">
        <f t="shared" si="5"/>
        <v>0</v>
      </c>
      <c r="T26" s="20">
        <f t="shared" si="5"/>
        <v>0</v>
      </c>
      <c r="U26" s="20">
        <f t="shared" si="5"/>
        <v>0</v>
      </c>
      <c r="V26" s="20">
        <f t="shared" si="5"/>
        <v>0</v>
      </c>
      <c r="W26" s="20">
        <f t="shared" si="5"/>
        <v>0</v>
      </c>
      <c r="X26" s="20">
        <f t="shared" si="5"/>
        <v>0</v>
      </c>
      <c r="Y26" s="20">
        <f t="shared" si="5"/>
        <v>0</v>
      </c>
      <c r="Z26" s="20">
        <f t="shared" si="5"/>
        <v>0</v>
      </c>
      <c r="AA26" s="20">
        <f t="shared" si="5"/>
        <v>0</v>
      </c>
      <c r="AB26" s="20">
        <f t="shared" si="5"/>
        <v>0</v>
      </c>
      <c r="AC26" s="20">
        <f t="shared" si="5"/>
        <v>0</v>
      </c>
      <c r="AD26" s="20">
        <f t="shared" ref="AD26:AF31" si="6">IF($K26=AD$1,(-$E26+$F26),0)</f>
        <v>0</v>
      </c>
      <c r="AE26" s="20">
        <f t="shared" si="6"/>
        <v>0</v>
      </c>
      <c r="AF26" s="20">
        <f t="shared" si="6"/>
        <v>0</v>
      </c>
    </row>
    <row r="27" spans="2:32" ht="16.899999999999999" customHeight="1">
      <c r="B27" s="191" t="s">
        <v>128</v>
      </c>
      <c r="C27" s="10" t="s">
        <v>19</v>
      </c>
      <c r="D27" s="191">
        <v>650705</v>
      </c>
      <c r="E27" s="195">
        <v>194779.01</v>
      </c>
      <c r="F27" s="195">
        <v>0</v>
      </c>
      <c r="G27" s="195">
        <v>-1706494.07</v>
      </c>
      <c r="H27" s="5">
        <v>382</v>
      </c>
      <c r="I27" s="192">
        <f>IF(C27="Pago de Obligaciones a ARCA Tipo de Pago: ARCA VEP PENDIENTES",VLOOKUP(K27,#REF!,3,FALSE),IFERROR(IFERROR(VLOOKUP(C27,REFERENCIAS!C:H,4,FALSE),VLOOKUP(H27,REFERENCIAS!B:H,5,FALSE)&amp;(" (revisar)")),0))</f>
        <v>0</v>
      </c>
      <c r="J27" s="192" t="str">
        <f>IF(C27="Pago de Obligaciones a ARCA Tipo de Pago: ARCA VEP PENDIENTES",VLOOKUP(E27,#REF!,6,FALSE),IFERROR(IFERROR(VLOOKUP(C27,REFERENCIAS!C:H,2,FALSE),VLOOKUP(H27,REFERENCIAS!B:H,3,FALSE)&amp;(" (revisar)")),0))</f>
        <v>PAGOS</v>
      </c>
      <c r="K27" t="str">
        <f>IF(C27="Pago de Obligaciones a ARCA Tipo de Pago: ARCA VEP PENDIENTES",VLOOKUP(E27,#REF!,7,FALSE),IFERROR(IFERROR(VLOOKUP(C27,REFERENCIAS!C:H,3,FALSE),VLOOKUP(H27,REFERENCIAS!B:H,4,FALSE)&amp;(" (revisar)")),0))</f>
        <v>Proveedores</v>
      </c>
      <c r="N27" s="20">
        <f t="shared" si="1"/>
        <v>955358.35999999987</v>
      </c>
      <c r="O27" s="20">
        <f t="shared" ref="O27:AD32" si="7">IF($K27=O$1,(-$E27+$F27),0)</f>
        <v>0</v>
      </c>
      <c r="P27" s="20">
        <f t="shared" si="7"/>
        <v>0</v>
      </c>
      <c r="Q27" s="20">
        <f t="shared" si="7"/>
        <v>0</v>
      </c>
      <c r="R27" s="20">
        <f t="shared" si="7"/>
        <v>0</v>
      </c>
      <c r="S27" s="20">
        <f t="shared" si="7"/>
        <v>0</v>
      </c>
      <c r="T27" s="20">
        <f t="shared" si="7"/>
        <v>0</v>
      </c>
      <c r="U27" s="20">
        <f t="shared" si="7"/>
        <v>-194779.01</v>
      </c>
      <c r="V27" s="20">
        <f t="shared" si="7"/>
        <v>0</v>
      </c>
      <c r="W27" s="20">
        <f t="shared" si="7"/>
        <v>0</v>
      </c>
      <c r="X27" s="20">
        <f t="shared" si="7"/>
        <v>0</v>
      </c>
      <c r="Y27" s="20">
        <f t="shared" si="7"/>
        <v>0</v>
      </c>
      <c r="Z27" s="20">
        <f t="shared" si="7"/>
        <v>0</v>
      </c>
      <c r="AA27" s="20">
        <f t="shared" si="7"/>
        <v>0</v>
      </c>
      <c r="AB27" s="20">
        <f t="shared" si="7"/>
        <v>0</v>
      </c>
      <c r="AC27" s="20">
        <f t="shared" si="7"/>
        <v>0</v>
      </c>
      <c r="AD27" s="20">
        <f t="shared" si="7"/>
        <v>0</v>
      </c>
      <c r="AE27" s="20">
        <f t="shared" si="6"/>
        <v>0</v>
      </c>
      <c r="AF27" s="20">
        <f t="shared" si="6"/>
        <v>0</v>
      </c>
    </row>
    <row r="28" spans="2:32" ht="16.899999999999999" customHeight="1">
      <c r="B28" s="191" t="s">
        <v>128</v>
      </c>
      <c r="C28" s="18" t="s">
        <v>142</v>
      </c>
      <c r="D28" s="191">
        <v>335536</v>
      </c>
      <c r="E28" s="195">
        <v>300</v>
      </c>
      <c r="F28" s="195">
        <v>0</v>
      </c>
      <c r="G28" s="195">
        <v>-111715.06</v>
      </c>
      <c r="H28" s="5">
        <v>211</v>
      </c>
      <c r="I28" s="192">
        <f>IF(C28="Pago de Obligaciones a ARCA Tipo de Pago: ARCA VEP PENDIENTES",VLOOKUP(K28,#REF!,3,FALSE),IFERROR(IFERROR(VLOOKUP(C28,REFERENCIAS!C:H,4,FALSE),VLOOKUP(H28,REFERENCIAS!B:H,5,FALSE)&amp;(" (revisar)")),0))</f>
        <v>0</v>
      </c>
      <c r="J28" s="192" t="str">
        <f>IF(C28="Pago de Obligaciones a ARCA Tipo de Pago: ARCA VEP PENDIENTES",VLOOKUP(E28,#REF!,6,FALSE),IFERROR(IFERROR(VLOOKUP(C28,REFERENCIAS!C:H,2,FALSE),VLOOKUP(H28,REFERENCIAS!B:H,3,FALSE)&amp;(" (revisar)")),0))</f>
        <v>GASTOS</v>
      </c>
      <c r="K28" t="str">
        <f>IF(C28="Pago de Obligaciones a ARCA Tipo de Pago: ARCA VEP PENDIENTES",VLOOKUP(E28,#REF!,7,FALSE),IFERROR(IFERROR(VLOOKUP(C28,REFERENCIAS!C:H,3,FALSE),VLOOKUP(H28,REFERENCIAS!B:H,4,FALSE)&amp;(" (revisar)")),0))</f>
        <v xml:space="preserve">Comisiones y Gastos Bancarios </v>
      </c>
      <c r="N28" s="20">
        <f t="shared" si="1"/>
        <v>955058.35999999987</v>
      </c>
      <c r="O28" s="20">
        <f t="shared" si="7"/>
        <v>0</v>
      </c>
      <c r="P28" s="20">
        <f t="shared" si="7"/>
        <v>0</v>
      </c>
      <c r="Q28" s="20">
        <f t="shared" si="7"/>
        <v>0</v>
      </c>
      <c r="R28" s="20">
        <f t="shared" si="7"/>
        <v>0</v>
      </c>
      <c r="S28" s="20">
        <f t="shared" si="7"/>
        <v>0</v>
      </c>
      <c r="T28" s="20">
        <f t="shared" si="7"/>
        <v>0</v>
      </c>
      <c r="U28" s="20">
        <f t="shared" si="7"/>
        <v>0</v>
      </c>
      <c r="V28" s="20">
        <f t="shared" si="7"/>
        <v>0</v>
      </c>
      <c r="W28" s="20">
        <f t="shared" si="7"/>
        <v>-300</v>
      </c>
      <c r="X28" s="20">
        <f t="shared" si="7"/>
        <v>0</v>
      </c>
      <c r="Y28" s="20">
        <f t="shared" si="7"/>
        <v>0</v>
      </c>
      <c r="Z28" s="20">
        <f t="shared" si="7"/>
        <v>0</v>
      </c>
      <c r="AA28" s="20">
        <f t="shared" si="7"/>
        <v>0</v>
      </c>
      <c r="AB28" s="20">
        <f t="shared" si="7"/>
        <v>0</v>
      </c>
      <c r="AC28" s="20">
        <f t="shared" si="7"/>
        <v>0</v>
      </c>
      <c r="AD28" s="20">
        <f t="shared" si="7"/>
        <v>0</v>
      </c>
      <c r="AE28" s="20">
        <f t="shared" si="6"/>
        <v>0</v>
      </c>
      <c r="AF28" s="20">
        <f t="shared" si="6"/>
        <v>0</v>
      </c>
    </row>
    <row r="29" spans="2:32" ht="16.899999999999999" customHeight="1">
      <c r="B29" s="191" t="s">
        <v>129</v>
      </c>
      <c r="C29" s="10" t="s">
        <v>12</v>
      </c>
      <c r="D29" s="191">
        <v>0</v>
      </c>
      <c r="E29" s="195">
        <v>46084.92</v>
      </c>
      <c r="F29" s="195">
        <v>0</v>
      </c>
      <c r="G29" s="195">
        <v>-111415.06</v>
      </c>
      <c r="H29" s="5" t="s">
        <v>13</v>
      </c>
      <c r="I29" s="192">
        <f>IF(C29="Pago de Obligaciones a ARCA Tipo de Pago: ARCA VEP PENDIENTES",VLOOKUP(K29,#REF!,3,FALSE),IFERROR(IFERROR(VLOOKUP(C29,REFERENCIAS!C:H,4,FALSE),VLOOKUP(H29,REFERENCIAS!B:H,5,FALSE)&amp;(" (revisar)")),0))</f>
        <v>0</v>
      </c>
      <c r="J29" s="192" t="str">
        <f>IF(C29="Pago de Obligaciones a ARCA Tipo de Pago: ARCA VEP PENDIENTES",VLOOKUP(E29,#REF!,6,FALSE),IFERROR(IFERROR(VLOOKUP(C29,REFERENCIAS!C:H,2,FALSE),VLOOKUP(H29,REFERENCIAS!B:H,3,FALSE)&amp;(" (revisar)")),0))</f>
        <v>GASTOS</v>
      </c>
      <c r="K29" t="str">
        <f>IF(C29="Pago de Obligaciones a ARCA Tipo de Pago: ARCA VEP PENDIENTES",VLOOKUP(E29,#REF!,7,FALSE),IFERROR(IFERROR(VLOOKUP(C29,REFERENCIAS!C:H,3,FALSE),VLOOKUP(H29,REFERENCIAS!B:H,4,FALSE)&amp;(" (revisar)")),0))</f>
        <v>IMP. L.25413-DEB</v>
      </c>
      <c r="N29" s="20">
        <f t="shared" si="1"/>
        <v>908973.43999999983</v>
      </c>
      <c r="O29" s="20">
        <f t="shared" si="7"/>
        <v>0</v>
      </c>
      <c r="P29" s="20">
        <f t="shared" si="7"/>
        <v>0</v>
      </c>
      <c r="Q29" s="20">
        <f t="shared" si="7"/>
        <v>0</v>
      </c>
      <c r="R29" s="20">
        <f t="shared" si="7"/>
        <v>0</v>
      </c>
      <c r="S29" s="20">
        <f t="shared" si="7"/>
        <v>0</v>
      </c>
      <c r="T29" s="20">
        <f t="shared" si="7"/>
        <v>0</v>
      </c>
      <c r="U29" s="20">
        <f t="shared" si="7"/>
        <v>0</v>
      </c>
      <c r="V29" s="20">
        <f t="shared" si="7"/>
        <v>0</v>
      </c>
      <c r="W29" s="20">
        <f t="shared" si="7"/>
        <v>0</v>
      </c>
      <c r="X29" s="20">
        <f t="shared" si="7"/>
        <v>-46084.92</v>
      </c>
      <c r="Y29" s="20">
        <f t="shared" si="7"/>
        <v>0</v>
      </c>
      <c r="Z29" s="20">
        <f t="shared" si="7"/>
        <v>0</v>
      </c>
      <c r="AA29" s="20">
        <f t="shared" si="7"/>
        <v>0</v>
      </c>
      <c r="AB29" s="20">
        <f t="shared" si="7"/>
        <v>0</v>
      </c>
      <c r="AC29" s="20">
        <f t="shared" si="7"/>
        <v>0</v>
      </c>
      <c r="AD29" s="20">
        <f t="shared" si="7"/>
        <v>0</v>
      </c>
      <c r="AE29" s="20">
        <f t="shared" si="6"/>
        <v>0</v>
      </c>
      <c r="AF29" s="20">
        <f t="shared" si="6"/>
        <v>0</v>
      </c>
    </row>
    <row r="30" spans="2:32" ht="16.899999999999999" customHeight="1">
      <c r="B30" s="191" t="s">
        <v>129</v>
      </c>
      <c r="C30" s="10" t="s">
        <v>10</v>
      </c>
      <c r="D30" s="191">
        <v>0</v>
      </c>
      <c r="E30" s="195">
        <v>23603.31</v>
      </c>
      <c r="F30" s="195">
        <v>0</v>
      </c>
      <c r="G30" s="195">
        <v>-65330.14</v>
      </c>
      <c r="H30" s="5" t="s">
        <v>11</v>
      </c>
      <c r="I30" s="192">
        <f>IF(C30="Pago de Obligaciones a ARCA Tipo de Pago: ARCA VEP PENDIENTES",VLOOKUP(K30,#REF!,3,FALSE),IFERROR(IFERROR(VLOOKUP(C30,REFERENCIAS!C:H,4,FALSE),VLOOKUP(H30,REFERENCIAS!B:H,5,FALSE)&amp;(" (revisar)")),0))</f>
        <v>0</v>
      </c>
      <c r="J30" s="192" t="str">
        <f>IF(C30="Pago de Obligaciones a ARCA Tipo de Pago: ARCA VEP PENDIENTES",VLOOKUP(E30,#REF!,6,FALSE),IFERROR(IFERROR(VLOOKUP(C30,REFERENCIAS!C:H,2,FALSE),VLOOKUP(H30,REFERENCIAS!B:H,3,FALSE)&amp;(" (revisar)")),0))</f>
        <v>GASTOS</v>
      </c>
      <c r="K30" t="str">
        <f>IF(C30="Pago de Obligaciones a ARCA Tipo de Pago: ARCA VEP PENDIENTES",VLOOKUP(E30,#REF!,7,FALSE),IFERROR(IFERROR(VLOOKUP(C30,REFERENCIAS!C:H,3,FALSE),VLOOKUP(H30,REFERENCIAS!B:H,4,FALSE)&amp;(" (revisar)")),0))</f>
        <v>IMP.LEY 25413-S/CRED 6%</v>
      </c>
      <c r="N30" s="20">
        <f t="shared" si="1"/>
        <v>885370.12999999977</v>
      </c>
      <c r="O30" s="20">
        <f t="shared" si="7"/>
        <v>0</v>
      </c>
      <c r="P30" s="20">
        <f t="shared" si="7"/>
        <v>0</v>
      </c>
      <c r="Q30" s="20">
        <f t="shared" si="7"/>
        <v>0</v>
      </c>
      <c r="R30" s="20">
        <f t="shared" si="7"/>
        <v>0</v>
      </c>
      <c r="S30" s="20">
        <f t="shared" si="7"/>
        <v>0</v>
      </c>
      <c r="T30" s="20">
        <f t="shared" si="7"/>
        <v>0</v>
      </c>
      <c r="U30" s="20">
        <f t="shared" si="7"/>
        <v>0</v>
      </c>
      <c r="V30" s="20">
        <f t="shared" si="7"/>
        <v>0</v>
      </c>
      <c r="W30" s="20">
        <f t="shared" si="7"/>
        <v>0</v>
      </c>
      <c r="X30" s="20">
        <f t="shared" si="7"/>
        <v>0</v>
      </c>
      <c r="Y30" s="20">
        <f t="shared" si="7"/>
        <v>-23603.31</v>
      </c>
      <c r="Z30" s="20">
        <f t="shared" si="7"/>
        <v>0</v>
      </c>
      <c r="AA30" s="20">
        <f t="shared" si="7"/>
        <v>0</v>
      </c>
      <c r="AB30" s="20">
        <f t="shared" si="7"/>
        <v>0</v>
      </c>
      <c r="AC30" s="20">
        <f t="shared" si="7"/>
        <v>0</v>
      </c>
      <c r="AD30" s="20">
        <f t="shared" si="7"/>
        <v>0</v>
      </c>
      <c r="AE30" s="20">
        <f t="shared" si="6"/>
        <v>0</v>
      </c>
      <c r="AF30" s="20">
        <f t="shared" si="6"/>
        <v>0</v>
      </c>
    </row>
    <row r="31" spans="2:32" ht="16.899999999999999" customHeight="1">
      <c r="B31" s="191" t="s">
        <v>129</v>
      </c>
      <c r="C31" s="10" t="s">
        <v>44</v>
      </c>
      <c r="D31" s="191">
        <v>228918</v>
      </c>
      <c r="E31" s="195">
        <v>1081706.69</v>
      </c>
      <c r="F31" s="195">
        <v>0</v>
      </c>
      <c r="G31" s="195">
        <v>6477386.9699999997</v>
      </c>
      <c r="H31" s="5">
        <v>382</v>
      </c>
      <c r="I31" s="192">
        <f>IF(C31="Pago de Obligaciones a ARCA Tipo de Pago: ARCA VEP PENDIENTES",VLOOKUP(K31,#REF!,3,FALSE),IFERROR(IFERROR(VLOOKUP(C31,REFERENCIAS!C:H,4,FALSE),VLOOKUP(H31,REFERENCIAS!B:H,5,FALSE)&amp;(" (revisar)")),0))</f>
        <v>0</v>
      </c>
      <c r="J31" s="192" t="str">
        <f>IF(C31="Pago de Obligaciones a ARCA Tipo de Pago: ARCA VEP PENDIENTES",VLOOKUP(E31,#REF!,6,FALSE),IFERROR(IFERROR(VLOOKUP(C31,REFERENCIAS!C:H,2,FALSE),VLOOKUP(H31,REFERENCIAS!B:H,3,FALSE)&amp;(" (revisar)")),0))</f>
        <v>PAGOS</v>
      </c>
      <c r="K31" t="str">
        <f>IF(C31="Pago de Obligaciones a ARCA Tipo de Pago: ARCA VEP PENDIENTES",VLOOKUP(E31,#REF!,7,FALSE),IFERROR(IFERROR(VLOOKUP(C31,REFERENCIAS!C:H,3,FALSE),VLOOKUP(H31,REFERENCIAS!B:H,4,FALSE)&amp;(" (revisar)")),0))</f>
        <v>Pagos del mes</v>
      </c>
      <c r="N31" s="20">
        <f t="shared" si="1"/>
        <v>-196336.56000000017</v>
      </c>
      <c r="O31" s="20">
        <f t="shared" si="7"/>
        <v>0</v>
      </c>
      <c r="P31" s="20">
        <f t="shared" si="7"/>
        <v>0</v>
      </c>
      <c r="Q31" s="20">
        <f t="shared" si="7"/>
        <v>0</v>
      </c>
      <c r="R31" s="20">
        <f t="shared" si="7"/>
        <v>0</v>
      </c>
      <c r="S31" s="20">
        <f t="shared" si="7"/>
        <v>-1081706.69</v>
      </c>
      <c r="T31" s="20">
        <f t="shared" si="7"/>
        <v>0</v>
      </c>
      <c r="U31" s="20">
        <f t="shared" si="7"/>
        <v>0</v>
      </c>
      <c r="V31" s="20">
        <f t="shared" si="7"/>
        <v>0</v>
      </c>
      <c r="W31" s="20">
        <f t="shared" si="7"/>
        <v>0</v>
      </c>
      <c r="X31" s="20">
        <f t="shared" si="7"/>
        <v>0</v>
      </c>
      <c r="Y31" s="20">
        <f t="shared" si="7"/>
        <v>0</v>
      </c>
      <c r="Z31" s="20">
        <f t="shared" si="7"/>
        <v>0</v>
      </c>
      <c r="AA31" s="20">
        <f t="shared" si="7"/>
        <v>0</v>
      </c>
      <c r="AB31" s="20">
        <f t="shared" si="7"/>
        <v>0</v>
      </c>
      <c r="AC31" s="20">
        <f t="shared" si="7"/>
        <v>0</v>
      </c>
      <c r="AD31" s="20">
        <f t="shared" si="7"/>
        <v>0</v>
      </c>
      <c r="AE31" s="20">
        <f t="shared" si="6"/>
        <v>0</v>
      </c>
      <c r="AF31" s="20">
        <f t="shared" si="6"/>
        <v>0</v>
      </c>
    </row>
    <row r="32" spans="2:32" ht="16.899999999999999" customHeight="1">
      <c r="B32" s="191" t="s">
        <v>129</v>
      </c>
      <c r="C32" s="73" t="s">
        <v>149</v>
      </c>
      <c r="D32" s="191">
        <v>440418</v>
      </c>
      <c r="E32" s="195">
        <v>0</v>
      </c>
      <c r="F32" s="195">
        <v>39384.29</v>
      </c>
      <c r="G32" s="195">
        <v>7639093.6600000001</v>
      </c>
      <c r="H32" s="5">
        <v>1872</v>
      </c>
      <c r="I32" s="192">
        <f>IF(C32="Pago de Obligaciones a ARCA Tipo de Pago: ARCA VEP PENDIENTES",VLOOKUP(K32,#REF!,3,FALSE),IFERROR(IFERROR(VLOOKUP(C32,REFERENCIAS!C:H,4,FALSE),VLOOKUP(H32,REFERENCIAS!B:H,5,FALSE)&amp;(" (revisar)")),0))</f>
        <v>0</v>
      </c>
      <c r="J32" s="192" t="str">
        <f>IF(C32="Pago de Obligaciones a ARCA Tipo de Pago: ARCA VEP PENDIENTES",VLOOKUP(E32,#REF!,6,FALSE),IFERROR(IFERROR(VLOOKUP(C32,REFERENCIAS!C:H,2,FALSE),VLOOKUP(H32,REFERENCIAS!B:H,3,FALSE)&amp;(" (revisar)")),0))</f>
        <v>ACREDITACIONES</v>
      </c>
      <c r="K32" t="str">
        <f>IF(C32="Pago de Obligaciones a ARCA Tipo de Pago: ARCA VEP PENDIENTES",VLOOKUP(E32,#REF!,7,FALSE),IFERROR(IFERROR(VLOOKUP(C32,REFERENCIAS!C:H,3,FALSE),VLOOKUP(H32,REFERENCIAS!B:H,4,FALSE)&amp;(" (revisar)")),0))</f>
        <v>Cobranzas (Ds. X Vtas)</v>
      </c>
      <c r="N32" s="20">
        <f t="shared" si="1"/>
        <v>-156952.27000000016</v>
      </c>
      <c r="O32" s="20">
        <f t="shared" si="7"/>
        <v>0</v>
      </c>
      <c r="P32" s="20">
        <f t="shared" si="7"/>
        <v>0</v>
      </c>
      <c r="Q32" s="20">
        <f t="shared" si="7"/>
        <v>0</v>
      </c>
      <c r="R32" s="20">
        <f t="shared" si="7"/>
        <v>39384.29</v>
      </c>
      <c r="S32" s="20">
        <f t="shared" si="7"/>
        <v>0</v>
      </c>
      <c r="T32" s="20">
        <f t="shared" si="7"/>
        <v>0</v>
      </c>
      <c r="U32" s="20">
        <f t="shared" si="7"/>
        <v>0</v>
      </c>
      <c r="V32" s="20">
        <f t="shared" si="7"/>
        <v>0</v>
      </c>
      <c r="W32" s="20">
        <f t="shared" si="7"/>
        <v>0</v>
      </c>
      <c r="X32" s="20">
        <f t="shared" si="7"/>
        <v>0</v>
      </c>
      <c r="Y32" s="20">
        <f t="shared" si="7"/>
        <v>0</v>
      </c>
      <c r="Z32" s="20">
        <f t="shared" si="7"/>
        <v>0</v>
      </c>
      <c r="AA32" s="20">
        <f t="shared" si="7"/>
        <v>0</v>
      </c>
      <c r="AB32" s="20">
        <f t="shared" si="7"/>
        <v>0</v>
      </c>
      <c r="AC32" s="20">
        <f t="shared" si="7"/>
        <v>0</v>
      </c>
      <c r="AD32" s="20">
        <f t="shared" ref="AD32:AF42" si="8">IF($K32=AD$1,(-$E32+$F32),0)</f>
        <v>0</v>
      </c>
      <c r="AE32" s="20">
        <f t="shared" si="8"/>
        <v>0</v>
      </c>
      <c r="AF32" s="20">
        <f t="shared" si="8"/>
        <v>0</v>
      </c>
    </row>
    <row r="33" spans="2:32" ht="16.899999999999999" customHeight="1">
      <c r="B33" s="191" t="s">
        <v>130</v>
      </c>
      <c r="C33" s="10" t="s">
        <v>12</v>
      </c>
      <c r="D33" s="191">
        <v>0</v>
      </c>
      <c r="E33" s="195">
        <v>616.44000000000005</v>
      </c>
      <c r="F33" s="195">
        <v>0</v>
      </c>
      <c r="G33" s="195">
        <v>3705209.37</v>
      </c>
      <c r="H33" s="5" t="s">
        <v>13</v>
      </c>
      <c r="I33" s="192">
        <f>IF(C33="Pago de Obligaciones a ARCA Tipo de Pago: ARCA VEP PENDIENTES",VLOOKUP(K33,#REF!,3,FALSE),IFERROR(IFERROR(VLOOKUP(C33,REFERENCIAS!C:H,4,FALSE),VLOOKUP(H33,REFERENCIAS!B:H,5,FALSE)&amp;(" (revisar)")),0))</f>
        <v>0</v>
      </c>
      <c r="J33" s="192" t="str">
        <f>IF(C33="Pago de Obligaciones a ARCA Tipo de Pago: ARCA VEP PENDIENTES",VLOOKUP(E33,#REF!,6,FALSE),IFERROR(IFERROR(VLOOKUP(C33,REFERENCIAS!C:H,2,FALSE),VLOOKUP(H33,REFERENCIAS!B:H,3,FALSE)&amp;(" (revisar)")),0))</f>
        <v>GASTOS</v>
      </c>
      <c r="K33" t="str">
        <f>IF(C33="Pago de Obligaciones a ARCA Tipo de Pago: ARCA VEP PENDIENTES",VLOOKUP(E33,#REF!,7,FALSE),IFERROR(IFERROR(VLOOKUP(C33,REFERENCIAS!C:H,3,FALSE),VLOOKUP(H33,REFERENCIAS!B:H,4,FALSE)&amp;(" (revisar)")),0))</f>
        <v>IMP. L.25413-DEB</v>
      </c>
      <c r="N33" s="20">
        <f t="shared" si="1"/>
        <v>-157568.71000000017</v>
      </c>
      <c r="O33" s="20">
        <f t="shared" ref="O33:AD43" si="9">IF($K33=O$1,(-$E33+$F33),0)</f>
        <v>0</v>
      </c>
      <c r="P33" s="20">
        <f t="shared" si="9"/>
        <v>0</v>
      </c>
      <c r="Q33" s="20">
        <f t="shared" si="9"/>
        <v>0</v>
      </c>
      <c r="R33" s="20">
        <f t="shared" si="9"/>
        <v>0</v>
      </c>
      <c r="S33" s="20">
        <f t="shared" si="9"/>
        <v>0</v>
      </c>
      <c r="T33" s="20">
        <f t="shared" si="9"/>
        <v>0</v>
      </c>
      <c r="U33" s="20">
        <f t="shared" si="9"/>
        <v>0</v>
      </c>
      <c r="V33" s="20">
        <f t="shared" si="9"/>
        <v>0</v>
      </c>
      <c r="W33" s="20">
        <f t="shared" si="9"/>
        <v>0</v>
      </c>
      <c r="X33" s="20">
        <f t="shared" si="9"/>
        <v>-616.44000000000005</v>
      </c>
      <c r="Y33" s="20">
        <f t="shared" si="9"/>
        <v>0</v>
      </c>
      <c r="Z33" s="20">
        <f t="shared" si="9"/>
        <v>0</v>
      </c>
      <c r="AA33" s="20">
        <f t="shared" si="9"/>
        <v>0</v>
      </c>
      <c r="AB33" s="20">
        <f t="shared" si="9"/>
        <v>0</v>
      </c>
      <c r="AC33" s="20">
        <f t="shared" si="9"/>
        <v>0</v>
      </c>
      <c r="AD33" s="20">
        <f t="shared" si="9"/>
        <v>0</v>
      </c>
      <c r="AE33" s="20">
        <f t="shared" si="8"/>
        <v>0</v>
      </c>
      <c r="AF33" s="20">
        <f t="shared" si="8"/>
        <v>0</v>
      </c>
    </row>
    <row r="34" spans="2:32" ht="16.899999999999999" customHeight="1">
      <c r="B34" s="191" t="s">
        <v>130</v>
      </c>
      <c r="C34" s="10" t="s">
        <v>18</v>
      </c>
      <c r="D34" s="191">
        <v>171489</v>
      </c>
      <c r="E34" s="195">
        <v>102739.67</v>
      </c>
      <c r="F34" s="195">
        <v>0</v>
      </c>
      <c r="G34" s="195">
        <v>3705825.81</v>
      </c>
      <c r="H34" s="5">
        <v>382</v>
      </c>
      <c r="I34" s="192">
        <f>IF(C34="Pago de Obligaciones a ARCA Tipo de Pago: ARCA VEP PENDIENTES",VLOOKUP(K34,#REF!,3,FALSE),IFERROR(IFERROR(VLOOKUP(C34,REFERENCIAS!C:H,4,FALSE),VLOOKUP(H34,REFERENCIAS!B:H,5,FALSE)&amp;(" (revisar)")),0))</f>
        <v>0</v>
      </c>
      <c r="J34" s="192" t="str">
        <f>IF(C34="Pago de Obligaciones a ARCA Tipo de Pago: ARCA VEP PENDIENTES",VLOOKUP(E34,#REF!,6,FALSE),IFERROR(IFERROR(VLOOKUP(C34,REFERENCIAS!C:H,2,FALSE),VLOOKUP(H34,REFERENCIAS!B:H,3,FALSE)&amp;(" (revisar)")),0))</f>
        <v>PAGOS</v>
      </c>
      <c r="K34" t="str">
        <f>IF(C34="Pago de Obligaciones a ARCA Tipo de Pago: ARCA VEP PENDIENTES",VLOOKUP(E34,#REF!,7,FALSE),IFERROR(IFERROR(VLOOKUP(C34,REFERENCIAS!C:H,3,FALSE),VLOOKUP(H34,REFERENCIAS!B:H,4,FALSE)&amp;(" (revisar)")),0))</f>
        <v>Proveedores</v>
      </c>
      <c r="N34" s="20">
        <f t="shared" si="1"/>
        <v>-260308.38000000018</v>
      </c>
      <c r="O34" s="20">
        <f t="shared" si="9"/>
        <v>0</v>
      </c>
      <c r="P34" s="20">
        <f t="shared" si="9"/>
        <v>0</v>
      </c>
      <c r="Q34" s="20">
        <f t="shared" si="9"/>
        <v>0</v>
      </c>
      <c r="R34" s="20">
        <f t="shared" si="9"/>
        <v>0</v>
      </c>
      <c r="S34" s="20">
        <f t="shared" si="9"/>
        <v>0</v>
      </c>
      <c r="T34" s="20">
        <f t="shared" si="9"/>
        <v>0</v>
      </c>
      <c r="U34" s="20">
        <f t="shared" si="9"/>
        <v>-102739.67</v>
      </c>
      <c r="V34" s="20">
        <f t="shared" si="9"/>
        <v>0</v>
      </c>
      <c r="W34" s="20">
        <f t="shared" si="9"/>
        <v>0</v>
      </c>
      <c r="X34" s="20">
        <f t="shared" si="9"/>
        <v>0</v>
      </c>
      <c r="Y34" s="20">
        <f t="shared" si="9"/>
        <v>0</v>
      </c>
      <c r="Z34" s="20">
        <f t="shared" si="9"/>
        <v>0</v>
      </c>
      <c r="AA34" s="20">
        <f t="shared" si="9"/>
        <v>0</v>
      </c>
      <c r="AB34" s="20">
        <f t="shared" si="9"/>
        <v>0</v>
      </c>
      <c r="AC34" s="20">
        <f t="shared" si="9"/>
        <v>0</v>
      </c>
      <c r="AD34" s="20">
        <f t="shared" si="9"/>
        <v>0</v>
      </c>
      <c r="AE34" s="20">
        <f t="shared" si="8"/>
        <v>0</v>
      </c>
      <c r="AF34" s="20">
        <f t="shared" si="8"/>
        <v>0</v>
      </c>
    </row>
    <row r="35" spans="2:32" ht="16.899999999999999" customHeight="1">
      <c r="B35" s="191" t="s">
        <v>131</v>
      </c>
      <c r="C35" s="10" t="s">
        <v>14</v>
      </c>
      <c r="D35" s="191">
        <v>0</v>
      </c>
      <c r="E35" s="195">
        <v>63</v>
      </c>
      <c r="F35" s="195">
        <v>0</v>
      </c>
      <c r="G35" s="195">
        <v>3808565.48</v>
      </c>
      <c r="H35" s="5" t="s">
        <v>15</v>
      </c>
      <c r="I35" s="192">
        <f>IF(C35="Pago de Obligaciones a ARCA Tipo de Pago: ARCA VEP PENDIENTES",VLOOKUP(K35,#REF!,3,FALSE),IFERROR(IFERROR(VLOOKUP(C35,REFERENCIAS!C:H,4,FALSE),VLOOKUP(H35,REFERENCIAS!B:H,5,FALSE)&amp;(" (revisar)")),0))</f>
        <v>0</v>
      </c>
      <c r="J35" s="192" t="str">
        <f>IF(C35="Pago de Obligaciones a ARCA Tipo de Pago: ARCA VEP PENDIENTES",VLOOKUP(E35,#REF!,6,FALSE),IFERROR(IFERROR(VLOOKUP(C35,REFERENCIAS!C:H,2,FALSE),VLOOKUP(H35,REFERENCIAS!B:H,3,FALSE)&amp;(" (revisar)")),0))</f>
        <v>GASTOS</v>
      </c>
      <c r="K35" t="str">
        <f>IF(C35="Pago de Obligaciones a ARCA Tipo de Pago: ARCA VEP PENDIENTES",VLOOKUP(E35,#REF!,7,FALSE),IFERROR(IFERROR(VLOOKUP(C35,REFERENCIAS!C:H,3,FALSE),VLOOKUP(H35,REFERENCIAS!B:H,4,FALSE)&amp;(" (revisar)")),0))</f>
        <v>IVA DEB.FISCAL 21%</v>
      </c>
      <c r="N35" s="20">
        <f t="shared" si="1"/>
        <v>-260371.38000000018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0</v>
      </c>
      <c r="T35" s="20">
        <f t="shared" si="9"/>
        <v>0</v>
      </c>
      <c r="U35" s="20">
        <f t="shared" si="9"/>
        <v>0</v>
      </c>
      <c r="V35" s="20">
        <f t="shared" si="9"/>
        <v>0</v>
      </c>
      <c r="W35" s="20">
        <f t="shared" si="9"/>
        <v>0</v>
      </c>
      <c r="X35" s="20">
        <f t="shared" si="9"/>
        <v>0</v>
      </c>
      <c r="Y35" s="20">
        <f t="shared" si="9"/>
        <v>0</v>
      </c>
      <c r="Z35" s="20">
        <f t="shared" si="9"/>
        <v>-63</v>
      </c>
      <c r="AA35" s="20">
        <f t="shared" si="9"/>
        <v>0</v>
      </c>
      <c r="AB35" s="20">
        <f t="shared" si="9"/>
        <v>0</v>
      </c>
      <c r="AC35" s="20">
        <f t="shared" si="9"/>
        <v>0</v>
      </c>
      <c r="AD35" s="20">
        <f t="shared" si="9"/>
        <v>0</v>
      </c>
      <c r="AE35" s="20">
        <f t="shared" si="8"/>
        <v>0</v>
      </c>
      <c r="AF35" s="20">
        <f t="shared" si="8"/>
        <v>0</v>
      </c>
    </row>
    <row r="36" spans="2:32" ht="16.899999999999999" customHeight="1">
      <c r="B36" s="191" t="s">
        <v>131</v>
      </c>
      <c r="C36" s="10" t="s">
        <v>12</v>
      </c>
      <c r="D36" s="191">
        <v>0</v>
      </c>
      <c r="E36" s="195">
        <v>16475.34</v>
      </c>
      <c r="F36" s="195">
        <v>0</v>
      </c>
      <c r="G36" s="195">
        <v>3808628.48</v>
      </c>
      <c r="H36" s="5" t="s">
        <v>13</v>
      </c>
      <c r="I36" s="192">
        <f>IF(C36="Pago de Obligaciones a ARCA Tipo de Pago: ARCA VEP PENDIENTES",VLOOKUP(K36,#REF!,3,FALSE),IFERROR(IFERROR(VLOOKUP(C36,REFERENCIAS!C:H,4,FALSE),VLOOKUP(H36,REFERENCIAS!B:H,5,FALSE)&amp;(" (revisar)")),0))</f>
        <v>0</v>
      </c>
      <c r="J36" s="192" t="str">
        <f>IF(C36="Pago de Obligaciones a ARCA Tipo de Pago: ARCA VEP PENDIENTES",VLOOKUP(E36,#REF!,6,FALSE),IFERROR(IFERROR(VLOOKUP(C36,REFERENCIAS!C:H,2,FALSE),VLOOKUP(H36,REFERENCIAS!B:H,3,FALSE)&amp;(" (revisar)")),0))</f>
        <v>GASTOS</v>
      </c>
      <c r="K36" t="str">
        <f>IF(C36="Pago de Obligaciones a ARCA Tipo de Pago: ARCA VEP PENDIENTES",VLOOKUP(E36,#REF!,7,FALSE),IFERROR(IFERROR(VLOOKUP(C36,REFERENCIAS!C:H,3,FALSE),VLOOKUP(H36,REFERENCIAS!B:H,4,FALSE)&amp;(" (revisar)")),0))</f>
        <v>IMP. L.25413-DEB</v>
      </c>
      <c r="N36" s="20">
        <f t="shared" si="1"/>
        <v>-276846.7200000002</v>
      </c>
      <c r="O36" s="20">
        <f t="shared" si="9"/>
        <v>0</v>
      </c>
      <c r="P36" s="20">
        <f t="shared" si="9"/>
        <v>0</v>
      </c>
      <c r="Q36" s="20">
        <f t="shared" si="9"/>
        <v>0</v>
      </c>
      <c r="R36" s="20">
        <f t="shared" si="9"/>
        <v>0</v>
      </c>
      <c r="S36" s="20">
        <f t="shared" si="9"/>
        <v>0</v>
      </c>
      <c r="T36" s="20">
        <f t="shared" si="9"/>
        <v>0</v>
      </c>
      <c r="U36" s="20">
        <f t="shared" si="9"/>
        <v>0</v>
      </c>
      <c r="V36" s="20">
        <f t="shared" si="9"/>
        <v>0</v>
      </c>
      <c r="W36" s="20">
        <f t="shared" si="9"/>
        <v>0</v>
      </c>
      <c r="X36" s="20">
        <f t="shared" si="9"/>
        <v>-16475.34</v>
      </c>
      <c r="Y36" s="20">
        <f t="shared" si="9"/>
        <v>0</v>
      </c>
      <c r="Z36" s="20">
        <f t="shared" si="9"/>
        <v>0</v>
      </c>
      <c r="AA36" s="20">
        <f t="shared" si="9"/>
        <v>0</v>
      </c>
      <c r="AB36" s="20">
        <f t="shared" si="9"/>
        <v>0</v>
      </c>
      <c r="AC36" s="20">
        <f t="shared" si="9"/>
        <v>0</v>
      </c>
      <c r="AD36" s="20">
        <f t="shared" si="9"/>
        <v>0</v>
      </c>
      <c r="AE36" s="20">
        <f t="shared" si="8"/>
        <v>0</v>
      </c>
      <c r="AF36" s="20">
        <f t="shared" si="8"/>
        <v>0</v>
      </c>
    </row>
    <row r="37" spans="2:32" ht="16.899999999999999" customHeight="1">
      <c r="B37" s="191" t="s">
        <v>131</v>
      </c>
      <c r="C37" s="18" t="s">
        <v>142</v>
      </c>
      <c r="D37" s="191">
        <v>335536</v>
      </c>
      <c r="E37" s="195">
        <v>300</v>
      </c>
      <c r="F37" s="195">
        <v>0</v>
      </c>
      <c r="G37" s="195">
        <v>3825103.82</v>
      </c>
      <c r="H37" s="5">
        <v>211</v>
      </c>
      <c r="I37" s="192">
        <f>IF(C37="Pago de Obligaciones a ARCA Tipo de Pago: ARCA VEP PENDIENTES",VLOOKUP(K37,#REF!,3,FALSE),IFERROR(IFERROR(VLOOKUP(C37,REFERENCIAS!C:H,4,FALSE),VLOOKUP(H37,REFERENCIAS!B:H,5,FALSE)&amp;(" (revisar)")),0))</f>
        <v>0</v>
      </c>
      <c r="J37" s="192" t="str">
        <f>IF(C37="Pago de Obligaciones a ARCA Tipo de Pago: ARCA VEP PENDIENTES",VLOOKUP(E37,#REF!,6,FALSE),IFERROR(IFERROR(VLOOKUP(C37,REFERENCIAS!C:H,2,FALSE),VLOOKUP(H37,REFERENCIAS!B:H,3,FALSE)&amp;(" (revisar)")),0))</f>
        <v>GASTOS</v>
      </c>
      <c r="K37" t="str">
        <f>IF(C37="Pago de Obligaciones a ARCA Tipo de Pago: ARCA VEP PENDIENTES",VLOOKUP(E37,#REF!,7,FALSE),IFERROR(IFERROR(VLOOKUP(C37,REFERENCIAS!C:H,3,FALSE),VLOOKUP(H37,REFERENCIAS!B:H,4,FALSE)&amp;(" (revisar)")),0))</f>
        <v xml:space="preserve">Comisiones y Gastos Bancarios </v>
      </c>
      <c r="N37" s="20">
        <f t="shared" si="1"/>
        <v>-277146.7200000002</v>
      </c>
      <c r="O37" s="20">
        <f t="shared" si="9"/>
        <v>0</v>
      </c>
      <c r="P37" s="20">
        <f t="shared" si="9"/>
        <v>0</v>
      </c>
      <c r="Q37" s="20">
        <f t="shared" si="9"/>
        <v>0</v>
      </c>
      <c r="R37" s="20">
        <f t="shared" si="9"/>
        <v>0</v>
      </c>
      <c r="S37" s="20">
        <f t="shared" si="9"/>
        <v>0</v>
      </c>
      <c r="T37" s="20">
        <f t="shared" si="9"/>
        <v>0</v>
      </c>
      <c r="U37" s="20">
        <f t="shared" si="9"/>
        <v>0</v>
      </c>
      <c r="V37" s="20">
        <f t="shared" si="9"/>
        <v>0</v>
      </c>
      <c r="W37" s="20">
        <f t="shared" si="9"/>
        <v>-300</v>
      </c>
      <c r="X37" s="20">
        <f t="shared" si="9"/>
        <v>0</v>
      </c>
      <c r="Y37" s="20">
        <f t="shared" si="9"/>
        <v>0</v>
      </c>
      <c r="Z37" s="20">
        <f t="shared" si="9"/>
        <v>0</v>
      </c>
      <c r="AA37" s="20">
        <f t="shared" si="9"/>
        <v>0</v>
      </c>
      <c r="AB37" s="20">
        <f t="shared" si="9"/>
        <v>0</v>
      </c>
      <c r="AC37" s="20">
        <f t="shared" si="9"/>
        <v>0</v>
      </c>
      <c r="AD37" s="20">
        <f t="shared" si="9"/>
        <v>0</v>
      </c>
      <c r="AE37" s="20">
        <f t="shared" si="8"/>
        <v>0</v>
      </c>
      <c r="AF37" s="20">
        <f t="shared" si="8"/>
        <v>0</v>
      </c>
    </row>
    <row r="38" spans="2:32" ht="16.899999999999999" customHeight="1">
      <c r="B38" s="191" t="s">
        <v>132</v>
      </c>
      <c r="C38" s="10" t="s">
        <v>14</v>
      </c>
      <c r="D38" s="191">
        <v>0</v>
      </c>
      <c r="E38" s="195">
        <v>63</v>
      </c>
      <c r="F38" s="195">
        <v>0</v>
      </c>
      <c r="G38" s="195">
        <v>6570930.7599999998</v>
      </c>
      <c r="H38" s="5" t="s">
        <v>15</v>
      </c>
      <c r="I38" s="192">
        <f>IF(C38="Pago de Obligaciones a ARCA Tipo de Pago: ARCA VEP PENDIENTES",VLOOKUP(K38,#REF!,3,FALSE),IFERROR(IFERROR(VLOOKUP(C38,REFERENCIAS!C:H,4,FALSE),VLOOKUP(H38,REFERENCIAS!B:H,5,FALSE)&amp;(" (revisar)")),0))</f>
        <v>0</v>
      </c>
      <c r="J38" s="192" t="str">
        <f>IF(C38="Pago de Obligaciones a ARCA Tipo de Pago: ARCA VEP PENDIENTES",VLOOKUP(E38,#REF!,6,FALSE),IFERROR(IFERROR(VLOOKUP(C38,REFERENCIAS!C:H,2,FALSE),VLOOKUP(H38,REFERENCIAS!B:H,3,FALSE)&amp;(" (revisar)")),0))</f>
        <v>GASTOS</v>
      </c>
      <c r="K38" t="str">
        <f>IF(C38="Pago de Obligaciones a ARCA Tipo de Pago: ARCA VEP PENDIENTES",VLOOKUP(E38,#REF!,7,FALSE),IFERROR(IFERROR(VLOOKUP(C38,REFERENCIAS!C:H,3,FALSE),VLOOKUP(H38,REFERENCIAS!B:H,4,FALSE)&amp;(" (revisar)")),0))</f>
        <v>IVA DEB.FISCAL 21%</v>
      </c>
      <c r="N38" s="20">
        <f t="shared" si="1"/>
        <v>-277209.7200000002</v>
      </c>
      <c r="O38" s="20">
        <f t="shared" si="9"/>
        <v>0</v>
      </c>
      <c r="P38" s="20">
        <f t="shared" si="9"/>
        <v>0</v>
      </c>
      <c r="Q38" s="20">
        <f t="shared" si="9"/>
        <v>0</v>
      </c>
      <c r="R38" s="20">
        <f t="shared" si="9"/>
        <v>0</v>
      </c>
      <c r="S38" s="20">
        <f t="shared" si="9"/>
        <v>0</v>
      </c>
      <c r="T38" s="20">
        <f t="shared" si="9"/>
        <v>0</v>
      </c>
      <c r="U38" s="20">
        <f t="shared" si="9"/>
        <v>0</v>
      </c>
      <c r="V38" s="20">
        <f t="shared" si="9"/>
        <v>0</v>
      </c>
      <c r="W38" s="20">
        <f t="shared" si="9"/>
        <v>0</v>
      </c>
      <c r="X38" s="20">
        <f t="shared" si="9"/>
        <v>0</v>
      </c>
      <c r="Y38" s="20">
        <f t="shared" si="9"/>
        <v>0</v>
      </c>
      <c r="Z38" s="20">
        <f t="shared" si="9"/>
        <v>-63</v>
      </c>
      <c r="AA38" s="20">
        <f t="shared" si="9"/>
        <v>0</v>
      </c>
      <c r="AB38" s="20">
        <f t="shared" si="9"/>
        <v>0</v>
      </c>
      <c r="AC38" s="20">
        <f t="shared" si="9"/>
        <v>0</v>
      </c>
      <c r="AD38" s="20">
        <f t="shared" si="9"/>
        <v>0</v>
      </c>
      <c r="AE38" s="20">
        <f t="shared" si="8"/>
        <v>0</v>
      </c>
      <c r="AF38" s="20">
        <f t="shared" si="8"/>
        <v>0</v>
      </c>
    </row>
    <row r="39" spans="2:32" ht="16.899999999999999" customHeight="1">
      <c r="B39" s="191" t="s">
        <v>132</v>
      </c>
      <c r="C39" s="10" t="s">
        <v>12</v>
      </c>
      <c r="D39" s="191">
        <v>0</v>
      </c>
      <c r="E39" s="195">
        <v>49545.77</v>
      </c>
      <c r="F39" s="195">
        <v>0</v>
      </c>
      <c r="G39" s="195">
        <v>6570993.7599999998</v>
      </c>
      <c r="H39" s="5" t="s">
        <v>13</v>
      </c>
      <c r="I39" s="192">
        <f>IF(C39="Pago de Obligaciones a ARCA Tipo de Pago: ARCA VEP PENDIENTES",VLOOKUP(K39,#REF!,3,FALSE),IFERROR(IFERROR(VLOOKUP(C39,REFERENCIAS!C:H,4,FALSE),VLOOKUP(H39,REFERENCIAS!B:H,5,FALSE)&amp;(" (revisar)")),0))</f>
        <v>0</v>
      </c>
      <c r="J39" s="192" t="str">
        <f>IF(C39="Pago de Obligaciones a ARCA Tipo de Pago: ARCA VEP PENDIENTES",VLOOKUP(E39,#REF!,6,FALSE),IFERROR(IFERROR(VLOOKUP(C39,REFERENCIAS!C:H,2,FALSE),VLOOKUP(H39,REFERENCIAS!B:H,3,FALSE)&amp;(" (revisar)")),0))</f>
        <v>GASTOS</v>
      </c>
      <c r="K39" t="str">
        <f>IF(C39="Pago de Obligaciones a ARCA Tipo de Pago: ARCA VEP PENDIENTES",VLOOKUP(E39,#REF!,7,FALSE),IFERROR(IFERROR(VLOOKUP(C39,REFERENCIAS!C:H,3,FALSE),VLOOKUP(H39,REFERENCIAS!B:H,4,FALSE)&amp;(" (revisar)")),0))</f>
        <v>IMP. L.25413-DEB</v>
      </c>
      <c r="N39" s="20">
        <f t="shared" si="1"/>
        <v>-326755.49000000022</v>
      </c>
      <c r="O39" s="20">
        <f t="shared" si="9"/>
        <v>0</v>
      </c>
      <c r="P39" s="20">
        <f t="shared" si="9"/>
        <v>0</v>
      </c>
      <c r="Q39" s="20">
        <f t="shared" si="9"/>
        <v>0</v>
      </c>
      <c r="R39" s="20">
        <f t="shared" si="9"/>
        <v>0</v>
      </c>
      <c r="S39" s="20">
        <f t="shared" si="9"/>
        <v>0</v>
      </c>
      <c r="T39" s="20">
        <f t="shared" si="9"/>
        <v>0</v>
      </c>
      <c r="U39" s="20">
        <f t="shared" si="9"/>
        <v>0</v>
      </c>
      <c r="V39" s="20">
        <f t="shared" si="9"/>
        <v>0</v>
      </c>
      <c r="W39" s="20">
        <f t="shared" si="9"/>
        <v>0</v>
      </c>
      <c r="X39" s="20">
        <f t="shared" si="9"/>
        <v>-49545.77</v>
      </c>
      <c r="Y39" s="20">
        <f t="shared" si="9"/>
        <v>0</v>
      </c>
      <c r="Z39" s="20">
        <f t="shared" si="9"/>
        <v>0</v>
      </c>
      <c r="AA39" s="20">
        <f t="shared" si="9"/>
        <v>0</v>
      </c>
      <c r="AB39" s="20">
        <f t="shared" si="9"/>
        <v>0</v>
      </c>
      <c r="AC39" s="20">
        <f t="shared" si="9"/>
        <v>0</v>
      </c>
      <c r="AD39" s="20">
        <f t="shared" si="9"/>
        <v>0</v>
      </c>
      <c r="AE39" s="20">
        <f t="shared" si="8"/>
        <v>0</v>
      </c>
      <c r="AF39" s="20">
        <f t="shared" si="8"/>
        <v>0</v>
      </c>
    </row>
    <row r="40" spans="2:32" ht="16.899999999999999" customHeight="1">
      <c r="B40" s="191" t="s">
        <v>132</v>
      </c>
      <c r="C40" s="10" t="s">
        <v>10</v>
      </c>
      <c r="D40" s="191">
        <v>0</v>
      </c>
      <c r="E40" s="195">
        <v>74504.41</v>
      </c>
      <c r="F40" s="195">
        <v>0</v>
      </c>
      <c r="G40" s="195">
        <v>6620539.5300000003</v>
      </c>
      <c r="H40" s="5" t="s">
        <v>11</v>
      </c>
      <c r="I40" s="192">
        <f>IF(C40="Pago de Obligaciones a ARCA Tipo de Pago: ARCA VEP PENDIENTES",VLOOKUP(K40,#REF!,3,FALSE),IFERROR(IFERROR(VLOOKUP(C40,REFERENCIAS!C:H,4,FALSE),VLOOKUP(H40,REFERENCIAS!B:H,5,FALSE)&amp;(" (revisar)")),0))</f>
        <v>0</v>
      </c>
      <c r="J40" s="192" t="str">
        <f>IF(C40="Pago de Obligaciones a ARCA Tipo de Pago: ARCA VEP PENDIENTES",VLOOKUP(E40,#REF!,6,FALSE),IFERROR(IFERROR(VLOOKUP(C40,REFERENCIAS!C:H,2,FALSE),VLOOKUP(H40,REFERENCIAS!B:H,3,FALSE)&amp;(" (revisar)")),0))</f>
        <v>GASTOS</v>
      </c>
      <c r="K40" t="str">
        <f>IF(C40="Pago de Obligaciones a ARCA Tipo de Pago: ARCA VEP PENDIENTES",VLOOKUP(E40,#REF!,7,FALSE),IFERROR(IFERROR(VLOOKUP(C40,REFERENCIAS!C:H,3,FALSE),VLOOKUP(H40,REFERENCIAS!B:H,4,FALSE)&amp;(" (revisar)")),0))</f>
        <v>IMP.LEY 25413-S/CRED 6%</v>
      </c>
      <c r="N40" s="20">
        <f t="shared" si="1"/>
        <v>-401259.90000000026</v>
      </c>
      <c r="O40" s="20">
        <f t="shared" si="9"/>
        <v>0</v>
      </c>
      <c r="P40" s="20">
        <f t="shared" si="9"/>
        <v>0</v>
      </c>
      <c r="Q40" s="20">
        <f t="shared" si="9"/>
        <v>0</v>
      </c>
      <c r="R40" s="20">
        <f t="shared" si="9"/>
        <v>0</v>
      </c>
      <c r="S40" s="20">
        <f t="shared" si="9"/>
        <v>0</v>
      </c>
      <c r="T40" s="20">
        <f t="shared" si="9"/>
        <v>0</v>
      </c>
      <c r="U40" s="20">
        <f t="shared" si="9"/>
        <v>0</v>
      </c>
      <c r="V40" s="20">
        <f t="shared" si="9"/>
        <v>0</v>
      </c>
      <c r="W40" s="20">
        <f t="shared" si="9"/>
        <v>0</v>
      </c>
      <c r="X40" s="20">
        <f t="shared" si="9"/>
        <v>0</v>
      </c>
      <c r="Y40" s="20">
        <f t="shared" si="9"/>
        <v>-74504.41</v>
      </c>
      <c r="Z40" s="20">
        <f t="shared" si="9"/>
        <v>0</v>
      </c>
      <c r="AA40" s="20">
        <f t="shared" si="9"/>
        <v>0</v>
      </c>
      <c r="AB40" s="20">
        <f t="shared" si="9"/>
        <v>0</v>
      </c>
      <c r="AC40" s="20">
        <f t="shared" si="9"/>
        <v>0</v>
      </c>
      <c r="AD40" s="20">
        <f t="shared" si="9"/>
        <v>0</v>
      </c>
      <c r="AE40" s="20">
        <f t="shared" si="8"/>
        <v>0</v>
      </c>
      <c r="AF40" s="20">
        <f t="shared" si="8"/>
        <v>0</v>
      </c>
    </row>
    <row r="41" spans="2:32" ht="16.899999999999999" customHeight="1">
      <c r="B41" s="191" t="s">
        <v>132</v>
      </c>
      <c r="C41" s="10" t="s">
        <v>22</v>
      </c>
      <c r="D41" s="191">
        <v>0</v>
      </c>
      <c r="E41" s="195">
        <v>0</v>
      </c>
      <c r="F41" s="195">
        <v>124020.47</v>
      </c>
      <c r="G41" s="195">
        <v>6695043.9400000004</v>
      </c>
      <c r="H41" s="5" t="s">
        <v>23</v>
      </c>
      <c r="I41" s="192">
        <f>IF(C41="Pago de Obligaciones a ARCA Tipo de Pago: ARCA VEP PENDIENTES",VLOOKUP(K41,#REF!,3,FALSE),IFERROR(IFERROR(VLOOKUP(C41,REFERENCIAS!C:H,4,FALSE),VLOOKUP(H41,REFERENCIAS!B:H,5,FALSE)&amp;(" (revisar)")),0))</f>
        <v>0</v>
      </c>
      <c r="J41" s="192" t="str">
        <f>IF(C41="Pago de Obligaciones a ARCA Tipo de Pago: ARCA VEP PENDIENTES",VLOOKUP(E41,#REF!,6,FALSE),IFERROR(IFERROR(VLOOKUP(C41,REFERENCIAS!C:H,2,FALSE),VLOOKUP(H41,REFERENCIAS!B:H,3,FALSE)&amp;(" (revisar)")),0))</f>
        <v>ACREDITACIONES</v>
      </c>
      <c r="K41" t="str">
        <f>IF(C41="Pago de Obligaciones a ARCA Tipo de Pago: ARCA VEP PENDIENTES",VLOOKUP(E41,#REF!,7,FALSE),IFERROR(IFERROR(VLOOKUP(C41,REFERENCIAS!C:H,3,FALSE),VLOOKUP(H41,REFERENCIAS!B:H,4,FALSE)&amp;(" (revisar)")),0))</f>
        <v>Depósito de Ch. (Val. A Dep)</v>
      </c>
      <c r="N41" s="20">
        <f t="shared" si="1"/>
        <v>-277239.43000000028</v>
      </c>
      <c r="O41" s="20">
        <f t="shared" si="9"/>
        <v>0</v>
      </c>
      <c r="P41" s="20">
        <f t="shared" si="9"/>
        <v>124020.47</v>
      </c>
      <c r="Q41" s="20">
        <f t="shared" si="9"/>
        <v>0</v>
      </c>
      <c r="R41" s="20">
        <f t="shared" si="9"/>
        <v>0</v>
      </c>
      <c r="S41" s="20">
        <f t="shared" si="9"/>
        <v>0</v>
      </c>
      <c r="T41" s="20">
        <f t="shared" si="9"/>
        <v>0</v>
      </c>
      <c r="U41" s="20">
        <f t="shared" si="9"/>
        <v>0</v>
      </c>
      <c r="V41" s="20">
        <f t="shared" si="9"/>
        <v>0</v>
      </c>
      <c r="W41" s="20">
        <f t="shared" si="9"/>
        <v>0</v>
      </c>
      <c r="X41" s="20">
        <f t="shared" si="9"/>
        <v>0</v>
      </c>
      <c r="Y41" s="20">
        <f t="shared" si="9"/>
        <v>0</v>
      </c>
      <c r="Z41" s="20">
        <f t="shared" si="9"/>
        <v>0</v>
      </c>
      <c r="AA41" s="20">
        <f t="shared" si="9"/>
        <v>0</v>
      </c>
      <c r="AB41" s="20">
        <f t="shared" si="9"/>
        <v>0</v>
      </c>
      <c r="AC41" s="20">
        <f t="shared" si="9"/>
        <v>0</v>
      </c>
      <c r="AD41" s="20">
        <f t="shared" si="9"/>
        <v>0</v>
      </c>
      <c r="AE41" s="20">
        <f t="shared" si="8"/>
        <v>0</v>
      </c>
      <c r="AF41" s="20">
        <f t="shared" si="8"/>
        <v>0</v>
      </c>
    </row>
    <row r="42" spans="2:32" ht="16.899999999999999" customHeight="1">
      <c r="B42" s="191" t="s">
        <v>132</v>
      </c>
      <c r="C42" s="18" t="s">
        <v>142</v>
      </c>
      <c r="D42" s="191">
        <v>335536</v>
      </c>
      <c r="E42" s="195">
        <v>300</v>
      </c>
      <c r="F42" s="195">
        <v>0</v>
      </c>
      <c r="G42" s="195">
        <v>739200.86</v>
      </c>
      <c r="H42" s="5">
        <v>211</v>
      </c>
      <c r="I42" s="192">
        <f>IF(C42="Pago de Obligaciones a ARCA Tipo de Pago: ARCA VEP PENDIENTES",VLOOKUP(K42,#REF!,3,FALSE),IFERROR(IFERROR(VLOOKUP(C42,REFERENCIAS!C:H,4,FALSE),VLOOKUP(H42,REFERENCIAS!B:H,5,FALSE)&amp;(" (revisar)")),0))</f>
        <v>0</v>
      </c>
      <c r="J42" s="192" t="str">
        <f>IF(C42="Pago de Obligaciones a ARCA Tipo de Pago: ARCA VEP PENDIENTES",VLOOKUP(E42,#REF!,6,FALSE),IFERROR(IFERROR(VLOOKUP(C42,REFERENCIAS!C:H,2,FALSE),VLOOKUP(H42,REFERENCIAS!B:H,3,FALSE)&amp;(" (revisar)")),0))</f>
        <v>GASTOS</v>
      </c>
      <c r="K42" t="str">
        <f>IF(C42="Pago de Obligaciones a ARCA Tipo de Pago: ARCA VEP PENDIENTES",VLOOKUP(E42,#REF!,7,FALSE),IFERROR(IFERROR(VLOOKUP(C42,REFERENCIAS!C:H,3,FALSE),VLOOKUP(H42,REFERENCIAS!B:H,4,FALSE)&amp;(" (revisar)")),0))</f>
        <v xml:space="preserve">Comisiones y Gastos Bancarios </v>
      </c>
      <c r="N42" s="20">
        <f t="shared" si="1"/>
        <v>-277539.43000000028</v>
      </c>
      <c r="O42" s="20">
        <f t="shared" si="9"/>
        <v>0</v>
      </c>
      <c r="P42" s="20">
        <f t="shared" si="9"/>
        <v>0</v>
      </c>
      <c r="Q42" s="20">
        <f t="shared" si="9"/>
        <v>0</v>
      </c>
      <c r="R42" s="20">
        <f t="shared" si="9"/>
        <v>0</v>
      </c>
      <c r="S42" s="20">
        <f t="shared" si="9"/>
        <v>0</v>
      </c>
      <c r="T42" s="20">
        <f t="shared" si="9"/>
        <v>0</v>
      </c>
      <c r="U42" s="20">
        <f t="shared" si="9"/>
        <v>0</v>
      </c>
      <c r="V42" s="20">
        <f t="shared" si="9"/>
        <v>0</v>
      </c>
      <c r="W42" s="20">
        <f t="shared" si="9"/>
        <v>-300</v>
      </c>
      <c r="X42" s="20">
        <f t="shared" si="9"/>
        <v>0</v>
      </c>
      <c r="Y42" s="20">
        <f t="shared" si="9"/>
        <v>0</v>
      </c>
      <c r="Z42" s="20">
        <f t="shared" si="9"/>
        <v>0</v>
      </c>
      <c r="AA42" s="20">
        <f t="shared" si="9"/>
        <v>0</v>
      </c>
      <c r="AB42" s="20">
        <f t="shared" si="9"/>
        <v>0</v>
      </c>
      <c r="AC42" s="20">
        <f t="shared" si="9"/>
        <v>0</v>
      </c>
      <c r="AD42" s="20">
        <f t="shared" si="9"/>
        <v>0</v>
      </c>
      <c r="AE42" s="20">
        <f t="shared" si="8"/>
        <v>0</v>
      </c>
      <c r="AF42" s="20">
        <f t="shared" si="8"/>
        <v>0</v>
      </c>
    </row>
    <row r="43" spans="2:32" ht="16.899999999999999" customHeight="1">
      <c r="B43" s="191" t="s">
        <v>133</v>
      </c>
      <c r="C43" s="10" t="s">
        <v>14</v>
      </c>
      <c r="D43" s="191">
        <v>0</v>
      </c>
      <c r="E43" s="195">
        <v>136.5</v>
      </c>
      <c r="F43" s="195">
        <v>0</v>
      </c>
      <c r="G43" s="195">
        <v>2535205.86</v>
      </c>
      <c r="H43" s="5" t="s">
        <v>15</v>
      </c>
      <c r="I43" s="192">
        <f>IF(C43="Pago de Obligaciones a ARCA Tipo de Pago: ARCA VEP PENDIENTES",VLOOKUP(K43,#REF!,3,FALSE),IFERROR(IFERROR(VLOOKUP(C43,REFERENCIAS!C:H,4,FALSE),VLOOKUP(H43,REFERENCIAS!B:H,5,FALSE)&amp;(" (revisar)")),0))</f>
        <v>0</v>
      </c>
      <c r="J43" s="192" t="str">
        <f>IF(C43="Pago de Obligaciones a ARCA Tipo de Pago: ARCA VEP PENDIENTES",VLOOKUP(E43,#REF!,6,FALSE),IFERROR(IFERROR(VLOOKUP(C43,REFERENCIAS!C:H,2,FALSE),VLOOKUP(H43,REFERENCIAS!B:H,3,FALSE)&amp;(" (revisar)")),0))</f>
        <v>GASTOS</v>
      </c>
      <c r="K43" t="str">
        <f>IF(C43="Pago de Obligaciones a ARCA Tipo de Pago: ARCA VEP PENDIENTES",VLOOKUP(E43,#REF!,7,FALSE),IFERROR(IFERROR(VLOOKUP(C43,REFERENCIAS!C:H,3,FALSE),VLOOKUP(H43,REFERENCIAS!B:H,4,FALSE)&amp;(" (revisar)")),0))</f>
        <v>IVA DEB.FISCAL 21%</v>
      </c>
      <c r="N43" s="20">
        <f t="shared" si="1"/>
        <v>-277675.93000000028</v>
      </c>
      <c r="O43" s="20">
        <f t="shared" si="9"/>
        <v>0</v>
      </c>
      <c r="P43" s="20">
        <f t="shared" si="9"/>
        <v>0</v>
      </c>
      <c r="Q43" s="20">
        <f t="shared" si="9"/>
        <v>0</v>
      </c>
      <c r="R43" s="20">
        <f t="shared" si="9"/>
        <v>0</v>
      </c>
      <c r="S43" s="20">
        <f t="shared" si="9"/>
        <v>0</v>
      </c>
      <c r="T43" s="20">
        <f t="shared" si="9"/>
        <v>0</v>
      </c>
      <c r="U43" s="20">
        <f t="shared" si="9"/>
        <v>0</v>
      </c>
      <c r="V43" s="20">
        <f t="shared" si="9"/>
        <v>0</v>
      </c>
      <c r="W43" s="20">
        <f t="shared" si="9"/>
        <v>0</v>
      </c>
      <c r="X43" s="20">
        <f t="shared" si="9"/>
        <v>0</v>
      </c>
      <c r="Y43" s="20">
        <f t="shared" si="9"/>
        <v>0</v>
      </c>
      <c r="Z43" s="20">
        <f t="shared" si="9"/>
        <v>-136.5</v>
      </c>
      <c r="AA43" s="20">
        <f t="shared" si="9"/>
        <v>0</v>
      </c>
      <c r="AB43" s="20">
        <f t="shared" si="9"/>
        <v>0</v>
      </c>
      <c r="AC43" s="20">
        <f t="shared" si="9"/>
        <v>0</v>
      </c>
      <c r="AD43" s="20">
        <f t="shared" ref="AD43:AF55" si="10">IF($K43=AD$1,(-$E43+$F43),0)</f>
        <v>0</v>
      </c>
      <c r="AE43" s="20">
        <f t="shared" si="10"/>
        <v>0</v>
      </c>
      <c r="AF43" s="20">
        <f t="shared" si="10"/>
        <v>0</v>
      </c>
    </row>
    <row r="44" spans="2:32" ht="16.899999999999999" customHeight="1">
      <c r="B44" s="191" t="s">
        <v>133</v>
      </c>
      <c r="C44" s="10" t="s">
        <v>12</v>
      </c>
      <c r="D44" s="191">
        <v>0</v>
      </c>
      <c r="E44" s="195">
        <v>826.45</v>
      </c>
      <c r="F44" s="195">
        <v>0</v>
      </c>
      <c r="G44" s="195">
        <v>2535342.36</v>
      </c>
      <c r="H44" s="5" t="s">
        <v>13</v>
      </c>
      <c r="I44" s="192">
        <f>IF(C44="Pago de Obligaciones a ARCA Tipo de Pago: ARCA VEP PENDIENTES",VLOOKUP(K44,#REF!,3,FALSE),IFERROR(IFERROR(VLOOKUP(C44,REFERENCIAS!C:H,4,FALSE),VLOOKUP(H44,REFERENCIAS!B:H,5,FALSE)&amp;(" (revisar)")),0))</f>
        <v>0</v>
      </c>
      <c r="J44" s="192" t="str">
        <f>IF(C44="Pago de Obligaciones a ARCA Tipo de Pago: ARCA VEP PENDIENTES",VLOOKUP(E44,#REF!,6,FALSE),IFERROR(IFERROR(VLOOKUP(C44,REFERENCIAS!C:H,2,FALSE),VLOOKUP(H44,REFERENCIAS!B:H,3,FALSE)&amp;(" (revisar)")),0))</f>
        <v>GASTOS</v>
      </c>
      <c r="K44" t="str">
        <f>IF(C44="Pago de Obligaciones a ARCA Tipo de Pago: ARCA VEP PENDIENTES",VLOOKUP(E44,#REF!,7,FALSE),IFERROR(IFERROR(VLOOKUP(C44,REFERENCIAS!C:H,3,FALSE),VLOOKUP(H44,REFERENCIAS!B:H,4,FALSE)&amp;(" (revisar)")),0))</f>
        <v>IMP. L.25413-DEB</v>
      </c>
      <c r="N44" s="20">
        <f t="shared" si="1"/>
        <v>-278502.3800000003</v>
      </c>
      <c r="O44" s="20">
        <f t="shared" ref="O44:AD56" si="11">IF($K44=O$1,(-$E44+$F44),0)</f>
        <v>0</v>
      </c>
      <c r="P44" s="20">
        <f t="shared" si="11"/>
        <v>0</v>
      </c>
      <c r="Q44" s="20">
        <f t="shared" si="11"/>
        <v>0</v>
      </c>
      <c r="R44" s="20">
        <f t="shared" si="11"/>
        <v>0</v>
      </c>
      <c r="S44" s="20">
        <f t="shared" si="11"/>
        <v>0</v>
      </c>
      <c r="T44" s="20">
        <f t="shared" si="11"/>
        <v>0</v>
      </c>
      <c r="U44" s="20">
        <f t="shared" si="11"/>
        <v>0</v>
      </c>
      <c r="V44" s="20">
        <f t="shared" si="11"/>
        <v>0</v>
      </c>
      <c r="W44" s="20">
        <f t="shared" si="11"/>
        <v>0</v>
      </c>
      <c r="X44" s="20">
        <f t="shared" si="11"/>
        <v>-826.45</v>
      </c>
      <c r="Y44" s="20">
        <f t="shared" si="11"/>
        <v>0</v>
      </c>
      <c r="Z44" s="20">
        <f t="shared" si="11"/>
        <v>0</v>
      </c>
      <c r="AA44" s="20">
        <f t="shared" si="11"/>
        <v>0</v>
      </c>
      <c r="AB44" s="20">
        <f t="shared" si="11"/>
        <v>0</v>
      </c>
      <c r="AC44" s="20">
        <f t="shared" si="11"/>
        <v>0</v>
      </c>
      <c r="AD44" s="20">
        <f t="shared" si="11"/>
        <v>0</v>
      </c>
      <c r="AE44" s="20">
        <f t="shared" si="10"/>
        <v>0</v>
      </c>
      <c r="AF44" s="20">
        <f t="shared" si="10"/>
        <v>0</v>
      </c>
    </row>
    <row r="45" spans="2:32" ht="16.899999999999999" customHeight="1">
      <c r="B45" s="191" t="s">
        <v>133</v>
      </c>
      <c r="C45" s="10" t="s">
        <v>10</v>
      </c>
      <c r="D45" s="191">
        <v>0</v>
      </c>
      <c r="E45" s="195">
        <v>16246.44</v>
      </c>
      <c r="F45" s="195">
        <v>0</v>
      </c>
      <c r="G45" s="195">
        <v>2536168.81</v>
      </c>
      <c r="H45" s="5" t="s">
        <v>11</v>
      </c>
      <c r="I45" s="192">
        <f>IF(C45="Pago de Obligaciones a ARCA Tipo de Pago: ARCA VEP PENDIENTES",VLOOKUP(K45,#REF!,3,FALSE),IFERROR(IFERROR(VLOOKUP(C45,REFERENCIAS!C:H,4,FALSE),VLOOKUP(H45,REFERENCIAS!B:H,5,FALSE)&amp;(" (revisar)")),0))</f>
        <v>0</v>
      </c>
      <c r="J45" s="192" t="str">
        <f>IF(C45="Pago de Obligaciones a ARCA Tipo de Pago: ARCA VEP PENDIENTES",VLOOKUP(E45,#REF!,6,FALSE),IFERROR(IFERROR(VLOOKUP(C45,REFERENCIAS!C:H,2,FALSE),VLOOKUP(H45,REFERENCIAS!B:H,3,FALSE)&amp;(" (revisar)")),0))</f>
        <v>GASTOS</v>
      </c>
      <c r="K45" t="str">
        <f>IF(C45="Pago de Obligaciones a ARCA Tipo de Pago: ARCA VEP PENDIENTES",VLOOKUP(E45,#REF!,7,FALSE),IFERROR(IFERROR(VLOOKUP(C45,REFERENCIAS!C:H,3,FALSE),VLOOKUP(H45,REFERENCIAS!B:H,4,FALSE)&amp;(" (revisar)")),0))</f>
        <v>IMP.LEY 25413-S/CRED 6%</v>
      </c>
      <c r="N45" s="20">
        <f t="shared" si="1"/>
        <v>-294748.8200000003</v>
      </c>
      <c r="O45" s="20">
        <f t="shared" si="11"/>
        <v>0</v>
      </c>
      <c r="P45" s="20">
        <f t="shared" si="11"/>
        <v>0</v>
      </c>
      <c r="Q45" s="20">
        <f t="shared" si="11"/>
        <v>0</v>
      </c>
      <c r="R45" s="20">
        <f t="shared" si="11"/>
        <v>0</v>
      </c>
      <c r="S45" s="20">
        <f t="shared" si="11"/>
        <v>0</v>
      </c>
      <c r="T45" s="20">
        <f t="shared" si="11"/>
        <v>0</v>
      </c>
      <c r="U45" s="20">
        <f t="shared" si="11"/>
        <v>0</v>
      </c>
      <c r="V45" s="20">
        <f t="shared" si="11"/>
        <v>0</v>
      </c>
      <c r="W45" s="20">
        <f t="shared" si="11"/>
        <v>0</v>
      </c>
      <c r="X45" s="20">
        <f t="shared" si="11"/>
        <v>0</v>
      </c>
      <c r="Y45" s="20">
        <f t="shared" si="11"/>
        <v>-16246.44</v>
      </c>
      <c r="Z45" s="20">
        <f t="shared" si="11"/>
        <v>0</v>
      </c>
      <c r="AA45" s="20">
        <f t="shared" si="11"/>
        <v>0</v>
      </c>
      <c r="AB45" s="20">
        <f t="shared" si="11"/>
        <v>0</v>
      </c>
      <c r="AC45" s="20">
        <f t="shared" si="11"/>
        <v>0</v>
      </c>
      <c r="AD45" s="20">
        <f t="shared" si="11"/>
        <v>0</v>
      </c>
      <c r="AE45" s="20">
        <f t="shared" si="10"/>
        <v>0</v>
      </c>
      <c r="AF45" s="20">
        <f t="shared" si="10"/>
        <v>0</v>
      </c>
    </row>
    <row r="46" spans="2:32" ht="16.899999999999999" customHeight="1">
      <c r="B46" s="191" t="s">
        <v>133</v>
      </c>
      <c r="C46" s="73" t="s">
        <v>149</v>
      </c>
      <c r="D46" s="191">
        <v>190223</v>
      </c>
      <c r="E46" s="195">
        <v>0</v>
      </c>
      <c r="F46" s="195">
        <v>27040.05</v>
      </c>
      <c r="G46" s="195">
        <v>2552415.25</v>
      </c>
      <c r="H46" s="5">
        <v>974</v>
      </c>
      <c r="I46" s="192">
        <f>IF(C46="Pago de Obligaciones a ARCA Tipo de Pago: ARCA VEP PENDIENTES",VLOOKUP(K46,#REF!,3,FALSE),IFERROR(IFERROR(VLOOKUP(C46,REFERENCIAS!C:H,4,FALSE),VLOOKUP(H46,REFERENCIAS!B:H,5,FALSE)&amp;(" (revisar)")),0))</f>
        <v>0</v>
      </c>
      <c r="J46" s="192" t="str">
        <f>IF(C46="Pago de Obligaciones a ARCA Tipo de Pago: ARCA VEP PENDIENTES",VLOOKUP(E46,#REF!,6,FALSE),IFERROR(IFERROR(VLOOKUP(C46,REFERENCIAS!C:H,2,FALSE),VLOOKUP(H46,REFERENCIAS!B:H,3,FALSE)&amp;(" (revisar)")),0))</f>
        <v>ACREDITACIONES</v>
      </c>
      <c r="K46" t="str">
        <f>IF(C46="Pago de Obligaciones a ARCA Tipo de Pago: ARCA VEP PENDIENTES",VLOOKUP(E46,#REF!,7,FALSE),IFERROR(IFERROR(VLOOKUP(C46,REFERENCIAS!C:H,3,FALSE),VLOOKUP(H46,REFERENCIAS!B:H,4,FALSE)&amp;(" (revisar)")),0))</f>
        <v>Cobranzas (Ds. X Vtas)</v>
      </c>
      <c r="N46" s="20">
        <f t="shared" si="1"/>
        <v>-267708.77000000031</v>
      </c>
      <c r="O46" s="20">
        <f t="shared" si="11"/>
        <v>0</v>
      </c>
      <c r="P46" s="20">
        <f t="shared" si="11"/>
        <v>0</v>
      </c>
      <c r="Q46" s="20">
        <f t="shared" si="11"/>
        <v>0</v>
      </c>
      <c r="R46" s="20">
        <f t="shared" si="11"/>
        <v>27040.05</v>
      </c>
      <c r="S46" s="20">
        <f t="shared" si="11"/>
        <v>0</v>
      </c>
      <c r="T46" s="20">
        <f t="shared" si="11"/>
        <v>0</v>
      </c>
      <c r="U46" s="20">
        <f t="shared" si="11"/>
        <v>0</v>
      </c>
      <c r="V46" s="20">
        <f t="shared" si="11"/>
        <v>0</v>
      </c>
      <c r="W46" s="20">
        <f t="shared" si="11"/>
        <v>0</v>
      </c>
      <c r="X46" s="20">
        <f t="shared" si="11"/>
        <v>0</v>
      </c>
      <c r="Y46" s="20">
        <f t="shared" si="11"/>
        <v>0</v>
      </c>
      <c r="Z46" s="20">
        <f t="shared" si="11"/>
        <v>0</v>
      </c>
      <c r="AA46" s="20">
        <f t="shared" si="11"/>
        <v>0</v>
      </c>
      <c r="AB46" s="20">
        <f t="shared" si="11"/>
        <v>0</v>
      </c>
      <c r="AC46" s="20">
        <f t="shared" si="11"/>
        <v>0</v>
      </c>
      <c r="AD46" s="20">
        <f t="shared" si="11"/>
        <v>0</v>
      </c>
      <c r="AE46" s="20">
        <f t="shared" si="10"/>
        <v>0</v>
      </c>
      <c r="AF46" s="20">
        <f t="shared" si="10"/>
        <v>0</v>
      </c>
    </row>
    <row r="47" spans="2:32" ht="16.899999999999999" customHeight="1">
      <c r="B47" s="191" t="s">
        <v>133</v>
      </c>
      <c r="C47" s="18" t="s">
        <v>142</v>
      </c>
      <c r="D47" s="191">
        <v>335536</v>
      </c>
      <c r="E47" s="195">
        <v>650</v>
      </c>
      <c r="F47" s="195">
        <v>0</v>
      </c>
      <c r="G47" s="195">
        <v>-155324.79999999999</v>
      </c>
      <c r="H47" s="5">
        <v>211</v>
      </c>
      <c r="I47" s="192">
        <f>IF(C47="Pago de Obligaciones a ARCA Tipo de Pago: ARCA VEP PENDIENTES",VLOOKUP(K47,#REF!,3,FALSE),IFERROR(IFERROR(VLOOKUP(C47,REFERENCIAS!C:H,4,FALSE),VLOOKUP(H47,REFERENCIAS!B:H,5,FALSE)&amp;(" (revisar)")),0))</f>
        <v>0</v>
      </c>
      <c r="J47" s="192" t="str">
        <f>IF(C47="Pago de Obligaciones a ARCA Tipo de Pago: ARCA VEP PENDIENTES",VLOOKUP(E47,#REF!,6,FALSE),IFERROR(IFERROR(VLOOKUP(C47,REFERENCIAS!C:H,2,FALSE),VLOOKUP(H47,REFERENCIAS!B:H,3,FALSE)&amp;(" (revisar)")),0))</f>
        <v>GASTOS</v>
      </c>
      <c r="K47" t="str">
        <f>IF(C47="Pago de Obligaciones a ARCA Tipo de Pago: ARCA VEP PENDIENTES",VLOOKUP(E47,#REF!,7,FALSE),IFERROR(IFERROR(VLOOKUP(C47,REFERENCIAS!C:H,3,FALSE),VLOOKUP(H47,REFERENCIAS!B:H,4,FALSE)&amp;(" (revisar)")),0))</f>
        <v xml:space="preserve">Comisiones y Gastos Bancarios </v>
      </c>
      <c r="N47" s="20">
        <f t="shared" si="1"/>
        <v>-268358.77000000031</v>
      </c>
      <c r="O47" s="20">
        <f t="shared" si="11"/>
        <v>0</v>
      </c>
      <c r="P47" s="20">
        <f t="shared" si="11"/>
        <v>0</v>
      </c>
      <c r="Q47" s="20">
        <f t="shared" si="11"/>
        <v>0</v>
      </c>
      <c r="R47" s="20">
        <f t="shared" si="11"/>
        <v>0</v>
      </c>
      <c r="S47" s="20">
        <f t="shared" si="11"/>
        <v>0</v>
      </c>
      <c r="T47" s="20">
        <f t="shared" si="11"/>
        <v>0</v>
      </c>
      <c r="U47" s="20">
        <f t="shared" si="11"/>
        <v>0</v>
      </c>
      <c r="V47" s="20">
        <f t="shared" si="11"/>
        <v>0</v>
      </c>
      <c r="W47" s="20">
        <f t="shared" si="11"/>
        <v>-650</v>
      </c>
      <c r="X47" s="20">
        <f t="shared" si="11"/>
        <v>0</v>
      </c>
      <c r="Y47" s="20">
        <f t="shared" si="11"/>
        <v>0</v>
      </c>
      <c r="Z47" s="20">
        <f t="shared" si="11"/>
        <v>0</v>
      </c>
      <c r="AA47" s="20">
        <f t="shared" si="11"/>
        <v>0</v>
      </c>
      <c r="AB47" s="20">
        <f t="shared" si="11"/>
        <v>0</v>
      </c>
      <c r="AC47" s="20">
        <f t="shared" si="11"/>
        <v>0</v>
      </c>
      <c r="AD47" s="20">
        <f t="shared" si="11"/>
        <v>0</v>
      </c>
      <c r="AE47" s="20">
        <f t="shared" si="10"/>
        <v>0</v>
      </c>
      <c r="AF47" s="20">
        <f t="shared" si="10"/>
        <v>0</v>
      </c>
    </row>
    <row r="48" spans="2:32" ht="16.899999999999999" customHeight="1">
      <c r="B48" s="191" t="s">
        <v>133</v>
      </c>
      <c r="C48" s="6" t="s">
        <v>148</v>
      </c>
      <c r="D48" s="191">
        <v>614145</v>
      </c>
      <c r="E48" s="195">
        <v>117222.02</v>
      </c>
      <c r="F48" s="195">
        <v>0</v>
      </c>
      <c r="G48" s="195">
        <v>-154674.79999999999</v>
      </c>
      <c r="H48" s="5">
        <v>429</v>
      </c>
      <c r="I48" s="192">
        <f>IF(C48="Pago de Obligaciones a ARCA Tipo de Pago: ARCA VEP PENDIENTES",VLOOKUP(K48,#REF!,3,FALSE),IFERROR(IFERROR(VLOOKUP(C48,REFERENCIAS!C:H,4,FALSE),VLOOKUP(H48,REFERENCIAS!B:H,5,FALSE)&amp;(" (revisar)")),0))</f>
        <v>0</v>
      </c>
      <c r="J48" s="192" t="str">
        <f>IF(C48="Pago de Obligaciones a ARCA Tipo de Pago: ARCA VEP PENDIENTES",VLOOKUP(E48,#REF!,6,FALSE),IFERROR(IFERROR(VLOOKUP(C48,REFERENCIAS!C:H,2,FALSE),VLOOKUP(H48,REFERENCIAS!B:H,3,FALSE)&amp;(" (revisar)")),0))</f>
        <v>PAGOS</v>
      </c>
      <c r="K48" t="str">
        <f>IF(C48="Pago de Obligaciones a ARCA Tipo de Pago: ARCA VEP PENDIENTES",VLOOKUP(E48,#REF!,7,FALSE),IFERROR(IFERROR(VLOOKUP(C48,REFERENCIAS!C:H,3,FALSE),VLOOKUP(H48,REFERENCIAS!B:H,4,FALSE)&amp;(" (revisar)")),0))</f>
        <v>Proveedores</v>
      </c>
      <c r="N48" s="20">
        <f t="shared" si="1"/>
        <v>-385580.79000000033</v>
      </c>
      <c r="O48" s="20">
        <f t="shared" si="11"/>
        <v>0</v>
      </c>
      <c r="P48" s="20">
        <f t="shared" si="11"/>
        <v>0</v>
      </c>
      <c r="Q48" s="20">
        <f t="shared" si="11"/>
        <v>0</v>
      </c>
      <c r="R48" s="20">
        <f t="shared" si="11"/>
        <v>0</v>
      </c>
      <c r="S48" s="20">
        <f t="shared" si="11"/>
        <v>0</v>
      </c>
      <c r="T48" s="20">
        <f t="shared" si="11"/>
        <v>0</v>
      </c>
      <c r="U48" s="20">
        <f t="shared" si="11"/>
        <v>-117222.02</v>
      </c>
      <c r="V48" s="20">
        <f t="shared" si="11"/>
        <v>0</v>
      </c>
      <c r="W48" s="20">
        <f t="shared" si="11"/>
        <v>0</v>
      </c>
      <c r="X48" s="20">
        <f t="shared" si="11"/>
        <v>0</v>
      </c>
      <c r="Y48" s="20">
        <f t="shared" si="11"/>
        <v>0</v>
      </c>
      <c r="Z48" s="20">
        <f t="shared" si="11"/>
        <v>0</v>
      </c>
      <c r="AA48" s="20">
        <f t="shared" si="11"/>
        <v>0</v>
      </c>
      <c r="AB48" s="20">
        <f t="shared" si="11"/>
        <v>0</v>
      </c>
      <c r="AC48" s="20">
        <f t="shared" si="11"/>
        <v>0</v>
      </c>
      <c r="AD48" s="20">
        <f t="shared" si="11"/>
        <v>0</v>
      </c>
      <c r="AE48" s="20">
        <f t="shared" si="10"/>
        <v>0</v>
      </c>
      <c r="AF48" s="20">
        <f t="shared" si="10"/>
        <v>0</v>
      </c>
    </row>
    <row r="49" spans="2:32" ht="16.899999999999999" customHeight="1">
      <c r="B49" s="191" t="s">
        <v>134</v>
      </c>
      <c r="C49" s="10" t="s">
        <v>12</v>
      </c>
      <c r="D49" s="191">
        <v>0</v>
      </c>
      <c r="E49" s="195">
        <v>75730.710000000006</v>
      </c>
      <c r="F49" s="195">
        <v>0</v>
      </c>
      <c r="G49" s="195">
        <v>-17719.41</v>
      </c>
      <c r="H49" s="5" t="s">
        <v>13</v>
      </c>
      <c r="I49" s="192">
        <f>IF(C49="Pago de Obligaciones a ARCA Tipo de Pago: ARCA VEP PENDIENTES",VLOOKUP(K49,#REF!,3,FALSE),IFERROR(IFERROR(VLOOKUP(C49,REFERENCIAS!C:H,4,FALSE),VLOOKUP(H49,REFERENCIAS!B:H,5,FALSE)&amp;(" (revisar)")),0))</f>
        <v>0</v>
      </c>
      <c r="J49" s="192" t="str">
        <f>IF(C49="Pago de Obligaciones a ARCA Tipo de Pago: ARCA VEP PENDIENTES",VLOOKUP(E49,#REF!,6,FALSE),IFERROR(IFERROR(VLOOKUP(C49,REFERENCIAS!C:H,2,FALSE),VLOOKUP(H49,REFERENCIAS!B:H,3,FALSE)&amp;(" (revisar)")),0))</f>
        <v>GASTOS</v>
      </c>
      <c r="K49" t="str">
        <f>IF(C49="Pago de Obligaciones a ARCA Tipo de Pago: ARCA VEP PENDIENTES",VLOOKUP(E49,#REF!,7,FALSE),IFERROR(IFERROR(VLOOKUP(C49,REFERENCIAS!C:H,3,FALSE),VLOOKUP(H49,REFERENCIAS!B:H,4,FALSE)&amp;(" (revisar)")),0))</f>
        <v>IMP. L.25413-DEB</v>
      </c>
      <c r="N49" s="20">
        <f t="shared" si="1"/>
        <v>-461311.50000000035</v>
      </c>
      <c r="O49" s="20">
        <f t="shared" si="11"/>
        <v>0</v>
      </c>
      <c r="P49" s="20">
        <f t="shared" si="11"/>
        <v>0</v>
      </c>
      <c r="Q49" s="20">
        <f t="shared" si="11"/>
        <v>0</v>
      </c>
      <c r="R49" s="20">
        <f t="shared" si="11"/>
        <v>0</v>
      </c>
      <c r="S49" s="20">
        <f t="shared" si="11"/>
        <v>0</v>
      </c>
      <c r="T49" s="20">
        <f t="shared" si="11"/>
        <v>0</v>
      </c>
      <c r="U49" s="20">
        <f t="shared" si="11"/>
        <v>0</v>
      </c>
      <c r="V49" s="20">
        <f t="shared" si="11"/>
        <v>0</v>
      </c>
      <c r="W49" s="20">
        <f t="shared" si="11"/>
        <v>0</v>
      </c>
      <c r="X49" s="20">
        <f t="shared" si="11"/>
        <v>-75730.710000000006</v>
      </c>
      <c r="Y49" s="20">
        <f t="shared" si="11"/>
        <v>0</v>
      </c>
      <c r="Z49" s="20">
        <f t="shared" si="11"/>
        <v>0</v>
      </c>
      <c r="AA49" s="20">
        <f t="shared" si="11"/>
        <v>0</v>
      </c>
      <c r="AB49" s="20">
        <f t="shared" si="11"/>
        <v>0</v>
      </c>
      <c r="AC49" s="20">
        <f t="shared" si="11"/>
        <v>0</v>
      </c>
      <c r="AD49" s="20">
        <f t="shared" si="11"/>
        <v>0</v>
      </c>
      <c r="AE49" s="20">
        <f t="shared" si="10"/>
        <v>0</v>
      </c>
      <c r="AF49" s="20">
        <f t="shared" si="10"/>
        <v>0</v>
      </c>
    </row>
    <row r="50" spans="2:32" ht="16.899999999999999" customHeight="1">
      <c r="B50" s="191" t="s">
        <v>134</v>
      </c>
      <c r="C50" s="10" t="s">
        <v>10</v>
      </c>
      <c r="D50" s="191">
        <v>0</v>
      </c>
      <c r="E50" s="195">
        <v>28350.85</v>
      </c>
      <c r="F50" s="195">
        <v>0</v>
      </c>
      <c r="G50" s="195">
        <v>58011.3</v>
      </c>
      <c r="H50" s="5" t="s">
        <v>11</v>
      </c>
      <c r="I50" s="192">
        <f>IF(C50="Pago de Obligaciones a ARCA Tipo de Pago: ARCA VEP PENDIENTES",VLOOKUP(K50,#REF!,3,FALSE),IFERROR(IFERROR(VLOOKUP(C50,REFERENCIAS!C:H,4,FALSE),VLOOKUP(H50,REFERENCIAS!B:H,5,FALSE)&amp;(" (revisar)")),0))</f>
        <v>0</v>
      </c>
      <c r="J50" s="192" t="str">
        <f>IF(C50="Pago de Obligaciones a ARCA Tipo de Pago: ARCA VEP PENDIENTES",VLOOKUP(E50,#REF!,6,FALSE),IFERROR(IFERROR(VLOOKUP(C50,REFERENCIAS!C:H,2,FALSE),VLOOKUP(H50,REFERENCIAS!B:H,3,FALSE)&amp;(" (revisar)")),0))</f>
        <v>GASTOS</v>
      </c>
      <c r="K50" t="str">
        <f>IF(C50="Pago de Obligaciones a ARCA Tipo de Pago: ARCA VEP PENDIENTES",VLOOKUP(E50,#REF!,7,FALSE),IFERROR(IFERROR(VLOOKUP(C50,REFERENCIAS!C:H,3,FALSE),VLOOKUP(H50,REFERENCIAS!B:H,4,FALSE)&amp;(" (revisar)")),0))</f>
        <v>IMP.LEY 25413-S/CRED 6%</v>
      </c>
      <c r="N50" s="20">
        <f t="shared" si="1"/>
        <v>-489662.35000000033</v>
      </c>
      <c r="O50" s="20">
        <f t="shared" si="11"/>
        <v>0</v>
      </c>
      <c r="P50" s="20">
        <f t="shared" si="11"/>
        <v>0</v>
      </c>
      <c r="Q50" s="20">
        <f t="shared" si="11"/>
        <v>0</v>
      </c>
      <c r="R50" s="20">
        <f t="shared" si="11"/>
        <v>0</v>
      </c>
      <c r="S50" s="20">
        <f t="shared" si="11"/>
        <v>0</v>
      </c>
      <c r="T50" s="20">
        <f t="shared" si="11"/>
        <v>0</v>
      </c>
      <c r="U50" s="20">
        <f t="shared" si="11"/>
        <v>0</v>
      </c>
      <c r="V50" s="20">
        <f t="shared" si="11"/>
        <v>0</v>
      </c>
      <c r="W50" s="20">
        <f t="shared" si="11"/>
        <v>0</v>
      </c>
      <c r="X50" s="20">
        <f t="shared" si="11"/>
        <v>0</v>
      </c>
      <c r="Y50" s="20">
        <f t="shared" si="11"/>
        <v>-28350.85</v>
      </c>
      <c r="Z50" s="20">
        <f t="shared" si="11"/>
        <v>0</v>
      </c>
      <c r="AA50" s="20">
        <f t="shared" si="11"/>
        <v>0</v>
      </c>
      <c r="AB50" s="20">
        <f t="shared" si="11"/>
        <v>0</v>
      </c>
      <c r="AC50" s="20">
        <f t="shared" si="11"/>
        <v>0</v>
      </c>
      <c r="AD50" s="20">
        <f t="shared" si="11"/>
        <v>0</v>
      </c>
      <c r="AE50" s="20">
        <f t="shared" si="10"/>
        <v>0</v>
      </c>
      <c r="AF50" s="20">
        <f t="shared" si="10"/>
        <v>0</v>
      </c>
    </row>
    <row r="51" spans="2:32">
      <c r="B51" s="191" t="s">
        <v>134</v>
      </c>
      <c r="C51" s="6" t="s">
        <v>33</v>
      </c>
      <c r="D51" s="191">
        <v>729846</v>
      </c>
      <c r="E51" s="195">
        <v>80000</v>
      </c>
      <c r="F51" s="195">
        <v>0</v>
      </c>
      <c r="G51" s="195">
        <v>86362.15</v>
      </c>
      <c r="H51" s="5">
        <v>110</v>
      </c>
      <c r="I51" s="192">
        <f>IF(C51="Pago de Obligaciones a ARCA Tipo de Pago: ARCA VEP PENDIENTES",VLOOKUP(K51,#REF!,3,FALSE),IFERROR(IFERROR(VLOOKUP(C51,REFERENCIAS!C:H,4,FALSE),VLOOKUP(H51,REFERENCIAS!B:H,5,FALSE)&amp;(" (revisar)")),0))</f>
        <v>0</v>
      </c>
      <c r="J51" s="192" t="str">
        <f>IF(C51="Pago de Obligaciones a ARCA Tipo de Pago: ARCA VEP PENDIENTES",VLOOKUP(E51,#REF!,6,FALSE),IFERROR(IFERROR(VLOOKUP(C51,REFERENCIAS!C:H,2,FALSE),VLOOKUP(H51,REFERENCIAS!B:H,3,FALSE)&amp;(" (revisar)")),0))</f>
        <v>PAGOS</v>
      </c>
      <c r="K51" t="str">
        <f>IF(C51="Pago de Obligaciones a ARCA Tipo de Pago: ARCA VEP PENDIENTES",VLOOKUP(E51,#REF!,7,FALSE),IFERROR(IFERROR(VLOOKUP(C51,REFERENCIAS!C:H,3,FALSE),VLOOKUP(H51,REFERENCIAS!B:H,4,FALSE)&amp;(" (revisar)")),0))</f>
        <v>Sueldos</v>
      </c>
      <c r="N51" s="20">
        <f t="shared" si="1"/>
        <v>-569662.35000000033</v>
      </c>
      <c r="O51" s="20">
        <f t="shared" si="11"/>
        <v>0</v>
      </c>
      <c r="P51" s="20">
        <f t="shared" si="11"/>
        <v>0</v>
      </c>
      <c r="Q51" s="20">
        <f t="shared" si="11"/>
        <v>0</v>
      </c>
      <c r="R51" s="20">
        <f t="shared" si="11"/>
        <v>0</v>
      </c>
      <c r="S51" s="20">
        <f t="shared" si="11"/>
        <v>0</v>
      </c>
      <c r="T51" s="20">
        <f t="shared" si="11"/>
        <v>0</v>
      </c>
      <c r="U51" s="20">
        <f t="shared" si="11"/>
        <v>0</v>
      </c>
      <c r="V51" s="20">
        <f t="shared" si="11"/>
        <v>-80000</v>
      </c>
      <c r="W51" s="20">
        <f t="shared" si="11"/>
        <v>0</v>
      </c>
      <c r="X51" s="20">
        <f t="shared" si="11"/>
        <v>0</v>
      </c>
      <c r="Y51" s="20">
        <f t="shared" si="11"/>
        <v>0</v>
      </c>
      <c r="Z51" s="20">
        <f t="shared" si="11"/>
        <v>0</v>
      </c>
      <c r="AA51" s="20">
        <f t="shared" si="11"/>
        <v>0</v>
      </c>
      <c r="AB51" s="20">
        <f t="shared" si="11"/>
        <v>0</v>
      </c>
      <c r="AC51" s="20">
        <f t="shared" si="11"/>
        <v>0</v>
      </c>
      <c r="AD51" s="20">
        <f t="shared" si="11"/>
        <v>0</v>
      </c>
      <c r="AE51" s="20">
        <f t="shared" si="10"/>
        <v>0</v>
      </c>
      <c r="AF51" s="20">
        <f t="shared" si="10"/>
        <v>0</v>
      </c>
    </row>
    <row r="52" spans="2:32" ht="16.899999999999999" customHeight="1">
      <c r="B52" s="191" t="s">
        <v>134</v>
      </c>
      <c r="C52" s="6" t="s">
        <v>33</v>
      </c>
      <c r="D52" s="191">
        <v>191884</v>
      </c>
      <c r="E52" s="195">
        <v>80000</v>
      </c>
      <c r="F52" s="195">
        <v>0</v>
      </c>
      <c r="G52" s="195">
        <v>11224196.76</v>
      </c>
      <c r="H52" s="5">
        <v>244</v>
      </c>
      <c r="I52" s="192">
        <f>IF(C52="Pago de Obligaciones a ARCA Tipo de Pago: ARCA VEP PENDIENTES",VLOOKUP(K52,#REF!,3,FALSE),IFERROR(IFERROR(VLOOKUP(C52,REFERENCIAS!C:H,4,FALSE),VLOOKUP(H52,REFERENCIAS!B:H,5,FALSE)&amp;(" (revisar)")),0))</f>
        <v>0</v>
      </c>
      <c r="J52" s="192" t="str">
        <f>IF(C52="Pago de Obligaciones a ARCA Tipo de Pago: ARCA VEP PENDIENTES",VLOOKUP(E52,#REF!,6,FALSE),IFERROR(IFERROR(VLOOKUP(C52,REFERENCIAS!C:H,2,FALSE),VLOOKUP(H52,REFERENCIAS!B:H,3,FALSE)&amp;(" (revisar)")),0))</f>
        <v>PAGOS</v>
      </c>
      <c r="K52" t="str">
        <f>IF(C52="Pago de Obligaciones a ARCA Tipo de Pago: ARCA VEP PENDIENTES",VLOOKUP(E52,#REF!,7,FALSE),IFERROR(IFERROR(VLOOKUP(C52,REFERENCIAS!C:H,3,FALSE),VLOOKUP(H52,REFERENCIAS!B:H,4,FALSE)&amp;(" (revisar)")),0))</f>
        <v>Sueldos</v>
      </c>
      <c r="N52" s="20">
        <f t="shared" si="1"/>
        <v>-649662.35000000033</v>
      </c>
      <c r="O52" s="20">
        <f t="shared" si="11"/>
        <v>0</v>
      </c>
      <c r="P52" s="20">
        <f t="shared" si="11"/>
        <v>0</v>
      </c>
      <c r="Q52" s="20">
        <f t="shared" si="11"/>
        <v>0</v>
      </c>
      <c r="R52" s="20">
        <f t="shared" si="11"/>
        <v>0</v>
      </c>
      <c r="S52" s="20">
        <f t="shared" si="11"/>
        <v>0</v>
      </c>
      <c r="T52" s="20">
        <f t="shared" si="11"/>
        <v>0</v>
      </c>
      <c r="U52" s="20">
        <f t="shared" si="11"/>
        <v>0</v>
      </c>
      <c r="V52" s="20">
        <f t="shared" si="11"/>
        <v>-80000</v>
      </c>
      <c r="W52" s="20">
        <f t="shared" si="11"/>
        <v>0</v>
      </c>
      <c r="X52" s="20">
        <f t="shared" si="11"/>
        <v>0</v>
      </c>
      <c r="Y52" s="20">
        <f t="shared" si="11"/>
        <v>0</v>
      </c>
      <c r="Z52" s="20">
        <f t="shared" si="11"/>
        <v>0</v>
      </c>
      <c r="AA52" s="20">
        <f t="shared" si="11"/>
        <v>0</v>
      </c>
      <c r="AB52" s="20">
        <f t="shared" si="11"/>
        <v>0</v>
      </c>
      <c r="AC52" s="20">
        <f t="shared" si="11"/>
        <v>0</v>
      </c>
      <c r="AD52" s="20">
        <f t="shared" si="11"/>
        <v>0</v>
      </c>
      <c r="AE52" s="20">
        <f t="shared" si="10"/>
        <v>0</v>
      </c>
      <c r="AF52" s="20">
        <f t="shared" si="10"/>
        <v>0</v>
      </c>
    </row>
    <row r="53" spans="2:32" ht="16.899999999999999" customHeight="1">
      <c r="B53" s="191" t="s">
        <v>134</v>
      </c>
      <c r="C53" s="10" t="s">
        <v>26</v>
      </c>
      <c r="D53" s="191">
        <v>600508</v>
      </c>
      <c r="E53" s="195">
        <v>0</v>
      </c>
      <c r="F53" s="195">
        <v>79543.59</v>
      </c>
      <c r="G53" s="195">
        <v>12708146.76</v>
      </c>
      <c r="H53" s="5">
        <v>940</v>
      </c>
      <c r="I53" s="192">
        <f>IF(C53="Pago de Obligaciones a ARCA Tipo de Pago: ARCA VEP PENDIENTES",VLOOKUP(K53,#REF!,3,FALSE),IFERROR(IFERROR(VLOOKUP(C53,REFERENCIAS!C:H,4,FALSE),VLOOKUP(H53,REFERENCIAS!B:H,5,FALSE)&amp;(" (revisar)")),0))</f>
        <v>0</v>
      </c>
      <c r="J53" s="192" t="str">
        <f>IF(C53="Pago de Obligaciones a ARCA Tipo de Pago: ARCA VEP PENDIENTES",VLOOKUP(E53,#REF!,6,FALSE),IFERROR(IFERROR(VLOOKUP(C53,REFERENCIAS!C:H,2,FALSE),VLOOKUP(H53,REFERENCIAS!B:H,3,FALSE)&amp;(" (revisar)")),0))</f>
        <v>TESORERIA</v>
      </c>
      <c r="K53" t="str">
        <f>IF(C53="Pago de Obligaciones a ARCA Tipo de Pago: ARCA VEP PENDIENTES",VLOOKUP(E53,#REF!,7,FALSE),IFERROR(IFERROR(VLOOKUP(C53,REFERENCIAS!C:H,3,FALSE),VLOOKUP(H53,REFERENCIAS!B:H,4,FALSE)&amp;(" (revisar)")),0))</f>
        <v>FCI</v>
      </c>
      <c r="N53" s="20">
        <f t="shared" si="1"/>
        <v>-570118.76000000036</v>
      </c>
      <c r="O53" s="20">
        <f t="shared" si="11"/>
        <v>0</v>
      </c>
      <c r="P53" s="20">
        <f t="shared" si="11"/>
        <v>0</v>
      </c>
      <c r="Q53" s="20">
        <f t="shared" si="11"/>
        <v>0</v>
      </c>
      <c r="R53" s="20">
        <f t="shared" si="11"/>
        <v>0</v>
      </c>
      <c r="S53" s="20">
        <f t="shared" si="11"/>
        <v>0</v>
      </c>
      <c r="T53" s="20">
        <f t="shared" si="11"/>
        <v>79543.59</v>
      </c>
      <c r="U53" s="20">
        <f t="shared" si="11"/>
        <v>0</v>
      </c>
      <c r="V53" s="20">
        <f t="shared" si="11"/>
        <v>0</v>
      </c>
      <c r="W53" s="20">
        <f t="shared" si="11"/>
        <v>0</v>
      </c>
      <c r="X53" s="20">
        <f t="shared" si="11"/>
        <v>0</v>
      </c>
      <c r="Y53" s="20">
        <f t="shared" si="11"/>
        <v>0</v>
      </c>
      <c r="Z53" s="20">
        <f t="shared" si="11"/>
        <v>0</v>
      </c>
      <c r="AA53" s="20">
        <f t="shared" si="11"/>
        <v>0</v>
      </c>
      <c r="AB53" s="20">
        <f t="shared" si="11"/>
        <v>0</v>
      </c>
      <c r="AC53" s="20">
        <f t="shared" si="11"/>
        <v>0</v>
      </c>
      <c r="AD53" s="20">
        <f t="shared" si="11"/>
        <v>0</v>
      </c>
      <c r="AE53" s="20">
        <f t="shared" si="10"/>
        <v>0</v>
      </c>
      <c r="AF53" s="20">
        <f t="shared" si="10"/>
        <v>0</v>
      </c>
    </row>
    <row r="54" spans="2:32" ht="16.899999999999999" customHeight="1">
      <c r="B54" s="191" t="s">
        <v>134</v>
      </c>
      <c r="C54" s="73" t="s">
        <v>149</v>
      </c>
      <c r="D54" s="191">
        <v>997961</v>
      </c>
      <c r="E54" s="195">
        <v>0</v>
      </c>
      <c r="F54" s="195">
        <v>10000</v>
      </c>
      <c r="G54" s="195">
        <v>4753393.17</v>
      </c>
      <c r="H54" s="5">
        <v>1872</v>
      </c>
      <c r="I54" s="192">
        <f>IF(C54="Pago de Obligaciones a ARCA Tipo de Pago: ARCA VEP PENDIENTES",VLOOKUP(K54,#REF!,3,FALSE),IFERROR(IFERROR(VLOOKUP(C54,REFERENCIAS!C:H,4,FALSE),VLOOKUP(H54,REFERENCIAS!B:H,5,FALSE)&amp;(" (revisar)")),0))</f>
        <v>0</v>
      </c>
      <c r="J54" s="192" t="str">
        <f>IF(C54="Pago de Obligaciones a ARCA Tipo de Pago: ARCA VEP PENDIENTES",VLOOKUP(E54,#REF!,6,FALSE),IFERROR(IFERROR(VLOOKUP(C54,REFERENCIAS!C:H,2,FALSE),VLOOKUP(H54,REFERENCIAS!B:H,3,FALSE)&amp;(" (revisar)")),0))</f>
        <v>ACREDITACIONES</v>
      </c>
      <c r="K54" t="str">
        <f>IF(C54="Pago de Obligaciones a ARCA Tipo de Pago: ARCA VEP PENDIENTES",VLOOKUP(E54,#REF!,7,FALSE),IFERROR(IFERROR(VLOOKUP(C54,REFERENCIAS!C:H,3,FALSE),VLOOKUP(H54,REFERENCIAS!B:H,4,FALSE)&amp;(" (revisar)")),0))</f>
        <v>Cobranzas (Ds. X Vtas)</v>
      </c>
      <c r="N54" s="20">
        <f t="shared" si="1"/>
        <v>-560118.76000000036</v>
      </c>
      <c r="O54" s="20">
        <f t="shared" si="11"/>
        <v>0</v>
      </c>
      <c r="P54" s="20">
        <f t="shared" si="11"/>
        <v>0</v>
      </c>
      <c r="Q54" s="20">
        <f t="shared" si="11"/>
        <v>0</v>
      </c>
      <c r="R54" s="20">
        <f t="shared" si="11"/>
        <v>10000</v>
      </c>
      <c r="S54" s="20">
        <f t="shared" si="11"/>
        <v>0</v>
      </c>
      <c r="T54" s="20">
        <f t="shared" si="11"/>
        <v>0</v>
      </c>
      <c r="U54" s="20">
        <f t="shared" si="11"/>
        <v>0</v>
      </c>
      <c r="V54" s="20">
        <f t="shared" si="11"/>
        <v>0</v>
      </c>
      <c r="W54" s="20">
        <f t="shared" si="11"/>
        <v>0</v>
      </c>
      <c r="X54" s="20">
        <f t="shared" si="11"/>
        <v>0</v>
      </c>
      <c r="Y54" s="20">
        <f t="shared" si="11"/>
        <v>0</v>
      </c>
      <c r="Z54" s="20">
        <f t="shared" si="11"/>
        <v>0</v>
      </c>
      <c r="AA54" s="20">
        <f t="shared" si="11"/>
        <v>0</v>
      </c>
      <c r="AB54" s="20">
        <f t="shared" si="11"/>
        <v>0</v>
      </c>
      <c r="AC54" s="20">
        <f t="shared" si="11"/>
        <v>0</v>
      </c>
      <c r="AD54" s="20">
        <f t="shared" si="11"/>
        <v>0</v>
      </c>
      <c r="AE54" s="20">
        <f t="shared" si="10"/>
        <v>0</v>
      </c>
      <c r="AF54" s="20">
        <f t="shared" si="10"/>
        <v>0</v>
      </c>
    </row>
    <row r="55" spans="2:32" ht="16.899999999999999" customHeight="1">
      <c r="B55" s="191" t="s">
        <v>134</v>
      </c>
      <c r="C55" s="10" t="s">
        <v>26</v>
      </c>
      <c r="D55" s="191">
        <v>378769</v>
      </c>
      <c r="E55" s="195">
        <v>0</v>
      </c>
      <c r="F55" s="195">
        <v>10000.74</v>
      </c>
      <c r="G55" s="195">
        <v>28252.01</v>
      </c>
      <c r="H55" s="5">
        <v>940</v>
      </c>
      <c r="I55" s="192">
        <f>IF(C55="Pago de Obligaciones a ARCA Tipo de Pago: ARCA VEP PENDIENTES",VLOOKUP(K55,#REF!,3,FALSE),IFERROR(IFERROR(VLOOKUP(C55,REFERENCIAS!C:H,4,FALSE),VLOOKUP(H55,REFERENCIAS!B:H,5,FALSE)&amp;(" (revisar)")),0))</f>
        <v>0</v>
      </c>
      <c r="J55" s="192" t="str">
        <f>IF(C55="Pago de Obligaciones a ARCA Tipo de Pago: ARCA VEP PENDIENTES",VLOOKUP(E55,#REF!,6,FALSE),IFERROR(IFERROR(VLOOKUP(C55,REFERENCIAS!C:H,2,FALSE),VLOOKUP(H55,REFERENCIAS!B:H,3,FALSE)&amp;(" (revisar)")),0))</f>
        <v>TESORERIA</v>
      </c>
      <c r="K55" t="str">
        <f>IF(C55="Pago de Obligaciones a ARCA Tipo de Pago: ARCA VEP PENDIENTES",VLOOKUP(E55,#REF!,7,FALSE),IFERROR(IFERROR(VLOOKUP(C55,REFERENCIAS!C:H,3,FALSE),VLOOKUP(H55,REFERENCIAS!B:H,4,FALSE)&amp;(" (revisar)")),0))</f>
        <v>FCI</v>
      </c>
      <c r="N55" s="20">
        <f t="shared" si="1"/>
        <v>-550118.02000000037</v>
      </c>
      <c r="O55" s="20">
        <f t="shared" si="11"/>
        <v>0</v>
      </c>
      <c r="P55" s="20">
        <f t="shared" si="11"/>
        <v>0</v>
      </c>
      <c r="Q55" s="20">
        <f t="shared" si="11"/>
        <v>0</v>
      </c>
      <c r="R55" s="20">
        <f t="shared" si="11"/>
        <v>0</v>
      </c>
      <c r="S55" s="20">
        <f t="shared" si="11"/>
        <v>0</v>
      </c>
      <c r="T55" s="20">
        <f t="shared" si="11"/>
        <v>10000.74</v>
      </c>
      <c r="U55" s="20">
        <f t="shared" si="11"/>
        <v>0</v>
      </c>
      <c r="V55" s="20">
        <f t="shared" si="11"/>
        <v>0</v>
      </c>
      <c r="W55" s="20">
        <f t="shared" si="11"/>
        <v>0</v>
      </c>
      <c r="X55" s="20">
        <f t="shared" si="11"/>
        <v>0</v>
      </c>
      <c r="Y55" s="20">
        <f t="shared" si="11"/>
        <v>0</v>
      </c>
      <c r="Z55" s="20">
        <f t="shared" si="11"/>
        <v>0</v>
      </c>
      <c r="AA55" s="20">
        <f t="shared" si="11"/>
        <v>0</v>
      </c>
      <c r="AB55" s="20">
        <f t="shared" si="11"/>
        <v>0</v>
      </c>
      <c r="AC55" s="20">
        <f t="shared" si="11"/>
        <v>0</v>
      </c>
      <c r="AD55" s="20">
        <f t="shared" si="11"/>
        <v>0</v>
      </c>
      <c r="AE55" s="20">
        <f t="shared" si="10"/>
        <v>0</v>
      </c>
      <c r="AF55" s="20">
        <f t="shared" si="10"/>
        <v>0</v>
      </c>
    </row>
    <row r="56" spans="2:32" ht="16.899999999999999" customHeight="1">
      <c r="B56" s="191" t="s">
        <v>135</v>
      </c>
      <c r="C56" s="10" t="s">
        <v>14</v>
      </c>
      <c r="D56" s="191">
        <v>0</v>
      </c>
      <c r="E56" s="195">
        <v>126</v>
      </c>
      <c r="F56" s="195">
        <v>0</v>
      </c>
      <c r="G56" s="195">
        <v>-971827.73</v>
      </c>
      <c r="H56" s="5" t="s">
        <v>15</v>
      </c>
      <c r="I56" s="192">
        <f>IF(C56="Pago de Obligaciones a ARCA Tipo de Pago: ARCA VEP PENDIENTES",VLOOKUP(K56,#REF!,3,FALSE),IFERROR(IFERROR(VLOOKUP(C56,REFERENCIAS!C:H,4,FALSE),VLOOKUP(H56,REFERENCIAS!B:H,5,FALSE)&amp;(" (revisar)")),0))</f>
        <v>0</v>
      </c>
      <c r="J56" s="192" t="str">
        <f>IF(C56="Pago de Obligaciones a ARCA Tipo de Pago: ARCA VEP PENDIENTES",VLOOKUP(E56,#REF!,6,FALSE),IFERROR(IFERROR(VLOOKUP(C56,REFERENCIAS!C:H,2,FALSE),VLOOKUP(H56,REFERENCIAS!B:H,3,FALSE)&amp;(" (revisar)")),0))</f>
        <v>GASTOS</v>
      </c>
      <c r="K56" t="str">
        <f>IF(C56="Pago de Obligaciones a ARCA Tipo de Pago: ARCA VEP PENDIENTES",VLOOKUP(E56,#REF!,7,FALSE),IFERROR(IFERROR(VLOOKUP(C56,REFERENCIAS!C:H,3,FALSE),VLOOKUP(H56,REFERENCIAS!B:H,4,FALSE)&amp;(" (revisar)")),0))</f>
        <v>IVA DEB.FISCAL 21%</v>
      </c>
      <c r="N56" s="20">
        <f t="shared" si="1"/>
        <v>-550244.02000000037</v>
      </c>
      <c r="O56" s="20">
        <f t="shared" si="11"/>
        <v>0</v>
      </c>
      <c r="P56" s="20">
        <f t="shared" si="11"/>
        <v>0</v>
      </c>
      <c r="Q56" s="20">
        <f t="shared" si="11"/>
        <v>0</v>
      </c>
      <c r="R56" s="20">
        <f t="shared" si="11"/>
        <v>0</v>
      </c>
      <c r="S56" s="20">
        <f t="shared" si="11"/>
        <v>0</v>
      </c>
      <c r="T56" s="20">
        <f t="shared" si="11"/>
        <v>0</v>
      </c>
      <c r="U56" s="20">
        <f t="shared" si="11"/>
        <v>0</v>
      </c>
      <c r="V56" s="20">
        <f t="shared" si="11"/>
        <v>0</v>
      </c>
      <c r="W56" s="20">
        <f t="shared" si="11"/>
        <v>0</v>
      </c>
      <c r="X56" s="20">
        <f t="shared" si="11"/>
        <v>0</v>
      </c>
      <c r="Y56" s="20">
        <f t="shared" si="11"/>
        <v>0</v>
      </c>
      <c r="Z56" s="20">
        <f t="shared" si="11"/>
        <v>-126</v>
      </c>
      <c r="AA56" s="20">
        <f t="shared" si="11"/>
        <v>0</v>
      </c>
      <c r="AB56" s="20">
        <f t="shared" si="11"/>
        <v>0</v>
      </c>
      <c r="AC56" s="20">
        <f t="shared" si="11"/>
        <v>0</v>
      </c>
      <c r="AD56" s="20">
        <f t="shared" ref="AD56:AF67" si="12">IF($K56=AD$1,(-$E56+$F56),0)</f>
        <v>0</v>
      </c>
      <c r="AE56" s="20">
        <f t="shared" si="12"/>
        <v>0</v>
      </c>
      <c r="AF56" s="20">
        <f t="shared" si="12"/>
        <v>0</v>
      </c>
    </row>
    <row r="57" spans="2:32" ht="16.899999999999999" customHeight="1">
      <c r="B57" s="191" t="s">
        <v>135</v>
      </c>
      <c r="C57" s="10" t="s">
        <v>12</v>
      </c>
      <c r="D57" s="191">
        <v>0</v>
      </c>
      <c r="E57" s="195">
        <v>6004.36</v>
      </c>
      <c r="F57" s="195">
        <v>0</v>
      </c>
      <c r="G57" s="195">
        <v>-971701.73</v>
      </c>
      <c r="H57" s="5" t="s">
        <v>13</v>
      </c>
      <c r="I57" s="192">
        <f>IF(C57="Pago de Obligaciones a ARCA Tipo de Pago: ARCA VEP PENDIENTES",VLOOKUP(K57,#REF!,3,FALSE),IFERROR(IFERROR(VLOOKUP(C57,REFERENCIAS!C:H,4,FALSE),VLOOKUP(H57,REFERENCIAS!B:H,5,FALSE)&amp;(" (revisar)")),0))</f>
        <v>0</v>
      </c>
      <c r="J57" s="192" t="str">
        <f>IF(C57="Pago de Obligaciones a ARCA Tipo de Pago: ARCA VEP PENDIENTES",VLOOKUP(E57,#REF!,6,FALSE),IFERROR(IFERROR(VLOOKUP(C57,REFERENCIAS!C:H,2,FALSE),VLOOKUP(H57,REFERENCIAS!B:H,3,FALSE)&amp;(" (revisar)")),0))</f>
        <v>GASTOS</v>
      </c>
      <c r="K57" t="str">
        <f>IF(C57="Pago de Obligaciones a ARCA Tipo de Pago: ARCA VEP PENDIENTES",VLOOKUP(E57,#REF!,7,FALSE),IFERROR(IFERROR(VLOOKUP(C57,REFERENCIAS!C:H,3,FALSE),VLOOKUP(H57,REFERENCIAS!B:H,4,FALSE)&amp;(" (revisar)")),0))</f>
        <v>IMP. L.25413-DEB</v>
      </c>
      <c r="N57" s="20">
        <f t="shared" si="1"/>
        <v>-556248.38000000035</v>
      </c>
      <c r="O57" s="20">
        <f t="shared" ref="O57:AD67" si="13">IF($K57=O$1,(-$E57+$F57),0)</f>
        <v>0</v>
      </c>
      <c r="P57" s="20">
        <f t="shared" si="13"/>
        <v>0</v>
      </c>
      <c r="Q57" s="20">
        <f t="shared" si="13"/>
        <v>0</v>
      </c>
      <c r="R57" s="20">
        <f t="shared" si="13"/>
        <v>0</v>
      </c>
      <c r="S57" s="20">
        <f t="shared" si="13"/>
        <v>0</v>
      </c>
      <c r="T57" s="20">
        <f t="shared" si="13"/>
        <v>0</v>
      </c>
      <c r="U57" s="20">
        <f t="shared" si="13"/>
        <v>0</v>
      </c>
      <c r="V57" s="20">
        <f t="shared" si="13"/>
        <v>0</v>
      </c>
      <c r="W57" s="20">
        <f t="shared" si="13"/>
        <v>0</v>
      </c>
      <c r="X57" s="20">
        <f t="shared" si="13"/>
        <v>-6004.36</v>
      </c>
      <c r="Y57" s="20">
        <f t="shared" si="13"/>
        <v>0</v>
      </c>
      <c r="Z57" s="20">
        <f t="shared" si="13"/>
        <v>0</v>
      </c>
      <c r="AA57" s="20">
        <f t="shared" si="13"/>
        <v>0</v>
      </c>
      <c r="AB57" s="20">
        <f t="shared" si="13"/>
        <v>0</v>
      </c>
      <c r="AC57" s="20">
        <f t="shared" si="13"/>
        <v>0</v>
      </c>
      <c r="AD57" s="20">
        <f t="shared" si="13"/>
        <v>0</v>
      </c>
      <c r="AE57" s="20">
        <f t="shared" si="12"/>
        <v>0</v>
      </c>
      <c r="AF57" s="20">
        <f t="shared" si="12"/>
        <v>0</v>
      </c>
    </row>
    <row r="58" spans="2:32" ht="16.899999999999999" customHeight="1">
      <c r="B58" s="191" t="s">
        <v>135</v>
      </c>
      <c r="C58" s="10" t="s">
        <v>117</v>
      </c>
      <c r="D58" s="191">
        <v>0</v>
      </c>
      <c r="E58" s="195">
        <v>600</v>
      </c>
      <c r="F58" s="195">
        <v>0</v>
      </c>
      <c r="G58" s="195">
        <v>-965697.37</v>
      </c>
      <c r="H58" s="5">
        <v>1572</v>
      </c>
      <c r="I58" s="192">
        <f>IF(C58="Pago de Obligaciones a ARCA Tipo de Pago: ARCA VEP PENDIENTES",VLOOKUP(K58,#REF!,3,FALSE),IFERROR(IFERROR(VLOOKUP(C58,REFERENCIAS!C:H,4,FALSE),VLOOKUP(H58,REFERENCIAS!B:H,5,FALSE)&amp;(" (revisar)")),0))</f>
        <v>0</v>
      </c>
      <c r="J58" s="192" t="str">
        <f>IF(C58="Pago de Obligaciones a ARCA Tipo de Pago: ARCA VEP PENDIENTES",VLOOKUP(E58,#REF!,6,FALSE),IFERROR(IFERROR(VLOOKUP(C58,REFERENCIAS!C:H,2,FALSE),VLOOKUP(H58,REFERENCIAS!B:H,3,FALSE)&amp;(" (revisar)")),0))</f>
        <v>GASTOS</v>
      </c>
      <c r="K58" t="str">
        <f>IF(C58="Pago de Obligaciones a ARCA Tipo de Pago: ARCA VEP PENDIENTES",VLOOKUP(E58,#REF!,7,FALSE),IFERROR(IFERROR(VLOOKUP(C58,REFERENCIAS!C:H,3,FALSE),VLOOKUP(H58,REFERENCIAS!B:H,4,FALSE)&amp;(" (revisar)")),0))</f>
        <v xml:space="preserve">Comisiones y Gastos Bancarios </v>
      </c>
      <c r="N58" s="20">
        <f t="shared" si="1"/>
        <v>-556848.38000000035</v>
      </c>
      <c r="O58" s="20">
        <f t="shared" si="13"/>
        <v>0</v>
      </c>
      <c r="P58" s="20">
        <f t="shared" si="13"/>
        <v>0</v>
      </c>
      <c r="Q58" s="20">
        <f t="shared" si="13"/>
        <v>0</v>
      </c>
      <c r="R58" s="20">
        <f t="shared" si="13"/>
        <v>0</v>
      </c>
      <c r="S58" s="20">
        <f t="shared" si="13"/>
        <v>0</v>
      </c>
      <c r="T58" s="20">
        <f t="shared" si="13"/>
        <v>0</v>
      </c>
      <c r="U58" s="20">
        <f t="shared" si="13"/>
        <v>0</v>
      </c>
      <c r="V58" s="20">
        <f t="shared" si="13"/>
        <v>0</v>
      </c>
      <c r="W58" s="20">
        <f t="shared" si="13"/>
        <v>-600</v>
      </c>
      <c r="X58" s="20">
        <f t="shared" si="13"/>
        <v>0</v>
      </c>
      <c r="Y58" s="20">
        <f t="shared" si="13"/>
        <v>0</v>
      </c>
      <c r="Z58" s="20">
        <f t="shared" si="13"/>
        <v>0</v>
      </c>
      <c r="AA58" s="20">
        <f t="shared" si="13"/>
        <v>0</v>
      </c>
      <c r="AB58" s="20">
        <f t="shared" si="13"/>
        <v>0</v>
      </c>
      <c r="AC58" s="20">
        <f t="shared" si="13"/>
        <v>0</v>
      </c>
      <c r="AD58" s="20">
        <f t="shared" si="13"/>
        <v>0</v>
      </c>
      <c r="AE58" s="20">
        <f t="shared" si="12"/>
        <v>0</v>
      </c>
      <c r="AF58" s="20">
        <f t="shared" si="12"/>
        <v>0</v>
      </c>
    </row>
    <row r="59" spans="2:32">
      <c r="B59" s="191" t="s">
        <v>136</v>
      </c>
      <c r="C59" s="10" t="s">
        <v>14</v>
      </c>
      <c r="D59" s="191">
        <v>0</v>
      </c>
      <c r="E59" s="195">
        <v>41.16</v>
      </c>
      <c r="F59" s="195">
        <v>0</v>
      </c>
      <c r="G59" s="195">
        <v>34902.629999999997</v>
      </c>
      <c r="H59" s="5" t="s">
        <v>15</v>
      </c>
      <c r="I59" s="192">
        <f>IF(C59="Pago de Obligaciones a ARCA Tipo de Pago: ARCA VEP PENDIENTES",VLOOKUP(K59,#REF!,3,FALSE),IFERROR(IFERROR(VLOOKUP(C59,REFERENCIAS!C:H,4,FALSE),VLOOKUP(H59,REFERENCIAS!B:H,5,FALSE)&amp;(" (revisar)")),0))</f>
        <v>0</v>
      </c>
      <c r="J59" s="192" t="str">
        <f>IF(C59="Pago de Obligaciones a ARCA Tipo de Pago: ARCA VEP PENDIENTES",VLOOKUP(E59,#REF!,6,FALSE),IFERROR(IFERROR(VLOOKUP(C59,REFERENCIAS!C:H,2,FALSE),VLOOKUP(H59,REFERENCIAS!B:H,3,FALSE)&amp;(" (revisar)")),0))</f>
        <v>GASTOS</v>
      </c>
      <c r="K59" t="str">
        <f>IF(C59="Pago de Obligaciones a ARCA Tipo de Pago: ARCA VEP PENDIENTES",VLOOKUP(E59,#REF!,7,FALSE),IFERROR(IFERROR(VLOOKUP(C59,REFERENCIAS!C:H,3,FALSE),VLOOKUP(H59,REFERENCIAS!B:H,4,FALSE)&amp;(" (revisar)")),0))</f>
        <v>IVA DEB.FISCAL 21%</v>
      </c>
      <c r="N59" s="20">
        <f t="shared" si="1"/>
        <v>-556889.54000000039</v>
      </c>
      <c r="O59" s="20">
        <f t="shared" si="13"/>
        <v>0</v>
      </c>
      <c r="P59" s="20">
        <f t="shared" si="13"/>
        <v>0</v>
      </c>
      <c r="Q59" s="20">
        <f t="shared" si="13"/>
        <v>0</v>
      </c>
      <c r="R59" s="20">
        <f t="shared" si="13"/>
        <v>0</v>
      </c>
      <c r="S59" s="20">
        <f t="shared" si="13"/>
        <v>0</v>
      </c>
      <c r="T59" s="20">
        <f t="shared" si="13"/>
        <v>0</v>
      </c>
      <c r="U59" s="20">
        <f t="shared" si="13"/>
        <v>0</v>
      </c>
      <c r="V59" s="20">
        <f t="shared" si="13"/>
        <v>0</v>
      </c>
      <c r="W59" s="20">
        <f t="shared" si="13"/>
        <v>0</v>
      </c>
      <c r="X59" s="20">
        <f t="shared" si="13"/>
        <v>0</v>
      </c>
      <c r="Y59" s="20">
        <f t="shared" si="13"/>
        <v>0</v>
      </c>
      <c r="Z59" s="20">
        <f t="shared" si="13"/>
        <v>-41.16</v>
      </c>
      <c r="AA59" s="20">
        <f t="shared" si="13"/>
        <v>0</v>
      </c>
      <c r="AB59" s="20">
        <f t="shared" si="13"/>
        <v>0</v>
      </c>
      <c r="AC59" s="20">
        <f t="shared" si="13"/>
        <v>0</v>
      </c>
      <c r="AD59" s="20">
        <f t="shared" si="13"/>
        <v>0</v>
      </c>
      <c r="AE59" s="20">
        <f t="shared" si="12"/>
        <v>0</v>
      </c>
      <c r="AF59" s="20">
        <f t="shared" si="12"/>
        <v>0</v>
      </c>
    </row>
    <row r="60" spans="2:32">
      <c r="B60" s="191" t="s">
        <v>136</v>
      </c>
      <c r="C60" s="10" t="s">
        <v>12</v>
      </c>
      <c r="D60" s="191">
        <v>0</v>
      </c>
      <c r="E60" s="195">
        <v>8013.87</v>
      </c>
      <c r="F60" s="195">
        <v>0</v>
      </c>
      <c r="G60" s="195">
        <v>34943.79</v>
      </c>
      <c r="H60" s="5" t="s">
        <v>13</v>
      </c>
      <c r="I60" s="192">
        <f>IF(C60="Pago de Obligaciones a ARCA Tipo de Pago: ARCA VEP PENDIENTES",VLOOKUP(K60,#REF!,3,FALSE),IFERROR(IFERROR(VLOOKUP(C60,REFERENCIAS!C:H,4,FALSE),VLOOKUP(H60,REFERENCIAS!B:H,5,FALSE)&amp;(" (revisar)")),0))</f>
        <v>0</v>
      </c>
      <c r="J60" s="192" t="str">
        <f>IF(C60="Pago de Obligaciones a ARCA Tipo de Pago: ARCA VEP PENDIENTES",VLOOKUP(E60,#REF!,6,FALSE),IFERROR(IFERROR(VLOOKUP(C60,REFERENCIAS!C:H,2,FALSE),VLOOKUP(H60,REFERENCIAS!B:H,3,FALSE)&amp;(" (revisar)")),0))</f>
        <v>GASTOS</v>
      </c>
      <c r="K60" t="str">
        <f>IF(C60="Pago de Obligaciones a ARCA Tipo de Pago: ARCA VEP PENDIENTES",VLOOKUP(E60,#REF!,7,FALSE),IFERROR(IFERROR(VLOOKUP(C60,REFERENCIAS!C:H,3,FALSE),VLOOKUP(H60,REFERENCIAS!B:H,4,FALSE)&amp;(" (revisar)")),0))</f>
        <v>IMP. L.25413-DEB</v>
      </c>
      <c r="N60" s="20">
        <f t="shared" si="1"/>
        <v>-564903.41000000038</v>
      </c>
      <c r="O60" s="20">
        <f t="shared" si="13"/>
        <v>0</v>
      </c>
      <c r="P60" s="20">
        <f t="shared" si="13"/>
        <v>0</v>
      </c>
      <c r="Q60" s="20">
        <f t="shared" si="13"/>
        <v>0</v>
      </c>
      <c r="R60" s="20">
        <f t="shared" si="13"/>
        <v>0</v>
      </c>
      <c r="S60" s="20">
        <f t="shared" si="13"/>
        <v>0</v>
      </c>
      <c r="T60" s="20">
        <f t="shared" si="13"/>
        <v>0</v>
      </c>
      <c r="U60" s="20">
        <f t="shared" si="13"/>
        <v>0</v>
      </c>
      <c r="V60" s="20">
        <f t="shared" si="13"/>
        <v>0</v>
      </c>
      <c r="W60" s="20">
        <f t="shared" si="13"/>
        <v>0</v>
      </c>
      <c r="X60" s="20">
        <f t="shared" si="13"/>
        <v>-8013.87</v>
      </c>
      <c r="Y60" s="20">
        <f t="shared" si="13"/>
        <v>0</v>
      </c>
      <c r="Z60" s="20">
        <f t="shared" si="13"/>
        <v>0</v>
      </c>
      <c r="AA60" s="20">
        <f t="shared" si="13"/>
        <v>0</v>
      </c>
      <c r="AB60" s="20">
        <f t="shared" si="13"/>
        <v>0</v>
      </c>
      <c r="AC60" s="20">
        <f t="shared" si="13"/>
        <v>0</v>
      </c>
      <c r="AD60" s="20">
        <f t="shared" si="13"/>
        <v>0</v>
      </c>
      <c r="AE60" s="20">
        <f t="shared" si="12"/>
        <v>0</v>
      </c>
      <c r="AF60" s="20">
        <f t="shared" si="12"/>
        <v>0</v>
      </c>
    </row>
    <row r="61" spans="2:32">
      <c r="B61" s="191" t="s">
        <v>136</v>
      </c>
      <c r="C61" s="10" t="s">
        <v>51</v>
      </c>
      <c r="D61" s="191">
        <v>87332</v>
      </c>
      <c r="E61" s="195">
        <v>0</v>
      </c>
      <c r="F61" s="195">
        <v>14.18</v>
      </c>
      <c r="G61" s="195">
        <v>42957.66</v>
      </c>
      <c r="H61" s="5">
        <v>947</v>
      </c>
      <c r="I61" s="192">
        <f>IF(C61="Pago de Obligaciones a ARCA Tipo de Pago: ARCA VEP PENDIENTES",VLOOKUP(K61,#REF!,3,FALSE),IFERROR(IFERROR(VLOOKUP(C61,REFERENCIAS!C:H,4,FALSE),VLOOKUP(H61,REFERENCIAS!B:H,5,FALSE)&amp;(" (revisar)")),0))</f>
        <v>0</v>
      </c>
      <c r="J61" s="192" t="str">
        <f>IF(C61="Pago de Obligaciones a ARCA Tipo de Pago: ARCA VEP PENDIENTES",VLOOKUP(E61,#REF!,6,FALSE),IFERROR(IFERROR(VLOOKUP(C61,REFERENCIAS!C:H,2,FALSE),VLOOKUP(H61,REFERENCIAS!B:H,3,FALSE)&amp;(" (revisar)")),0))</f>
        <v>TESORERIA</v>
      </c>
      <c r="K61" t="str">
        <f>IF(C61="Pago de Obligaciones a ARCA Tipo de Pago: ARCA VEP PENDIENTES",VLOOKUP(E61,#REF!,7,FALSE),IFERROR(IFERROR(VLOOKUP(C61,REFERENCIAS!C:H,3,FALSE),VLOOKUP(H61,REFERENCIAS!B:H,4,FALSE)&amp;(" (revisar)")),0))</f>
        <v>FCI</v>
      </c>
      <c r="N61" s="20">
        <f t="shared" si="1"/>
        <v>-564889.23000000033</v>
      </c>
      <c r="O61" s="20">
        <f t="shared" si="13"/>
        <v>0</v>
      </c>
      <c r="P61" s="20">
        <f t="shared" si="13"/>
        <v>0</v>
      </c>
      <c r="Q61" s="20">
        <f t="shared" si="13"/>
        <v>0</v>
      </c>
      <c r="R61" s="20">
        <f t="shared" si="13"/>
        <v>0</v>
      </c>
      <c r="S61" s="20">
        <f t="shared" si="13"/>
        <v>0</v>
      </c>
      <c r="T61" s="20">
        <f t="shared" si="13"/>
        <v>14.18</v>
      </c>
      <c r="U61" s="20">
        <f t="shared" si="13"/>
        <v>0</v>
      </c>
      <c r="V61" s="20">
        <f t="shared" si="13"/>
        <v>0</v>
      </c>
      <c r="W61" s="20">
        <f t="shared" si="13"/>
        <v>0</v>
      </c>
      <c r="X61" s="20">
        <f t="shared" si="13"/>
        <v>0</v>
      </c>
      <c r="Y61" s="20">
        <f t="shared" si="13"/>
        <v>0</v>
      </c>
      <c r="Z61" s="20">
        <f t="shared" si="13"/>
        <v>0</v>
      </c>
      <c r="AA61" s="20">
        <f t="shared" si="13"/>
        <v>0</v>
      </c>
      <c r="AB61" s="20">
        <f t="shared" si="13"/>
        <v>0</v>
      </c>
      <c r="AC61" s="20">
        <f t="shared" si="13"/>
        <v>0</v>
      </c>
      <c r="AD61" s="20">
        <f t="shared" si="13"/>
        <v>0</v>
      </c>
      <c r="AE61" s="20">
        <f t="shared" si="12"/>
        <v>0</v>
      </c>
      <c r="AF61" s="20">
        <f t="shared" si="12"/>
        <v>0</v>
      </c>
    </row>
    <row r="62" spans="2:32">
      <c r="B62" s="191" t="s">
        <v>136</v>
      </c>
      <c r="C62" s="10" t="s">
        <v>109</v>
      </c>
      <c r="D62" s="191">
        <v>12</v>
      </c>
      <c r="E62" s="195">
        <v>111385.65</v>
      </c>
      <c r="F62" s="195">
        <v>0</v>
      </c>
      <c r="G62" s="195">
        <v>42943.48</v>
      </c>
      <c r="H62" s="5">
        <v>485</v>
      </c>
      <c r="I62" s="192">
        <f>IF(C62="Pago de Obligaciones a ARCA Tipo de Pago: ARCA VEP PENDIENTES",VLOOKUP(K62,#REF!,3,FALSE),IFERROR(IFERROR(VLOOKUP(C62,REFERENCIAS!C:H,4,FALSE),VLOOKUP(H62,REFERENCIAS!B:H,5,FALSE)&amp;(" (revisar)")),0))</f>
        <v>0</v>
      </c>
      <c r="J62" s="192" t="str">
        <f>IF(C62="Pago de Obligaciones a ARCA Tipo de Pago: ARCA VEP PENDIENTES",VLOOKUP(E62,#REF!,6,FALSE),IFERROR(IFERROR(VLOOKUP(C62,REFERENCIAS!C:H,2,FALSE),VLOOKUP(H62,REFERENCIAS!B:H,3,FALSE)&amp;(" (revisar)")),0))</f>
        <v>PAGOS</v>
      </c>
      <c r="K62" t="str">
        <f>IF(C62="Pago de Obligaciones a ARCA Tipo de Pago: ARCA VEP PENDIENTES",VLOOKUP(E62,#REF!,7,FALSE),IFERROR(IFERROR(VLOOKUP(C62,REFERENCIAS!C:H,3,FALSE),VLOOKUP(H62,REFERENCIAS!B:H,4,FALSE)&amp;(" (revisar)")),0))</f>
        <v>Proveedores</v>
      </c>
      <c r="N62" s="20">
        <f t="shared" si="1"/>
        <v>-676274.88000000035</v>
      </c>
      <c r="O62" s="20">
        <f t="shared" si="13"/>
        <v>0</v>
      </c>
      <c r="P62" s="20">
        <f t="shared" si="13"/>
        <v>0</v>
      </c>
      <c r="Q62" s="20">
        <f t="shared" si="13"/>
        <v>0</v>
      </c>
      <c r="R62" s="20">
        <f t="shared" si="13"/>
        <v>0</v>
      </c>
      <c r="S62" s="20">
        <f t="shared" si="13"/>
        <v>0</v>
      </c>
      <c r="T62" s="20">
        <f t="shared" si="13"/>
        <v>0</v>
      </c>
      <c r="U62" s="20">
        <f t="shared" si="13"/>
        <v>-111385.65</v>
      </c>
      <c r="V62" s="20">
        <f t="shared" si="13"/>
        <v>0</v>
      </c>
      <c r="W62" s="20">
        <f t="shared" si="13"/>
        <v>0</v>
      </c>
      <c r="X62" s="20">
        <f t="shared" si="13"/>
        <v>0</v>
      </c>
      <c r="Y62" s="20">
        <f t="shared" si="13"/>
        <v>0</v>
      </c>
      <c r="Z62" s="20">
        <f t="shared" si="13"/>
        <v>0</v>
      </c>
      <c r="AA62" s="20">
        <f t="shared" si="13"/>
        <v>0</v>
      </c>
      <c r="AB62" s="20">
        <f t="shared" si="13"/>
        <v>0</v>
      </c>
      <c r="AC62" s="20">
        <f t="shared" si="13"/>
        <v>0</v>
      </c>
      <c r="AD62" s="20">
        <f t="shared" si="13"/>
        <v>0</v>
      </c>
      <c r="AE62" s="20">
        <f t="shared" si="12"/>
        <v>0</v>
      </c>
      <c r="AF62" s="20">
        <f t="shared" si="12"/>
        <v>0</v>
      </c>
    </row>
    <row r="63" spans="2:32">
      <c r="B63" s="191" t="s">
        <v>136</v>
      </c>
      <c r="C63" s="10" t="s">
        <v>37</v>
      </c>
      <c r="D63" s="191">
        <v>484729</v>
      </c>
      <c r="E63" s="195">
        <v>10665.57</v>
      </c>
      <c r="F63" s="195">
        <v>0</v>
      </c>
      <c r="G63" s="195">
        <v>154329.13</v>
      </c>
      <c r="H63" s="5">
        <v>382</v>
      </c>
      <c r="I63" s="192">
        <f>IF(C63="Pago de Obligaciones a ARCA Tipo de Pago: ARCA VEP PENDIENTES",VLOOKUP(K63,#REF!,3,FALSE),IFERROR(IFERROR(VLOOKUP(C63,REFERENCIAS!C:H,4,FALSE),VLOOKUP(H63,REFERENCIAS!B:H,5,FALSE)&amp;(" (revisar)")),0))</f>
        <v>0</v>
      </c>
      <c r="J63" s="192" t="str">
        <f>IF(C63="Pago de Obligaciones a ARCA Tipo de Pago: ARCA VEP PENDIENTES",VLOOKUP(E63,#REF!,6,FALSE),IFERROR(IFERROR(VLOOKUP(C63,REFERENCIAS!C:H,2,FALSE),VLOOKUP(H63,REFERENCIAS!B:H,3,FALSE)&amp;(" (revisar)")),0))</f>
        <v>PAGOS</v>
      </c>
      <c r="K63" t="str">
        <f>IF(C63="Pago de Obligaciones a ARCA Tipo de Pago: ARCA VEP PENDIENTES",VLOOKUP(E63,#REF!,7,FALSE),IFERROR(IFERROR(VLOOKUP(C63,REFERENCIAS!C:H,3,FALSE),VLOOKUP(H63,REFERENCIAS!B:H,4,FALSE)&amp;(" (revisar)")),0))</f>
        <v>Proveedores</v>
      </c>
      <c r="N63" s="20">
        <f t="shared" si="1"/>
        <v>-686940.4500000003</v>
      </c>
      <c r="O63" s="20">
        <f t="shared" si="13"/>
        <v>0</v>
      </c>
      <c r="P63" s="20">
        <f t="shared" si="13"/>
        <v>0</v>
      </c>
      <c r="Q63" s="20">
        <f t="shared" si="13"/>
        <v>0</v>
      </c>
      <c r="R63" s="20">
        <f t="shared" si="13"/>
        <v>0</v>
      </c>
      <c r="S63" s="20">
        <f t="shared" si="13"/>
        <v>0</v>
      </c>
      <c r="T63" s="20">
        <f t="shared" si="13"/>
        <v>0</v>
      </c>
      <c r="U63" s="20">
        <f t="shared" si="13"/>
        <v>-10665.57</v>
      </c>
      <c r="V63" s="20">
        <f t="shared" si="13"/>
        <v>0</v>
      </c>
      <c r="W63" s="20">
        <f t="shared" si="13"/>
        <v>0</v>
      </c>
      <c r="X63" s="20">
        <f t="shared" si="13"/>
        <v>0</v>
      </c>
      <c r="Y63" s="20">
        <f t="shared" si="13"/>
        <v>0</v>
      </c>
      <c r="Z63" s="20">
        <f t="shared" si="13"/>
        <v>0</v>
      </c>
      <c r="AA63" s="20">
        <f t="shared" si="13"/>
        <v>0</v>
      </c>
      <c r="AB63" s="20">
        <f t="shared" si="13"/>
        <v>0</v>
      </c>
      <c r="AC63" s="20">
        <f t="shared" si="13"/>
        <v>0</v>
      </c>
      <c r="AD63" s="20">
        <f t="shared" si="13"/>
        <v>0</v>
      </c>
      <c r="AE63" s="20">
        <f t="shared" si="12"/>
        <v>0</v>
      </c>
      <c r="AF63" s="20">
        <f t="shared" si="12"/>
        <v>0</v>
      </c>
    </row>
    <row r="64" spans="2:32">
      <c r="B64" s="191" t="s">
        <v>136</v>
      </c>
      <c r="C64" s="10" t="s">
        <v>37</v>
      </c>
      <c r="D64" s="191">
        <v>724068</v>
      </c>
      <c r="E64" s="195">
        <v>205426.41</v>
      </c>
      <c r="F64" s="195">
        <v>0</v>
      </c>
      <c r="G64" s="195">
        <v>1166994.7</v>
      </c>
      <c r="H64" s="5">
        <v>382</v>
      </c>
      <c r="I64" s="192">
        <f>IF(C64="Pago de Obligaciones a ARCA Tipo de Pago: ARCA VEP PENDIENTES",VLOOKUP(K64,#REF!,3,FALSE),IFERROR(IFERROR(VLOOKUP(C64,REFERENCIAS!C:H,4,FALSE),VLOOKUP(H64,REFERENCIAS!B:H,5,FALSE)&amp;(" (revisar)")),0))</f>
        <v>0</v>
      </c>
      <c r="J64" s="192" t="str">
        <f>IF(C64="Pago de Obligaciones a ARCA Tipo de Pago: ARCA VEP PENDIENTES",VLOOKUP(E64,#REF!,6,FALSE),IFERROR(IFERROR(VLOOKUP(C64,REFERENCIAS!C:H,2,FALSE),VLOOKUP(H64,REFERENCIAS!B:H,3,FALSE)&amp;(" (revisar)")),0))</f>
        <v>PAGOS</v>
      </c>
      <c r="K64" t="str">
        <f>IF(C64="Pago de Obligaciones a ARCA Tipo de Pago: ARCA VEP PENDIENTES",VLOOKUP(E64,#REF!,7,FALSE),IFERROR(IFERROR(VLOOKUP(C64,REFERENCIAS!C:H,3,FALSE),VLOOKUP(H64,REFERENCIAS!B:H,4,FALSE)&amp;(" (revisar)")),0))</f>
        <v>Proveedores</v>
      </c>
      <c r="N64" s="20">
        <f t="shared" si="1"/>
        <v>-892366.86000000034</v>
      </c>
      <c r="O64" s="20">
        <f t="shared" si="13"/>
        <v>0</v>
      </c>
      <c r="P64" s="20">
        <f t="shared" si="13"/>
        <v>0</v>
      </c>
      <c r="Q64" s="20">
        <f t="shared" si="13"/>
        <v>0</v>
      </c>
      <c r="R64" s="20">
        <f t="shared" si="13"/>
        <v>0</v>
      </c>
      <c r="S64" s="20">
        <f t="shared" si="13"/>
        <v>0</v>
      </c>
      <c r="T64" s="20">
        <f t="shared" si="13"/>
        <v>0</v>
      </c>
      <c r="U64" s="20">
        <f t="shared" si="13"/>
        <v>-205426.41</v>
      </c>
      <c r="V64" s="20">
        <f t="shared" si="13"/>
        <v>0</v>
      </c>
      <c r="W64" s="20">
        <f t="shared" si="13"/>
        <v>0</v>
      </c>
      <c r="X64" s="20">
        <f t="shared" si="13"/>
        <v>0</v>
      </c>
      <c r="Y64" s="20">
        <f t="shared" si="13"/>
        <v>0</v>
      </c>
      <c r="Z64" s="20">
        <f t="shared" si="13"/>
        <v>0</v>
      </c>
      <c r="AA64" s="20">
        <f t="shared" si="13"/>
        <v>0</v>
      </c>
      <c r="AB64" s="20">
        <f t="shared" si="13"/>
        <v>0</v>
      </c>
      <c r="AC64" s="20">
        <f t="shared" si="13"/>
        <v>0</v>
      </c>
      <c r="AD64" s="20">
        <f t="shared" si="13"/>
        <v>0</v>
      </c>
      <c r="AE64" s="20">
        <f t="shared" si="12"/>
        <v>0</v>
      </c>
      <c r="AF64" s="20">
        <f t="shared" si="12"/>
        <v>0</v>
      </c>
    </row>
    <row r="65" spans="1:33">
      <c r="B65" s="191" t="s">
        <v>136</v>
      </c>
      <c r="C65" s="10" t="s">
        <v>26</v>
      </c>
      <c r="D65" s="191">
        <v>76102</v>
      </c>
      <c r="E65" s="195">
        <v>0</v>
      </c>
      <c r="F65" s="195">
        <v>1100119.3400000001</v>
      </c>
      <c r="G65" s="195">
        <v>1372421.11</v>
      </c>
      <c r="H65" s="5">
        <v>940</v>
      </c>
      <c r="I65" s="192">
        <f>IF(C65="Pago de Obligaciones a ARCA Tipo de Pago: ARCA VEP PENDIENTES",VLOOKUP(K65,#REF!,3,FALSE),IFERROR(IFERROR(VLOOKUP(C65,REFERENCIAS!C:H,4,FALSE),VLOOKUP(H65,REFERENCIAS!B:H,5,FALSE)&amp;(" (revisar)")),0))</f>
        <v>0</v>
      </c>
      <c r="J65" s="192" t="str">
        <f>IF(C65="Pago de Obligaciones a ARCA Tipo de Pago: ARCA VEP PENDIENTES",VLOOKUP(E65,#REF!,6,FALSE),IFERROR(IFERROR(VLOOKUP(C65,REFERENCIAS!C:H,2,FALSE),VLOOKUP(H65,REFERENCIAS!B:H,3,FALSE)&amp;(" (revisar)")),0))</f>
        <v>TESORERIA</v>
      </c>
      <c r="K65" t="str">
        <f>IF(C65="Pago de Obligaciones a ARCA Tipo de Pago: ARCA VEP PENDIENTES",VLOOKUP(E65,#REF!,7,FALSE),IFERROR(IFERROR(VLOOKUP(C65,REFERENCIAS!C:H,3,FALSE),VLOOKUP(H65,REFERENCIAS!B:H,4,FALSE)&amp;(" (revisar)")),0))</f>
        <v>FCI</v>
      </c>
      <c r="N65" s="20">
        <f t="shared" si="1"/>
        <v>207752.47999999975</v>
      </c>
      <c r="O65" s="20">
        <f t="shared" si="13"/>
        <v>0</v>
      </c>
      <c r="P65" s="20">
        <f t="shared" si="13"/>
        <v>0</v>
      </c>
      <c r="Q65" s="20">
        <f t="shared" si="13"/>
        <v>0</v>
      </c>
      <c r="R65" s="20">
        <f t="shared" si="13"/>
        <v>0</v>
      </c>
      <c r="S65" s="20">
        <f t="shared" si="13"/>
        <v>0</v>
      </c>
      <c r="T65" s="20">
        <f t="shared" si="13"/>
        <v>1100119.3400000001</v>
      </c>
      <c r="U65" s="20">
        <f t="shared" si="13"/>
        <v>0</v>
      </c>
      <c r="V65" s="20">
        <f t="shared" si="13"/>
        <v>0</v>
      </c>
      <c r="W65" s="20">
        <f t="shared" si="13"/>
        <v>0</v>
      </c>
      <c r="X65" s="20">
        <f t="shared" si="13"/>
        <v>0</v>
      </c>
      <c r="Y65" s="20">
        <f t="shared" si="13"/>
        <v>0</v>
      </c>
      <c r="Z65" s="20">
        <f t="shared" si="13"/>
        <v>0</v>
      </c>
      <c r="AA65" s="20">
        <f t="shared" si="13"/>
        <v>0</v>
      </c>
      <c r="AB65" s="20">
        <f t="shared" si="13"/>
        <v>0</v>
      </c>
      <c r="AC65" s="20">
        <f t="shared" si="13"/>
        <v>0</v>
      </c>
      <c r="AD65" s="20">
        <f t="shared" si="13"/>
        <v>0</v>
      </c>
      <c r="AE65" s="20">
        <f t="shared" si="12"/>
        <v>0</v>
      </c>
      <c r="AF65" s="20">
        <f t="shared" si="12"/>
        <v>0</v>
      </c>
    </row>
    <row r="66" spans="1:33">
      <c r="B66" s="191" t="s">
        <v>136</v>
      </c>
      <c r="C66" s="10" t="s">
        <v>9</v>
      </c>
      <c r="D66" s="191">
        <v>253075</v>
      </c>
      <c r="E66" s="195">
        <v>5930</v>
      </c>
      <c r="F66" s="195">
        <v>0</v>
      </c>
      <c r="G66" s="195">
        <v>272301.77</v>
      </c>
      <c r="H66" s="5">
        <v>518</v>
      </c>
      <c r="I66" s="192">
        <f>IF(C66="Pago de Obligaciones a ARCA Tipo de Pago: ARCA VEP PENDIENTES",VLOOKUP(K66,#REF!,3,FALSE),IFERROR(IFERROR(VLOOKUP(C66,REFERENCIAS!C:H,4,FALSE),VLOOKUP(H66,REFERENCIAS!B:H,5,FALSE)&amp;(" (revisar)")),0))</f>
        <v>0</v>
      </c>
      <c r="J66" s="192" t="str">
        <f>IF(C66="Pago de Obligaciones a ARCA Tipo de Pago: ARCA VEP PENDIENTES",VLOOKUP(E66,#REF!,6,FALSE),IFERROR(IFERROR(VLOOKUP(C66,REFERENCIAS!C:H,2,FALSE),VLOOKUP(H66,REFERENCIAS!B:H,3,FALSE)&amp;(" (revisar)")),0))</f>
        <v>GASTOS</v>
      </c>
      <c r="K66" t="str">
        <f>IF(C66="Pago de Obligaciones a ARCA Tipo de Pago: ARCA VEP PENDIENTES",VLOOKUP(E66,#REF!,7,FALSE),IFERROR(IFERROR(VLOOKUP(C66,REFERENCIAS!C:H,3,FALSE),VLOOKUP(H66,REFERENCIAS!B:H,4,FALSE)&amp;(" (revisar)")),0))</f>
        <v xml:space="preserve">Comisiones y Gastos Bancarios </v>
      </c>
      <c r="N66" s="20">
        <f t="shared" si="1"/>
        <v>201822.47999999975</v>
      </c>
      <c r="O66" s="20">
        <f t="shared" si="13"/>
        <v>0</v>
      </c>
      <c r="P66" s="20">
        <f t="shared" si="13"/>
        <v>0</v>
      </c>
      <c r="Q66" s="20">
        <f t="shared" si="13"/>
        <v>0</v>
      </c>
      <c r="R66" s="20">
        <f t="shared" si="13"/>
        <v>0</v>
      </c>
      <c r="S66" s="20">
        <f t="shared" si="13"/>
        <v>0</v>
      </c>
      <c r="T66" s="20">
        <f t="shared" si="13"/>
        <v>0</v>
      </c>
      <c r="U66" s="20">
        <f t="shared" si="13"/>
        <v>0</v>
      </c>
      <c r="V66" s="20">
        <f t="shared" si="13"/>
        <v>0</v>
      </c>
      <c r="W66" s="20">
        <f t="shared" si="13"/>
        <v>-5930</v>
      </c>
      <c r="X66" s="20">
        <f t="shared" si="13"/>
        <v>0</v>
      </c>
      <c r="Y66" s="20">
        <f t="shared" si="13"/>
        <v>0</v>
      </c>
      <c r="Z66" s="20">
        <f t="shared" si="13"/>
        <v>0</v>
      </c>
      <c r="AA66" s="20">
        <f t="shared" si="13"/>
        <v>0</v>
      </c>
      <c r="AB66" s="20">
        <f t="shared" si="13"/>
        <v>0</v>
      </c>
      <c r="AC66" s="20">
        <f t="shared" si="13"/>
        <v>0</v>
      </c>
      <c r="AD66" s="20">
        <f t="shared" si="13"/>
        <v>0</v>
      </c>
      <c r="AE66" s="20">
        <f t="shared" si="12"/>
        <v>0</v>
      </c>
      <c r="AF66" s="20">
        <f t="shared" si="12"/>
        <v>0</v>
      </c>
    </row>
    <row r="67" spans="1:33">
      <c r="B67" s="191" t="s">
        <v>136</v>
      </c>
      <c r="C67" s="10" t="s">
        <v>109</v>
      </c>
      <c r="D67" s="191">
        <v>796308</v>
      </c>
      <c r="E67" s="195">
        <v>196</v>
      </c>
      <c r="F67" s="195">
        <v>0</v>
      </c>
      <c r="G67" s="195">
        <v>278231.77</v>
      </c>
      <c r="H67" s="5">
        <v>356</v>
      </c>
      <c r="I67" s="192">
        <f>IF(C67="Pago de Obligaciones a ARCA Tipo de Pago: ARCA VEP PENDIENTES",VLOOKUP(K67,#REF!,3,FALSE),IFERROR(IFERROR(VLOOKUP(C67,REFERENCIAS!C:H,4,FALSE),VLOOKUP(H67,REFERENCIAS!B:H,5,FALSE)&amp;(" (revisar)")),0))</f>
        <v>0</v>
      </c>
      <c r="J67" s="192" t="str">
        <f>IF(C67="Pago de Obligaciones a ARCA Tipo de Pago: ARCA VEP PENDIENTES",VLOOKUP(E67,#REF!,6,FALSE),IFERROR(IFERROR(VLOOKUP(C67,REFERENCIAS!C:H,2,FALSE),VLOOKUP(H67,REFERENCIAS!B:H,3,FALSE)&amp;(" (revisar)")),0))</f>
        <v>PAGOS</v>
      </c>
      <c r="K67" t="str">
        <f>IF(C67="Pago de Obligaciones a ARCA Tipo de Pago: ARCA VEP PENDIENTES",VLOOKUP(E67,#REF!,7,FALSE),IFERROR(IFERROR(VLOOKUP(C67,REFERENCIAS!C:H,3,FALSE),VLOOKUP(H67,REFERENCIAS!B:H,4,FALSE)&amp;(" (revisar)")),0))</f>
        <v>Proveedores</v>
      </c>
      <c r="N67" s="20">
        <f t="shared" ref="N67:N69" si="14">N66-E67+F67</f>
        <v>201626.47999999975</v>
      </c>
      <c r="O67" s="20">
        <f t="shared" si="13"/>
        <v>0</v>
      </c>
      <c r="P67" s="20">
        <f t="shared" si="13"/>
        <v>0</v>
      </c>
      <c r="Q67" s="20">
        <f t="shared" si="13"/>
        <v>0</v>
      </c>
      <c r="R67" s="20">
        <f t="shared" si="13"/>
        <v>0</v>
      </c>
      <c r="S67" s="20">
        <f t="shared" si="13"/>
        <v>0</v>
      </c>
      <c r="T67" s="20">
        <f t="shared" si="13"/>
        <v>0</v>
      </c>
      <c r="U67" s="20">
        <f t="shared" si="13"/>
        <v>-196</v>
      </c>
      <c r="V67" s="20">
        <f t="shared" si="13"/>
        <v>0</v>
      </c>
      <c r="W67" s="20">
        <f t="shared" si="13"/>
        <v>0</v>
      </c>
      <c r="X67" s="20">
        <f t="shared" si="13"/>
        <v>0</v>
      </c>
      <c r="Y67" s="20">
        <f t="shared" si="13"/>
        <v>0</v>
      </c>
      <c r="Z67" s="20">
        <f t="shared" si="13"/>
        <v>0</v>
      </c>
      <c r="AA67" s="20">
        <f t="shared" si="13"/>
        <v>0</v>
      </c>
      <c r="AB67" s="20">
        <f t="shared" si="13"/>
        <v>0</v>
      </c>
      <c r="AC67" s="20">
        <f t="shared" si="13"/>
        <v>0</v>
      </c>
      <c r="AD67" s="20">
        <f t="shared" si="13"/>
        <v>0</v>
      </c>
      <c r="AE67" s="20">
        <f t="shared" si="12"/>
        <v>0</v>
      </c>
      <c r="AF67" s="20">
        <f t="shared" si="12"/>
        <v>0</v>
      </c>
    </row>
    <row r="68" spans="1:33" ht="16.899999999999999" customHeight="1" thickBot="1">
      <c r="A68" s="186"/>
      <c r="B68" s="186"/>
      <c r="C68" s="222"/>
      <c r="D68" s="186"/>
      <c r="E68" s="186"/>
      <c r="F68" s="186"/>
      <c r="G68" s="186"/>
      <c r="H68" s="186"/>
      <c r="I68" s="186"/>
      <c r="J68" s="186"/>
      <c r="K68" s="186"/>
      <c r="L68" s="186"/>
      <c r="M68" s="186"/>
      <c r="N68" s="186"/>
      <c r="O68" s="186"/>
      <c r="P68" s="186"/>
      <c r="Q68" s="186"/>
      <c r="R68" s="186"/>
      <c r="S68" s="186"/>
      <c r="T68" s="186"/>
      <c r="U68" s="186"/>
      <c r="V68" s="186"/>
      <c r="W68" s="186"/>
      <c r="X68" s="186"/>
      <c r="Y68" s="186"/>
      <c r="Z68" s="186"/>
      <c r="AA68" s="186"/>
      <c r="AB68" s="186"/>
      <c r="AC68" s="186"/>
      <c r="AD68" s="186"/>
      <c r="AE68" s="186"/>
      <c r="AF68" s="184"/>
      <c r="AG68" s="184"/>
    </row>
    <row r="69" spans="1:33" ht="16.899999999999999" customHeight="1">
      <c r="A69" s="169"/>
      <c r="B69" s="221" t="s">
        <v>105</v>
      </c>
      <c r="C69" s="223"/>
      <c r="D69" s="169"/>
      <c r="E69" s="224">
        <f>SUM(E2:E68)</f>
        <v>2867783.58</v>
      </c>
      <c r="F69" s="224">
        <f>SUM(F2:F68)</f>
        <v>2790982.29</v>
      </c>
      <c r="G69" s="224"/>
      <c r="H69" s="169"/>
      <c r="I69" s="169"/>
      <c r="J69" s="169"/>
      <c r="K69" s="169"/>
      <c r="L69" s="169"/>
      <c r="M69" s="169"/>
      <c r="N69" s="1">
        <v>201626.47999999975</v>
      </c>
      <c r="O69" s="169">
        <f>SUM(O2:O67)</f>
        <v>0</v>
      </c>
      <c r="P69" s="169">
        <f t="shared" ref="P69:AF69" si="15">SUM(P2:P67)</f>
        <v>1524880.0999999999</v>
      </c>
      <c r="Q69" s="169">
        <f t="shared" si="15"/>
        <v>0</v>
      </c>
      <c r="R69" s="169">
        <f t="shared" si="15"/>
        <v>76424.34</v>
      </c>
      <c r="S69" s="169">
        <f t="shared" si="15"/>
        <v>-1254007.8899999999</v>
      </c>
      <c r="T69" s="169">
        <f t="shared" si="15"/>
        <v>1189677.8500000001</v>
      </c>
      <c r="U69" s="169">
        <f t="shared" si="15"/>
        <v>-797265.45</v>
      </c>
      <c r="V69" s="169">
        <f t="shared" si="15"/>
        <v>-160000</v>
      </c>
      <c r="W69" s="169">
        <f t="shared" si="15"/>
        <v>-56364.39</v>
      </c>
      <c r="X69" s="169">
        <f t="shared" si="15"/>
        <v>-308879.8</v>
      </c>
      <c r="Y69" s="169">
        <f t="shared" si="15"/>
        <v>-279402.15999999997</v>
      </c>
      <c r="Z69" s="169">
        <f t="shared" si="15"/>
        <v>-10205.16</v>
      </c>
      <c r="AA69" s="169">
        <f t="shared" si="15"/>
        <v>-308.73</v>
      </c>
      <c r="AB69" s="169">
        <f t="shared" si="15"/>
        <v>0</v>
      </c>
      <c r="AC69" s="169">
        <f t="shared" si="15"/>
        <v>0</v>
      </c>
      <c r="AD69" s="169">
        <f t="shared" si="15"/>
        <v>-1350</v>
      </c>
      <c r="AE69" s="169">
        <f t="shared" si="15"/>
        <v>0</v>
      </c>
      <c r="AF69" s="169">
        <f t="shared" si="15"/>
        <v>0</v>
      </c>
      <c r="AG69" s="17"/>
    </row>
    <row r="70" spans="1:33" ht="16.899999999999999" customHeight="1">
      <c r="A70" s="158"/>
      <c r="B70" s="159"/>
      <c r="C70" s="162"/>
      <c r="D70" s="159"/>
      <c r="E70" s="160"/>
      <c r="F70" s="160"/>
      <c r="G70" s="160"/>
      <c r="H70" s="161"/>
      <c r="I70" s="158"/>
      <c r="K70" s="17"/>
      <c r="L70" s="17"/>
      <c r="M70" s="31"/>
      <c r="N70" s="163">
        <f>ROUND(N67-N69,2)</f>
        <v>0</v>
      </c>
    </row>
    <row r="71" spans="1:33" s="17" customFormat="1">
      <c r="A71" s="146"/>
      <c r="B71" s="2" t="s">
        <v>97</v>
      </c>
      <c r="C71" s="170" t="s">
        <v>98</v>
      </c>
      <c r="D71" s="171"/>
      <c r="E71" s="172">
        <f>+$N$1</f>
        <v>278427.77</v>
      </c>
      <c r="F71" s="173"/>
      <c r="G71" s="20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3" s="17" customFormat="1">
      <c r="A72" s="146"/>
      <c r="B72" s="225" t="s">
        <v>118</v>
      </c>
      <c r="C72" s="17" t="s">
        <v>55</v>
      </c>
      <c r="E72" s="84">
        <f>O69</f>
        <v>0</v>
      </c>
      <c r="F72" s="84"/>
      <c r="G72" s="20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3" s="17" customFormat="1">
      <c r="A73" s="146"/>
      <c r="B73" s="15" t="s">
        <v>97</v>
      </c>
      <c r="C73" s="17" t="s">
        <v>106</v>
      </c>
      <c r="E73" s="84">
        <f>P69</f>
        <v>1524880.0999999999</v>
      </c>
      <c r="F73" s="84"/>
      <c r="G73" s="20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3" s="17" customFormat="1">
      <c r="A74" s="146"/>
      <c r="B74" s="15" t="s">
        <v>97</v>
      </c>
      <c r="C74" s="17" t="s">
        <v>93</v>
      </c>
      <c r="E74" s="84">
        <f>AF69</f>
        <v>0</v>
      </c>
      <c r="F74" s="84"/>
      <c r="G74" s="20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3" s="17" customFormat="1">
      <c r="A75" s="146"/>
      <c r="B75" s="15" t="s">
        <v>97</v>
      </c>
      <c r="C75" s="17" t="s">
        <v>56</v>
      </c>
      <c r="E75" s="84">
        <f>Q69</f>
        <v>0</v>
      </c>
      <c r="F75" s="84"/>
      <c r="G75" s="20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3" s="17" customFormat="1">
      <c r="A76" s="146"/>
      <c r="B76" s="15" t="s">
        <v>97</v>
      </c>
      <c r="C76" s="17" t="s">
        <v>74</v>
      </c>
      <c r="E76" s="84">
        <f>R69</f>
        <v>76424.34</v>
      </c>
      <c r="F76" s="84"/>
      <c r="G76" s="20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3" s="17" customFormat="1">
      <c r="A77" s="146"/>
      <c r="B77" s="15" t="s">
        <v>97</v>
      </c>
      <c r="C77" s="17" t="s">
        <v>58</v>
      </c>
      <c r="E77" s="84">
        <f>T69</f>
        <v>1189677.8500000001</v>
      </c>
      <c r="F77" s="84"/>
      <c r="G77" s="20"/>
      <c r="H77" s="31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3" s="17" customFormat="1">
      <c r="A78" s="146"/>
      <c r="B78" s="15" t="s">
        <v>97</v>
      </c>
      <c r="C78" s="174" t="s">
        <v>107</v>
      </c>
      <c r="D78" s="174"/>
      <c r="E78" s="175">
        <f>SUM(F68)</f>
        <v>0</v>
      </c>
      <c r="F78" s="84"/>
      <c r="G78" s="20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3" s="17" customFormat="1">
      <c r="A79" s="146"/>
      <c r="B79" s="15" t="s">
        <v>99</v>
      </c>
      <c r="C79" s="174" t="s">
        <v>108</v>
      </c>
      <c r="D79" s="174"/>
      <c r="E79" s="175">
        <f>E68</f>
        <v>0</v>
      </c>
      <c r="F79" s="84"/>
      <c r="G79" s="20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3" s="17" customFormat="1">
      <c r="A80" s="146"/>
      <c r="B80" s="15" t="s">
        <v>99</v>
      </c>
      <c r="C80" s="17" t="s">
        <v>75</v>
      </c>
      <c r="E80" s="84">
        <f>V69</f>
        <v>-160000</v>
      </c>
      <c r="F80" s="84"/>
      <c r="G80" s="2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s="17" customFormat="1">
      <c r="A81" s="146"/>
      <c r="B81" s="15" t="s">
        <v>99</v>
      </c>
      <c r="C81" s="17" t="s">
        <v>36</v>
      </c>
      <c r="E81" s="84">
        <f>U69</f>
        <v>-797265.45</v>
      </c>
      <c r="F81" s="84"/>
      <c r="G81" s="20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  <row r="82" spans="1:32" s="17" customFormat="1">
      <c r="A82" s="146"/>
      <c r="B82" s="15"/>
      <c r="E82" s="84"/>
      <c r="F82" s="84"/>
      <c r="G82" s="20"/>
      <c r="H82"/>
      <c r="I82"/>
      <c r="J82" s="31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</row>
    <row r="83" spans="1:32" s="17" customFormat="1">
      <c r="B83" s="15" t="s">
        <v>99</v>
      </c>
      <c r="C83" s="176" t="s">
        <v>100</v>
      </c>
      <c r="D83" s="176"/>
      <c r="E83" s="177">
        <f>SUM(W69:AE69)</f>
        <v>-656510.24</v>
      </c>
      <c r="F83" s="84"/>
      <c r="G83" s="20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</row>
    <row r="84" spans="1:32" s="17" customFormat="1">
      <c r="B84" s="15" t="s">
        <v>99</v>
      </c>
      <c r="C84" s="17" t="s">
        <v>30</v>
      </c>
      <c r="E84" s="84">
        <f>SUM(S69)</f>
        <v>-1254007.8899999999</v>
      </c>
      <c r="F84" s="84"/>
      <c r="G84" s="20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</row>
    <row r="85" spans="1:32" s="17" customFormat="1">
      <c r="C85" s="178" t="s">
        <v>101</v>
      </c>
      <c r="D85" s="178"/>
      <c r="E85" s="179">
        <f>ROUND(SUM(E71:E84),2)</f>
        <v>201626.48</v>
      </c>
      <c r="F85" s="84"/>
      <c r="G85" s="20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</row>
    <row r="86" spans="1:32" s="17" customFormat="1">
      <c r="B86"/>
      <c r="C86"/>
      <c r="D86"/>
      <c r="E86"/>
      <c r="F86" s="84"/>
      <c r="G86" s="20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</row>
    <row r="87" spans="1:32" s="17" customFormat="1">
      <c r="B87"/>
      <c r="C87"/>
      <c r="D87"/>
      <c r="E87"/>
      <c r="F87" s="84"/>
      <c r="G87" s="20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</row>
    <row r="88" spans="1:32" s="17" customFormat="1">
      <c r="B88"/>
      <c r="C88"/>
      <c r="D88"/>
      <c r="E88"/>
      <c r="F88" s="84"/>
      <c r="G88" s="20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</row>
    <row r="89" spans="1:32" s="17" customFormat="1">
      <c r="B89"/>
      <c r="C89"/>
      <c r="D89"/>
      <c r="E89"/>
      <c r="F89" s="84"/>
      <c r="G89" s="20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</row>
    <row r="90" spans="1:32" s="17" customFormat="1">
      <c r="B90"/>
      <c r="C90"/>
      <c r="D90"/>
      <c r="E90"/>
      <c r="F90"/>
      <c r="G90" s="2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</row>
    <row r="91" spans="1:32" s="17" customFormat="1">
      <c r="B91"/>
      <c r="C91"/>
      <c r="D91"/>
      <c r="E91"/>
      <c r="F91"/>
      <c r="G91" s="20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</row>
    <row r="92" spans="1:32" s="17" customFormat="1">
      <c r="B92"/>
      <c r="C92"/>
      <c r="D92"/>
      <c r="E92"/>
      <c r="F92"/>
      <c r="G92" s="20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</row>
    <row r="93" spans="1:32" s="17" customFormat="1">
      <c r="B93"/>
      <c r="C93"/>
      <c r="D93"/>
      <c r="E93"/>
      <c r="F93"/>
      <c r="G93" s="20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</row>
    <row r="94" spans="1:32" s="17" customFormat="1">
      <c r="B94"/>
      <c r="C94"/>
      <c r="D94"/>
      <c r="E94"/>
      <c r="F94"/>
      <c r="G94" s="20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</row>
    <row r="95" spans="1:32" s="17" customFormat="1">
      <c r="B95"/>
      <c r="C95"/>
      <c r="D95"/>
      <c r="E95"/>
      <c r="F95"/>
      <c r="G95" s="20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</row>
    <row r="96" spans="1:32" s="17" customFormat="1">
      <c r="B96"/>
      <c r="C96"/>
      <c r="D96"/>
      <c r="E96"/>
      <c r="F96"/>
      <c r="G96" s="20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</row>
    <row r="97" spans="2:32" s="17" customFormat="1">
      <c r="B97"/>
      <c r="C97"/>
      <c r="D97"/>
      <c r="E97"/>
      <c r="F97"/>
      <c r="G97" s="20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</row>
    <row r="98" spans="2:32" s="17" customFormat="1">
      <c r="B98"/>
      <c r="C98"/>
      <c r="D98"/>
      <c r="E98"/>
      <c r="F98"/>
      <c r="G98" s="20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</row>
    <row r="99" spans="2:32" s="17" customFormat="1">
      <c r="B99"/>
      <c r="C99"/>
      <c r="D99"/>
      <c r="E99"/>
      <c r="F99"/>
      <c r="G99" s="20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</row>
    <row r="100" spans="2:32" s="17" customFormat="1">
      <c r="B100"/>
      <c r="C100"/>
      <c r="D100"/>
      <c r="E100"/>
      <c r="F100"/>
      <c r="G100" s="2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</row>
    <row r="101" spans="2:32" s="17" customFormat="1">
      <c r="B101"/>
      <c r="C101"/>
      <c r="D101"/>
      <c r="E101"/>
      <c r="F101"/>
      <c r="G101" s="20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</row>
    <row r="102" spans="2:32" s="17" customFormat="1">
      <c r="B102"/>
      <c r="C102"/>
      <c r="D102"/>
      <c r="E102"/>
      <c r="F102"/>
      <c r="G102" s="20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</row>
    <row r="103" spans="2:32" s="17" customFormat="1">
      <c r="B103"/>
      <c r="C103"/>
      <c r="D103"/>
      <c r="E103"/>
      <c r="F103"/>
      <c r="G103" s="20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</row>
    <row r="104" spans="2:32" s="17" customFormat="1">
      <c r="B104"/>
      <c r="C104"/>
      <c r="D104"/>
      <c r="E104"/>
      <c r="F104"/>
      <c r="G104" s="20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</row>
    <row r="105" spans="2:32" s="17" customFormat="1">
      <c r="B105"/>
      <c r="C105"/>
      <c r="D105"/>
      <c r="E105"/>
      <c r="F105"/>
      <c r="G105" s="20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</row>
    <row r="106" spans="2:32" s="17" customFormat="1">
      <c r="B106"/>
      <c r="C106"/>
      <c r="D106"/>
      <c r="E106"/>
      <c r="F106"/>
      <c r="G106" s="20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</row>
    <row r="107" spans="2:32" s="17" customFormat="1">
      <c r="B107"/>
      <c r="C107"/>
      <c r="D107"/>
      <c r="E107"/>
      <c r="F107"/>
      <c r="G107" s="20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</row>
    <row r="108" spans="2:32" s="17" customFormat="1">
      <c r="B108"/>
      <c r="C108"/>
      <c r="D108"/>
      <c r="E108"/>
      <c r="F108"/>
      <c r="G108" s="20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</row>
    <row r="109" spans="2:32" s="17" customFormat="1">
      <c r="B109"/>
      <c r="C109"/>
      <c r="D109"/>
      <c r="E109"/>
      <c r="F109"/>
      <c r="G109" s="20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</row>
    <row r="110" spans="2:32" s="17" customFormat="1">
      <c r="B110"/>
      <c r="C110"/>
      <c r="D110"/>
      <c r="E110"/>
      <c r="F110"/>
      <c r="G110" s="2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</row>
    <row r="111" spans="2:32" s="17" customFormat="1">
      <c r="B111"/>
      <c r="C111"/>
      <c r="D111"/>
      <c r="E111"/>
      <c r="F111"/>
      <c r="G111" s="20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</row>
    <row r="112" spans="2:32" s="17" customFormat="1">
      <c r="B112"/>
      <c r="C112"/>
      <c r="D112"/>
      <c r="E112"/>
      <c r="F112"/>
      <c r="G112" s="20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</row>
    <row r="113" spans="2:32" s="17" customFormat="1">
      <c r="B113"/>
      <c r="C113"/>
      <c r="D113"/>
      <c r="E113"/>
      <c r="F113"/>
      <c r="G113" s="20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</row>
    <row r="114" spans="2:32" s="17" customFormat="1">
      <c r="B114"/>
      <c r="C114"/>
      <c r="D114"/>
      <c r="E114"/>
      <c r="F114"/>
      <c r="G114" s="20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</row>
    <row r="115" spans="2:32" s="17" customFormat="1">
      <c r="B115"/>
      <c r="C115"/>
      <c r="D115"/>
      <c r="E115"/>
      <c r="F115"/>
      <c r="G115" s="20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</row>
    <row r="116" spans="2:32" s="17" customFormat="1">
      <c r="B116"/>
      <c r="C116"/>
      <c r="D116"/>
      <c r="E116"/>
      <c r="F116"/>
      <c r="G116" s="20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</row>
    <row r="117" spans="2:32" s="17" customFormat="1">
      <c r="B117"/>
      <c r="C117"/>
      <c r="D117"/>
      <c r="E117"/>
      <c r="F117"/>
      <c r="G117" s="20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</row>
    <row r="118" spans="2:32" s="17" customFormat="1">
      <c r="B118"/>
      <c r="C118"/>
      <c r="D118"/>
      <c r="E118"/>
      <c r="F118"/>
      <c r="G118" s="20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</row>
    <row r="119" spans="2:32" s="17" customFormat="1">
      <c r="B119"/>
      <c r="C119"/>
      <c r="D119"/>
      <c r="E119"/>
      <c r="F119"/>
      <c r="G119" s="20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</row>
    <row r="120" spans="2:32" s="17" customFormat="1">
      <c r="B120"/>
      <c r="C120"/>
      <c r="D120"/>
      <c r="E120"/>
      <c r="F120"/>
      <c r="G120" s="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</row>
    <row r="121" spans="2:32" s="17" customFormat="1">
      <c r="B121"/>
      <c r="C121"/>
      <c r="D121"/>
      <c r="E121"/>
      <c r="F121"/>
      <c r="G121" s="20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</row>
    <row r="122" spans="2:32" s="17" customFormat="1">
      <c r="B122"/>
      <c r="C122"/>
      <c r="D122"/>
      <c r="E122"/>
      <c r="F122"/>
      <c r="G122" s="20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</row>
    <row r="123" spans="2:32" s="17" customFormat="1">
      <c r="B123"/>
      <c r="C123"/>
      <c r="D123"/>
      <c r="E123"/>
      <c r="F123"/>
      <c r="G123" s="20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</row>
    <row r="124" spans="2:32" s="17" customFormat="1">
      <c r="B124"/>
      <c r="C124"/>
      <c r="D124"/>
      <c r="E124"/>
      <c r="F124"/>
      <c r="G124" s="20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</row>
    <row r="125" spans="2:32" s="17" customFormat="1">
      <c r="B125"/>
      <c r="C125"/>
      <c r="D125"/>
      <c r="E125"/>
      <c r="F125"/>
      <c r="G125" s="20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</row>
    <row r="126" spans="2:32" s="17" customFormat="1">
      <c r="B126"/>
      <c r="C126"/>
      <c r="D126"/>
      <c r="E126"/>
      <c r="F126"/>
      <c r="G126" s="20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</row>
    <row r="127" spans="2:32" s="17" customFormat="1">
      <c r="B127"/>
      <c r="C127"/>
      <c r="D127"/>
      <c r="E127"/>
      <c r="F127"/>
      <c r="G127" s="20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</row>
    <row r="128" spans="2:32" s="17" customFormat="1">
      <c r="B128"/>
      <c r="C128"/>
      <c r="D128"/>
      <c r="E128"/>
      <c r="F128"/>
      <c r="G128" s="20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</row>
    <row r="129" spans="2:32" s="17" customFormat="1">
      <c r="B129"/>
      <c r="C129"/>
      <c r="D129"/>
      <c r="E129"/>
      <c r="F129"/>
      <c r="G129" s="20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</row>
    <row r="130" spans="2:32" s="17" customFormat="1">
      <c r="B130"/>
      <c r="C130"/>
      <c r="D130"/>
      <c r="E130"/>
      <c r="F130"/>
      <c r="G130" s="2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</row>
    <row r="131" spans="2:32" s="17" customFormat="1">
      <c r="B131"/>
      <c r="C131"/>
      <c r="D131"/>
      <c r="E131"/>
      <c r="F131"/>
      <c r="G131" s="20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</row>
    <row r="132" spans="2:32" s="17" customFormat="1">
      <c r="B132"/>
      <c r="C132"/>
      <c r="D132"/>
      <c r="E132"/>
      <c r="F132"/>
      <c r="G132" s="20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</row>
    <row r="133" spans="2:32" s="17" customFormat="1">
      <c r="B133"/>
      <c r="C133"/>
      <c r="D133"/>
      <c r="E133"/>
      <c r="F133"/>
      <c r="G133" s="20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</row>
    <row r="134" spans="2:32" s="17" customFormat="1">
      <c r="B134"/>
      <c r="C134"/>
      <c r="D134"/>
      <c r="E134"/>
      <c r="F134"/>
      <c r="G134" s="20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</row>
    <row r="135" spans="2:32" s="17" customFormat="1">
      <c r="B135"/>
      <c r="C135"/>
      <c r="D135"/>
      <c r="E135"/>
      <c r="F135"/>
      <c r="G135" s="20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</row>
    <row r="136" spans="2:32" s="17" customFormat="1">
      <c r="B136"/>
      <c r="C136"/>
      <c r="D136"/>
      <c r="E136"/>
      <c r="F136"/>
      <c r="G136" s="20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</row>
    <row r="137" spans="2:32" s="17" customFormat="1">
      <c r="B137"/>
      <c r="C137"/>
      <c r="D137"/>
      <c r="E137"/>
      <c r="F137"/>
      <c r="G137" s="20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</row>
    <row r="138" spans="2:32" s="17" customFormat="1">
      <c r="B138"/>
      <c r="C138"/>
      <c r="D138"/>
      <c r="E138"/>
      <c r="F138"/>
      <c r="G138" s="20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</row>
    <row r="139" spans="2:32" s="17" customFormat="1">
      <c r="B139"/>
      <c r="C139"/>
      <c r="D139"/>
      <c r="E139"/>
      <c r="F139"/>
      <c r="G139" s="20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</row>
    <row r="140" spans="2:32" s="17" customFormat="1">
      <c r="B140"/>
      <c r="C140"/>
      <c r="D140"/>
      <c r="E140"/>
      <c r="F140"/>
      <c r="G140" s="2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</row>
    <row r="141" spans="2:32" s="17" customFormat="1">
      <c r="B141"/>
      <c r="C141"/>
      <c r="D141"/>
      <c r="E141"/>
      <c r="F141"/>
      <c r="G141" s="20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</row>
    <row r="142" spans="2:32" s="17" customFormat="1">
      <c r="B142"/>
      <c r="C142"/>
      <c r="D142"/>
      <c r="E142"/>
      <c r="F142"/>
      <c r="G142" s="20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</row>
    <row r="143" spans="2:32" s="17" customFormat="1">
      <c r="B143"/>
      <c r="C143"/>
      <c r="D143"/>
      <c r="E143"/>
      <c r="F143"/>
      <c r="G143" s="20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</row>
    <row r="144" spans="2:32" s="17" customFormat="1">
      <c r="B144"/>
      <c r="C144"/>
      <c r="D144"/>
      <c r="E144"/>
      <c r="F144"/>
      <c r="G144" s="20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</row>
    <row r="145" spans="2:32" s="17" customFormat="1">
      <c r="B145"/>
      <c r="C145"/>
      <c r="D145"/>
      <c r="E145"/>
      <c r="F145"/>
      <c r="G145" s="20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</row>
    <row r="146" spans="2:32" s="17" customFormat="1">
      <c r="B146"/>
      <c r="C146"/>
      <c r="D146"/>
      <c r="E146"/>
      <c r="F146"/>
      <c r="G146" s="20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</row>
    <row r="147" spans="2:32" s="17" customFormat="1">
      <c r="B147"/>
      <c r="C147"/>
      <c r="D147"/>
      <c r="E147"/>
      <c r="F147"/>
      <c r="G147" s="20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</row>
    <row r="148" spans="2:32" s="17" customFormat="1">
      <c r="B148"/>
      <c r="C148"/>
      <c r="D148"/>
      <c r="E148"/>
      <c r="F148"/>
      <c r="G148" s="20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</row>
    <row r="149" spans="2:32" s="17" customFormat="1">
      <c r="B149"/>
      <c r="C149"/>
      <c r="D149"/>
      <c r="E149"/>
      <c r="F149"/>
      <c r="G149" s="20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</row>
    <row r="150" spans="2:32" s="17" customFormat="1">
      <c r="B150"/>
      <c r="C150"/>
      <c r="D150"/>
      <c r="E150"/>
      <c r="F150"/>
      <c r="G150" s="2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</row>
    <row r="151" spans="2:32" s="17" customFormat="1">
      <c r="B151"/>
      <c r="C151"/>
      <c r="D151"/>
      <c r="E151"/>
      <c r="F151"/>
      <c r="G151" s="20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</row>
    <row r="152" spans="2:32" s="17" customFormat="1">
      <c r="B152"/>
      <c r="C152"/>
      <c r="D152"/>
      <c r="E152"/>
      <c r="F152"/>
      <c r="G152" s="20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</row>
    <row r="153" spans="2:32" s="17" customFormat="1">
      <c r="B153"/>
      <c r="C153"/>
      <c r="D153"/>
      <c r="E153"/>
      <c r="F153"/>
      <c r="G153" s="20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</row>
    <row r="154" spans="2:32" s="17" customFormat="1">
      <c r="B154"/>
      <c r="C154"/>
      <c r="D154"/>
      <c r="E154"/>
      <c r="F154"/>
      <c r="G154" s="20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</row>
    <row r="155" spans="2:32" s="17" customFormat="1">
      <c r="B155"/>
      <c r="C155"/>
      <c r="D155"/>
      <c r="E155"/>
      <c r="F155"/>
      <c r="G155" s="20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</row>
    <row r="156" spans="2:32" s="17" customFormat="1">
      <c r="B156"/>
      <c r="C156"/>
      <c r="D156"/>
      <c r="E156"/>
      <c r="F156"/>
      <c r="G156" s="20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</row>
    <row r="157" spans="2:32" s="17" customFormat="1">
      <c r="B157"/>
      <c r="C157"/>
      <c r="D157"/>
      <c r="E157"/>
      <c r="F157"/>
      <c r="G157" s="20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</row>
    <row r="158" spans="2:32" s="17" customFormat="1">
      <c r="B158"/>
      <c r="C158"/>
      <c r="D158"/>
      <c r="E158"/>
      <c r="F158"/>
      <c r="G158" s="20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</row>
    <row r="159" spans="2:32" s="17" customFormat="1">
      <c r="B159"/>
      <c r="C159"/>
      <c r="D159"/>
      <c r="E159"/>
      <c r="F159"/>
      <c r="G159" s="20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</row>
    <row r="160" spans="2:32" s="17" customFormat="1">
      <c r="B160"/>
      <c r="C160"/>
      <c r="D160"/>
      <c r="E160"/>
      <c r="F160"/>
      <c r="G160" s="2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</row>
    <row r="161" spans="2:32" s="17" customFormat="1">
      <c r="B161"/>
      <c r="C161"/>
      <c r="D161"/>
      <c r="E161"/>
      <c r="F161"/>
      <c r="G161" s="20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</row>
    <row r="162" spans="2:32" s="17" customFormat="1">
      <c r="B162"/>
      <c r="C162"/>
      <c r="D162"/>
      <c r="E162"/>
      <c r="F162"/>
      <c r="G162" s="20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</row>
    <row r="163" spans="2:32" s="17" customFormat="1">
      <c r="B163"/>
      <c r="C163"/>
      <c r="D163"/>
      <c r="E163"/>
      <c r="F163"/>
      <c r="G163" s="20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</row>
    <row r="164" spans="2:32" s="17" customFormat="1">
      <c r="B164"/>
      <c r="C164"/>
      <c r="D164"/>
      <c r="E164"/>
      <c r="F164"/>
      <c r="G164" s="20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</row>
    <row r="165" spans="2:32" s="17" customFormat="1">
      <c r="B165"/>
      <c r="C165"/>
      <c r="D165"/>
      <c r="E165"/>
      <c r="F165"/>
      <c r="G165" s="20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</row>
    <row r="166" spans="2:32" s="17" customFormat="1">
      <c r="B166"/>
      <c r="C166"/>
      <c r="D166"/>
      <c r="E166"/>
      <c r="F166"/>
      <c r="G166" s="20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</row>
    <row r="167" spans="2:32" s="17" customFormat="1">
      <c r="B167"/>
      <c r="C167"/>
      <c r="D167"/>
      <c r="E167"/>
      <c r="F167"/>
      <c r="G167" s="20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</row>
    <row r="168" spans="2:32" s="17" customFormat="1">
      <c r="B168"/>
      <c r="C168"/>
      <c r="D168"/>
      <c r="E168"/>
      <c r="F168"/>
      <c r="G168" s="20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</row>
    <row r="169" spans="2:32" s="17" customFormat="1">
      <c r="B169"/>
      <c r="C169"/>
      <c r="D169"/>
      <c r="E169"/>
      <c r="F169"/>
      <c r="G169" s="20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</row>
    <row r="170" spans="2:32" s="17" customFormat="1">
      <c r="B170"/>
      <c r="C170"/>
      <c r="D170"/>
      <c r="E170"/>
      <c r="F170"/>
      <c r="G170" s="2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</row>
    <row r="171" spans="2:32" s="17" customFormat="1">
      <c r="B171"/>
      <c r="C171"/>
      <c r="D171"/>
      <c r="E171"/>
      <c r="F171"/>
      <c r="G171" s="20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</row>
    <row r="172" spans="2:32" s="17" customFormat="1">
      <c r="B172"/>
      <c r="C172"/>
      <c r="D172"/>
      <c r="E172"/>
      <c r="F172"/>
      <c r="G172" s="20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</row>
    <row r="173" spans="2:32" s="17" customFormat="1">
      <c r="B173"/>
      <c r="C173"/>
      <c r="D173"/>
      <c r="E173"/>
      <c r="F173"/>
      <c r="G173" s="20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</row>
    <row r="174" spans="2:32" s="17" customFormat="1">
      <c r="B174"/>
      <c r="C174"/>
      <c r="D174"/>
      <c r="E174"/>
      <c r="F174"/>
      <c r="G174" s="20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</row>
    <row r="175" spans="2:32" s="17" customFormat="1">
      <c r="B175"/>
      <c r="C175"/>
      <c r="D175"/>
      <c r="E175"/>
      <c r="F175"/>
      <c r="G175" s="20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</row>
    <row r="176" spans="2:32" s="17" customFormat="1">
      <c r="B176"/>
      <c r="C176"/>
      <c r="D176"/>
      <c r="E176"/>
      <c r="F176"/>
      <c r="G176" s="20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</row>
    <row r="177" spans="1:32" s="17" customFormat="1">
      <c r="B177"/>
      <c r="C177"/>
      <c r="D177"/>
      <c r="E177"/>
      <c r="F177"/>
      <c r="G177" s="20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</row>
    <row r="178" spans="1:32" s="17" customFormat="1">
      <c r="B178"/>
      <c r="C178"/>
      <c r="D178"/>
      <c r="E178"/>
      <c r="F178"/>
      <c r="G178" s="20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</row>
    <row r="179" spans="1:32" s="17" customFormat="1">
      <c r="B179"/>
      <c r="C179"/>
      <c r="D179"/>
      <c r="E179"/>
      <c r="F179"/>
      <c r="G179" s="20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</row>
    <row r="180" spans="1:32" s="17" customFormat="1">
      <c r="B180"/>
      <c r="C180"/>
      <c r="D180"/>
      <c r="E180"/>
      <c r="F180"/>
      <c r="G180" s="2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</row>
    <row r="181" spans="1:32" s="17" customFormat="1">
      <c r="B181"/>
      <c r="C181"/>
      <c r="D181"/>
      <c r="E181"/>
      <c r="F181"/>
      <c r="G181" s="20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</row>
    <row r="182" spans="1:32" s="17" customFormat="1">
      <c r="B182"/>
      <c r="C182"/>
      <c r="D182"/>
      <c r="E182"/>
      <c r="F182"/>
      <c r="G182" s="20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</row>
    <row r="183" spans="1:32" s="17" customFormat="1">
      <c r="B183"/>
      <c r="C183"/>
      <c r="D183"/>
      <c r="E183"/>
      <c r="F183"/>
      <c r="G183" s="20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</row>
    <row r="184" spans="1:32" s="17" customFormat="1">
      <c r="B184"/>
      <c r="C184"/>
      <c r="D184"/>
      <c r="E184"/>
      <c r="F184"/>
      <c r="G184" s="20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</row>
    <row r="185" spans="1:32" s="17" customFormat="1">
      <c r="B185"/>
      <c r="C185"/>
      <c r="D185"/>
      <c r="E185"/>
      <c r="F185"/>
      <c r="G185" s="20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</row>
    <row r="186" spans="1:32" s="17" customFormat="1">
      <c r="B186"/>
      <c r="C186"/>
      <c r="D186"/>
      <c r="E186"/>
      <c r="F186"/>
      <c r="G186" s="20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</row>
    <row r="187" spans="1:32" s="17" customFormat="1">
      <c r="B187"/>
      <c r="C187"/>
      <c r="D187"/>
      <c r="E187"/>
      <c r="F187"/>
      <c r="G187" s="20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</row>
    <row r="188" spans="1:32" s="17" customFormat="1">
      <c r="B188"/>
      <c r="C188"/>
      <c r="D188"/>
      <c r="E188"/>
      <c r="F188"/>
      <c r="G188" s="20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</row>
    <row r="189" spans="1:32" s="17" customFormat="1">
      <c r="E189" s="36"/>
      <c r="F189" s="36"/>
      <c r="G189" s="36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</row>
    <row r="190" spans="1:32" s="17" customFormat="1">
      <c r="E190" s="36"/>
      <c r="F190" s="36"/>
      <c r="G190" s="36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</row>
    <row r="191" spans="1:32" s="17" customFormat="1">
      <c r="A191"/>
      <c r="B191"/>
      <c r="C191"/>
      <c r="D191"/>
      <c r="E191" s="20"/>
      <c r="F191" s="20"/>
      <c r="G191" s="20"/>
      <c r="H191"/>
      <c r="I191" s="193"/>
      <c r="J191" s="193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</row>
    <row r="192" spans="1:32" s="17" customFormat="1">
      <c r="A192"/>
      <c r="B192"/>
      <c r="C192"/>
      <c r="D192"/>
      <c r="E192" s="20"/>
      <c r="F192" s="20"/>
      <c r="G192" s="20"/>
      <c r="H192"/>
      <c r="I192" s="193"/>
      <c r="J192" s="193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</row>
    <row r="193" spans="1:32" s="17" customFormat="1">
      <c r="A193"/>
      <c r="B193"/>
      <c r="C193"/>
      <c r="D193"/>
      <c r="E193" s="20"/>
      <c r="F193" s="20"/>
      <c r="G193" s="20"/>
      <c r="H193"/>
      <c r="I193" s="193"/>
      <c r="J193" s="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</row>
    <row r="194" spans="1:32" s="17" customFormat="1">
      <c r="A194"/>
      <c r="B194"/>
      <c r="C194"/>
      <c r="D194"/>
      <c r="E194" s="20"/>
      <c r="F194" s="20"/>
      <c r="G194" s="20"/>
      <c r="H194"/>
      <c r="I194" s="193"/>
      <c r="J194" s="193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</row>
    <row r="195" spans="1:32" s="17" customFormat="1">
      <c r="A195"/>
      <c r="B195"/>
      <c r="C195"/>
      <c r="D195"/>
      <c r="E195" s="20"/>
      <c r="F195" s="20"/>
      <c r="G195" s="20"/>
      <c r="H195"/>
      <c r="I195" s="193"/>
      <c r="J195" s="193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</row>
    <row r="196" spans="1:32" s="17" customFormat="1">
      <c r="A196"/>
      <c r="B196"/>
      <c r="C196"/>
      <c r="D196"/>
      <c r="E196" s="20"/>
      <c r="F196" s="20"/>
      <c r="G196" s="20"/>
      <c r="H196"/>
      <c r="I196" s="193"/>
      <c r="J196" s="193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</row>
    <row r="197" spans="1:32" s="17" customFormat="1">
      <c r="A197"/>
      <c r="B197"/>
      <c r="C197"/>
      <c r="D197"/>
      <c r="E197" s="20"/>
      <c r="F197" s="20"/>
      <c r="G197" s="20"/>
      <c r="H197"/>
      <c r="I197" s="193"/>
      <c r="J197" s="193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</row>
    <row r="198" spans="1:32" s="17" customFormat="1">
      <c r="A198"/>
      <c r="B198"/>
      <c r="C198"/>
      <c r="D198"/>
      <c r="E198" s="20"/>
      <c r="F198" s="20"/>
      <c r="G198" s="20"/>
      <c r="H198"/>
      <c r="I198" s="193"/>
      <c r="J198" s="193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</row>
    <row r="199" spans="1:32" s="17" customFormat="1">
      <c r="A199"/>
      <c r="B199"/>
      <c r="C199"/>
      <c r="D199"/>
      <c r="E199" s="20"/>
      <c r="F199" s="20"/>
      <c r="G199" s="20"/>
      <c r="H199"/>
      <c r="I199" s="193"/>
      <c r="J199" s="193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</row>
    <row r="200" spans="1:32" s="17" customFormat="1">
      <c r="A200"/>
      <c r="B200"/>
      <c r="C200"/>
      <c r="D200"/>
      <c r="E200" s="20"/>
      <c r="F200" s="20"/>
      <c r="G200" s="20"/>
      <c r="H200"/>
      <c r="I200" s="193"/>
      <c r="J200" s="193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</row>
    <row r="201" spans="1:32" s="17" customFormat="1">
      <c r="A201"/>
      <c r="B201"/>
      <c r="C201"/>
      <c r="D201"/>
      <c r="E201" s="20"/>
      <c r="F201" s="20"/>
      <c r="G201" s="20"/>
      <c r="H201"/>
      <c r="I201" s="193"/>
      <c r="J201" s="193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</row>
    <row r="202" spans="1:32" s="17" customFormat="1">
      <c r="A202"/>
      <c r="B202"/>
      <c r="C202"/>
      <c r="D202"/>
      <c r="E202" s="20"/>
      <c r="F202" s="20"/>
      <c r="G202" s="20"/>
      <c r="H202"/>
      <c r="I202" s="193"/>
      <c r="J202" s="193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</row>
    <row r="203" spans="1:32" s="17" customFormat="1">
      <c r="A203"/>
      <c r="B203"/>
      <c r="C203"/>
      <c r="D203"/>
      <c r="E203" s="20"/>
      <c r="F203" s="20"/>
      <c r="G203" s="20"/>
      <c r="H203"/>
      <c r="I203" s="193"/>
      <c r="J203" s="19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</row>
    <row r="204" spans="1:32" s="17" customFormat="1">
      <c r="A204"/>
      <c r="B204"/>
      <c r="C204"/>
      <c r="D204"/>
      <c r="E204" s="20"/>
      <c r="F204" s="20"/>
      <c r="G204" s="20"/>
      <c r="H204"/>
      <c r="I204" s="193"/>
      <c r="J204" s="193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</row>
    <row r="205" spans="1:32" s="17" customFormat="1">
      <c r="A205"/>
      <c r="B205"/>
      <c r="C205"/>
      <c r="D205"/>
      <c r="E205" s="20"/>
      <c r="F205" s="20"/>
      <c r="G205" s="20"/>
      <c r="H205"/>
      <c r="I205" s="193"/>
      <c r="J205" s="193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</row>
    <row r="206" spans="1:32" s="17" customFormat="1">
      <c r="A206"/>
      <c r="B206"/>
      <c r="C206"/>
      <c r="D206"/>
      <c r="E206" s="20"/>
      <c r="F206" s="20"/>
      <c r="G206" s="20"/>
      <c r="H206"/>
      <c r="I206" s="193"/>
      <c r="J206" s="193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</row>
    <row r="207" spans="1:32" s="17" customFormat="1">
      <c r="A207"/>
      <c r="B207"/>
      <c r="C207"/>
      <c r="D207"/>
      <c r="E207" s="20"/>
      <c r="F207" s="20"/>
      <c r="G207" s="20"/>
      <c r="H207"/>
      <c r="I207" s="193"/>
      <c r="J207" s="193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</row>
    <row r="208" spans="1:32" s="17" customFormat="1">
      <c r="A208"/>
      <c r="B208"/>
      <c r="C208"/>
      <c r="D208"/>
      <c r="E208" s="20"/>
      <c r="F208" s="20"/>
      <c r="G208" s="20"/>
      <c r="H208"/>
      <c r="I208" s="193"/>
      <c r="J208" s="193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</row>
    <row r="209" spans="1:32" s="17" customFormat="1">
      <c r="A209"/>
      <c r="B209"/>
      <c r="C209"/>
      <c r="D209"/>
      <c r="E209" s="20"/>
      <c r="F209" s="20"/>
      <c r="G209" s="20"/>
      <c r="H209"/>
      <c r="I209" s="193"/>
      <c r="J209" s="193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</row>
    <row r="210" spans="1:32" s="17" customFormat="1">
      <c r="A210"/>
      <c r="B210"/>
      <c r="C210"/>
      <c r="D210"/>
      <c r="E210" s="20"/>
      <c r="F210" s="20"/>
      <c r="G210" s="20"/>
      <c r="H210"/>
      <c r="I210" s="193"/>
      <c r="J210" s="193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</row>
    <row r="211" spans="1:32" s="17" customFormat="1">
      <c r="A211"/>
      <c r="B211"/>
      <c r="C211"/>
      <c r="D211"/>
      <c r="E211" s="20"/>
      <c r="F211" s="20"/>
      <c r="G211" s="20"/>
      <c r="H211"/>
      <c r="I211" s="193"/>
      <c r="J211" s="193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</row>
  </sheetData>
  <sortState xmlns:xlrd2="http://schemas.microsoft.com/office/spreadsheetml/2017/richdata2" ref="B2:I51">
    <sortCondition ref="C2:C51"/>
  </sortState>
  <conditionalFormatting sqref="N70">
    <cfRule type="cellIs" dxfId="27" priority="36" operator="equal">
      <formula>0</formula>
    </cfRule>
    <cfRule type="cellIs" dxfId="26" priority="37" operator="notEqual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64C33-F62A-471E-B5A5-36CFBA1251C3}">
  <sheetPr codeName="Hoja7"/>
  <dimension ref="A1:AF226"/>
  <sheetViews>
    <sheetView zoomScale="78" zoomScaleNormal="78" workbookViewId="0">
      <pane ySplit="1" topLeftCell="A2" activePane="bottomLeft" state="frozen"/>
      <selection activeCell="A2" sqref="A2:XFD1048576"/>
      <selection pane="bottomLeft" activeCell="N1" sqref="N1"/>
    </sheetView>
  </sheetViews>
  <sheetFormatPr baseColWidth="10" defaultRowHeight="12.75"/>
  <cols>
    <col min="1" max="1" width="5" style="17" bestFit="1" customWidth="1"/>
    <col min="2" max="2" width="13.42578125" style="17" bestFit="1" customWidth="1"/>
    <col min="3" max="3" width="80.7109375" style="17" bestFit="1" customWidth="1"/>
    <col min="4" max="4" width="5.85546875" style="17" customWidth="1"/>
    <col min="5" max="6" width="15.28515625" style="79" bestFit="1" customWidth="1"/>
    <col min="7" max="7" width="15.85546875" style="79" bestFit="1" customWidth="1"/>
    <col min="8" max="8" width="10.85546875" style="17" bestFit="1" customWidth="1"/>
    <col min="9" max="9" width="10" style="17" customWidth="1"/>
    <col min="10" max="10" width="28.5703125" style="134" bestFit="1" customWidth="1"/>
    <col min="11" max="11" width="14.5703125" style="134" customWidth="1"/>
    <col min="12" max="12" width="21.28515625" style="17" customWidth="1"/>
    <col min="13" max="13" width="17.28515625" style="17" customWidth="1"/>
    <col min="14" max="14" width="10.7109375" style="17" customWidth="1"/>
    <col min="15" max="15" width="15.42578125" style="17" customWidth="1"/>
    <col min="16" max="16" width="14.28515625" style="17" customWidth="1"/>
    <col min="17" max="18" width="16.28515625" style="17" bestFit="1" customWidth="1"/>
    <col min="19" max="21" width="17.28515625" style="17" customWidth="1"/>
    <col min="22" max="24" width="14.42578125" style="17" customWidth="1"/>
    <col min="25" max="26" width="16.7109375" style="17" bestFit="1" customWidth="1"/>
    <col min="27" max="27" width="13.85546875" style="17" customWidth="1"/>
    <col min="28" max="28" width="14.28515625" style="17" customWidth="1"/>
    <col min="29" max="30" width="10.7109375" style="17" customWidth="1"/>
    <col min="31" max="257" width="8.85546875" style="17" customWidth="1"/>
    <col min="258" max="258" width="5" style="17" bestFit="1" customWidth="1"/>
    <col min="259" max="259" width="13.42578125" style="17" bestFit="1" customWidth="1"/>
    <col min="260" max="260" width="47.28515625" style="17" bestFit="1" customWidth="1"/>
    <col min="261" max="261" width="18.7109375" style="17" bestFit="1" customWidth="1"/>
    <col min="262" max="264" width="14.85546875" style="17" bestFit="1" customWidth="1"/>
    <col min="265" max="265" width="10.85546875" style="17" bestFit="1" customWidth="1"/>
    <col min="266" max="266" width="5" style="17" bestFit="1" customWidth="1"/>
    <col min="267" max="267" width="13.140625" style="17" customWidth="1"/>
    <col min="268" max="513" width="8.85546875" style="17" customWidth="1"/>
    <col min="514" max="514" width="5" style="17" bestFit="1" customWidth="1"/>
    <col min="515" max="515" width="13.42578125" style="17" bestFit="1" customWidth="1"/>
    <col min="516" max="516" width="47.28515625" style="17" bestFit="1" customWidth="1"/>
    <col min="517" max="517" width="18.7109375" style="17" bestFit="1" customWidth="1"/>
    <col min="518" max="520" width="14.85546875" style="17" bestFit="1" customWidth="1"/>
    <col min="521" max="521" width="10.85546875" style="17" bestFit="1" customWidth="1"/>
    <col min="522" max="522" width="5" style="17" bestFit="1" customWidth="1"/>
    <col min="523" max="523" width="13.140625" style="17" customWidth="1"/>
    <col min="524" max="769" width="8.85546875" style="17" customWidth="1"/>
    <col min="770" max="770" width="5" style="17" bestFit="1" customWidth="1"/>
    <col min="771" max="771" width="13.42578125" style="17" bestFit="1" customWidth="1"/>
    <col min="772" max="772" width="47.28515625" style="17" bestFit="1" customWidth="1"/>
    <col min="773" max="773" width="18.7109375" style="17" bestFit="1" customWidth="1"/>
    <col min="774" max="776" width="14.85546875" style="17" bestFit="1" customWidth="1"/>
    <col min="777" max="777" width="10.85546875" style="17" bestFit="1" customWidth="1"/>
    <col min="778" max="778" width="5" style="17" bestFit="1" customWidth="1"/>
    <col min="779" max="779" width="13.140625" style="17" customWidth="1"/>
    <col min="780" max="1025" width="8.85546875" style="17" customWidth="1"/>
    <col min="1026" max="1026" width="5" style="17" bestFit="1" customWidth="1"/>
    <col min="1027" max="1027" width="13.42578125" style="17" bestFit="1" customWidth="1"/>
    <col min="1028" max="1028" width="47.28515625" style="17" bestFit="1" customWidth="1"/>
    <col min="1029" max="1029" width="18.7109375" style="17" bestFit="1" customWidth="1"/>
    <col min="1030" max="1032" width="14.85546875" style="17" bestFit="1" customWidth="1"/>
    <col min="1033" max="1033" width="10.85546875" style="17" bestFit="1" customWidth="1"/>
    <col min="1034" max="1034" width="5" style="17" bestFit="1" customWidth="1"/>
    <col min="1035" max="1035" width="13.140625" style="17" customWidth="1"/>
    <col min="1036" max="1281" width="8.85546875" style="17" customWidth="1"/>
    <col min="1282" max="1282" width="5" style="17" bestFit="1" customWidth="1"/>
    <col min="1283" max="1283" width="13.42578125" style="17" bestFit="1" customWidth="1"/>
    <col min="1284" max="1284" width="47.28515625" style="17" bestFit="1" customWidth="1"/>
    <col min="1285" max="1285" width="18.7109375" style="17" bestFit="1" customWidth="1"/>
    <col min="1286" max="1288" width="14.85546875" style="17" bestFit="1" customWidth="1"/>
    <col min="1289" max="1289" width="10.85546875" style="17" bestFit="1" customWidth="1"/>
    <col min="1290" max="1290" width="5" style="17" bestFit="1" customWidth="1"/>
    <col min="1291" max="1291" width="13.140625" style="17" customWidth="1"/>
    <col min="1292" max="1537" width="8.85546875" style="17" customWidth="1"/>
    <col min="1538" max="1538" width="5" style="17" bestFit="1" customWidth="1"/>
    <col min="1539" max="1539" width="13.42578125" style="17" bestFit="1" customWidth="1"/>
    <col min="1540" max="1540" width="47.28515625" style="17" bestFit="1" customWidth="1"/>
    <col min="1541" max="1541" width="18.7109375" style="17" bestFit="1" customWidth="1"/>
    <col min="1542" max="1544" width="14.85546875" style="17" bestFit="1" customWidth="1"/>
    <col min="1545" max="1545" width="10.85546875" style="17" bestFit="1" customWidth="1"/>
    <col min="1546" max="1546" width="5" style="17" bestFit="1" customWidth="1"/>
    <col min="1547" max="1547" width="13.140625" style="17" customWidth="1"/>
    <col min="1548" max="1793" width="8.85546875" style="17" customWidth="1"/>
    <col min="1794" max="1794" width="5" style="17" bestFit="1" customWidth="1"/>
    <col min="1795" max="1795" width="13.42578125" style="17" bestFit="1" customWidth="1"/>
    <col min="1796" max="1796" width="47.28515625" style="17" bestFit="1" customWidth="1"/>
    <col min="1797" max="1797" width="18.7109375" style="17" bestFit="1" customWidth="1"/>
    <col min="1798" max="1800" width="14.85546875" style="17" bestFit="1" customWidth="1"/>
    <col min="1801" max="1801" width="10.85546875" style="17" bestFit="1" customWidth="1"/>
    <col min="1802" max="1802" width="5" style="17" bestFit="1" customWidth="1"/>
    <col min="1803" max="1803" width="13.140625" style="17" customWidth="1"/>
    <col min="1804" max="2049" width="8.85546875" style="17" customWidth="1"/>
    <col min="2050" max="2050" width="5" style="17" bestFit="1" customWidth="1"/>
    <col min="2051" max="2051" width="13.42578125" style="17" bestFit="1" customWidth="1"/>
    <col min="2052" max="2052" width="47.28515625" style="17" bestFit="1" customWidth="1"/>
    <col min="2053" max="2053" width="18.7109375" style="17" bestFit="1" customWidth="1"/>
    <col min="2054" max="2056" width="14.85546875" style="17" bestFit="1" customWidth="1"/>
    <col min="2057" max="2057" width="10.85546875" style="17" bestFit="1" customWidth="1"/>
    <col min="2058" max="2058" width="5" style="17" bestFit="1" customWidth="1"/>
    <col min="2059" max="2059" width="13.140625" style="17" customWidth="1"/>
    <col min="2060" max="2305" width="8.85546875" style="17" customWidth="1"/>
    <col min="2306" max="2306" width="5" style="17" bestFit="1" customWidth="1"/>
    <col min="2307" max="2307" width="13.42578125" style="17" bestFit="1" customWidth="1"/>
    <col min="2308" max="2308" width="47.28515625" style="17" bestFit="1" customWidth="1"/>
    <col min="2309" max="2309" width="18.7109375" style="17" bestFit="1" customWidth="1"/>
    <col min="2310" max="2312" width="14.85546875" style="17" bestFit="1" customWidth="1"/>
    <col min="2313" max="2313" width="10.85546875" style="17" bestFit="1" customWidth="1"/>
    <col min="2314" max="2314" width="5" style="17" bestFit="1" customWidth="1"/>
    <col min="2315" max="2315" width="13.140625" style="17" customWidth="1"/>
    <col min="2316" max="2561" width="8.85546875" style="17" customWidth="1"/>
    <col min="2562" max="2562" width="5" style="17" bestFit="1" customWidth="1"/>
    <col min="2563" max="2563" width="13.42578125" style="17" bestFit="1" customWidth="1"/>
    <col min="2564" max="2564" width="47.28515625" style="17" bestFit="1" customWidth="1"/>
    <col min="2565" max="2565" width="18.7109375" style="17" bestFit="1" customWidth="1"/>
    <col min="2566" max="2568" width="14.85546875" style="17" bestFit="1" customWidth="1"/>
    <col min="2569" max="2569" width="10.85546875" style="17" bestFit="1" customWidth="1"/>
    <col min="2570" max="2570" width="5" style="17" bestFit="1" customWidth="1"/>
    <col min="2571" max="2571" width="13.140625" style="17" customWidth="1"/>
    <col min="2572" max="2817" width="8.85546875" style="17" customWidth="1"/>
    <col min="2818" max="2818" width="5" style="17" bestFit="1" customWidth="1"/>
    <col min="2819" max="2819" width="13.42578125" style="17" bestFit="1" customWidth="1"/>
    <col min="2820" max="2820" width="47.28515625" style="17" bestFit="1" customWidth="1"/>
    <col min="2821" max="2821" width="18.7109375" style="17" bestFit="1" customWidth="1"/>
    <col min="2822" max="2824" width="14.85546875" style="17" bestFit="1" customWidth="1"/>
    <col min="2825" max="2825" width="10.85546875" style="17" bestFit="1" customWidth="1"/>
    <col min="2826" max="2826" width="5" style="17" bestFit="1" customWidth="1"/>
    <col min="2827" max="2827" width="13.140625" style="17" customWidth="1"/>
    <col min="2828" max="3073" width="8.85546875" style="17" customWidth="1"/>
    <col min="3074" max="3074" width="5" style="17" bestFit="1" customWidth="1"/>
    <col min="3075" max="3075" width="13.42578125" style="17" bestFit="1" customWidth="1"/>
    <col min="3076" max="3076" width="47.28515625" style="17" bestFit="1" customWidth="1"/>
    <col min="3077" max="3077" width="18.7109375" style="17" bestFit="1" customWidth="1"/>
    <col min="3078" max="3080" width="14.85546875" style="17" bestFit="1" customWidth="1"/>
    <col min="3081" max="3081" width="10.85546875" style="17" bestFit="1" customWidth="1"/>
    <col min="3082" max="3082" width="5" style="17" bestFit="1" customWidth="1"/>
    <col min="3083" max="3083" width="13.140625" style="17" customWidth="1"/>
    <col min="3084" max="3329" width="8.85546875" style="17" customWidth="1"/>
    <col min="3330" max="3330" width="5" style="17" bestFit="1" customWidth="1"/>
    <col min="3331" max="3331" width="13.42578125" style="17" bestFit="1" customWidth="1"/>
    <col min="3332" max="3332" width="47.28515625" style="17" bestFit="1" customWidth="1"/>
    <col min="3333" max="3333" width="18.7109375" style="17" bestFit="1" customWidth="1"/>
    <col min="3334" max="3336" width="14.85546875" style="17" bestFit="1" customWidth="1"/>
    <col min="3337" max="3337" width="10.85546875" style="17" bestFit="1" customWidth="1"/>
    <col min="3338" max="3338" width="5" style="17" bestFit="1" customWidth="1"/>
    <col min="3339" max="3339" width="13.140625" style="17" customWidth="1"/>
    <col min="3340" max="3585" width="8.85546875" style="17" customWidth="1"/>
    <col min="3586" max="3586" width="5" style="17" bestFit="1" customWidth="1"/>
    <col min="3587" max="3587" width="13.42578125" style="17" bestFit="1" customWidth="1"/>
    <col min="3588" max="3588" width="47.28515625" style="17" bestFit="1" customWidth="1"/>
    <col min="3589" max="3589" width="18.7109375" style="17" bestFit="1" customWidth="1"/>
    <col min="3590" max="3592" width="14.85546875" style="17" bestFit="1" customWidth="1"/>
    <col min="3593" max="3593" width="10.85546875" style="17" bestFit="1" customWidth="1"/>
    <col min="3594" max="3594" width="5" style="17" bestFit="1" customWidth="1"/>
    <col min="3595" max="3595" width="13.140625" style="17" customWidth="1"/>
    <col min="3596" max="3841" width="8.85546875" style="17" customWidth="1"/>
    <col min="3842" max="3842" width="5" style="17" bestFit="1" customWidth="1"/>
    <col min="3843" max="3843" width="13.42578125" style="17" bestFit="1" customWidth="1"/>
    <col min="3844" max="3844" width="47.28515625" style="17" bestFit="1" customWidth="1"/>
    <col min="3845" max="3845" width="18.7109375" style="17" bestFit="1" customWidth="1"/>
    <col min="3846" max="3848" width="14.85546875" style="17" bestFit="1" customWidth="1"/>
    <col min="3849" max="3849" width="10.85546875" style="17" bestFit="1" customWidth="1"/>
    <col min="3850" max="3850" width="5" style="17" bestFit="1" customWidth="1"/>
    <col min="3851" max="3851" width="13.140625" style="17" customWidth="1"/>
    <col min="3852" max="4097" width="8.85546875" style="17" customWidth="1"/>
    <col min="4098" max="4098" width="5" style="17" bestFit="1" customWidth="1"/>
    <col min="4099" max="4099" width="13.42578125" style="17" bestFit="1" customWidth="1"/>
    <col min="4100" max="4100" width="47.28515625" style="17" bestFit="1" customWidth="1"/>
    <col min="4101" max="4101" width="18.7109375" style="17" bestFit="1" customWidth="1"/>
    <col min="4102" max="4104" width="14.85546875" style="17" bestFit="1" customWidth="1"/>
    <col min="4105" max="4105" width="10.85546875" style="17" bestFit="1" customWidth="1"/>
    <col min="4106" max="4106" width="5" style="17" bestFit="1" customWidth="1"/>
    <col min="4107" max="4107" width="13.140625" style="17" customWidth="1"/>
    <col min="4108" max="4353" width="8.85546875" style="17" customWidth="1"/>
    <col min="4354" max="4354" width="5" style="17" bestFit="1" customWidth="1"/>
    <col min="4355" max="4355" width="13.42578125" style="17" bestFit="1" customWidth="1"/>
    <col min="4356" max="4356" width="47.28515625" style="17" bestFit="1" customWidth="1"/>
    <col min="4357" max="4357" width="18.7109375" style="17" bestFit="1" customWidth="1"/>
    <col min="4358" max="4360" width="14.85546875" style="17" bestFit="1" customWidth="1"/>
    <col min="4361" max="4361" width="10.85546875" style="17" bestFit="1" customWidth="1"/>
    <col min="4362" max="4362" width="5" style="17" bestFit="1" customWidth="1"/>
    <col min="4363" max="4363" width="13.140625" style="17" customWidth="1"/>
    <col min="4364" max="4609" width="8.85546875" style="17" customWidth="1"/>
    <col min="4610" max="4610" width="5" style="17" bestFit="1" customWidth="1"/>
    <col min="4611" max="4611" width="13.42578125" style="17" bestFit="1" customWidth="1"/>
    <col min="4612" max="4612" width="47.28515625" style="17" bestFit="1" customWidth="1"/>
    <col min="4613" max="4613" width="18.7109375" style="17" bestFit="1" customWidth="1"/>
    <col min="4614" max="4616" width="14.85546875" style="17" bestFit="1" customWidth="1"/>
    <col min="4617" max="4617" width="10.85546875" style="17" bestFit="1" customWidth="1"/>
    <col min="4618" max="4618" width="5" style="17" bestFit="1" customWidth="1"/>
    <col min="4619" max="4619" width="13.140625" style="17" customWidth="1"/>
    <col min="4620" max="4865" width="8.85546875" style="17" customWidth="1"/>
    <col min="4866" max="4866" width="5" style="17" bestFit="1" customWidth="1"/>
    <col min="4867" max="4867" width="13.42578125" style="17" bestFit="1" customWidth="1"/>
    <col min="4868" max="4868" width="47.28515625" style="17" bestFit="1" customWidth="1"/>
    <col min="4869" max="4869" width="18.7109375" style="17" bestFit="1" customWidth="1"/>
    <col min="4870" max="4872" width="14.85546875" style="17" bestFit="1" customWidth="1"/>
    <col min="4873" max="4873" width="10.85546875" style="17" bestFit="1" customWidth="1"/>
    <col min="4874" max="4874" width="5" style="17" bestFit="1" customWidth="1"/>
    <col min="4875" max="4875" width="13.140625" style="17" customWidth="1"/>
    <col min="4876" max="5121" width="8.85546875" style="17" customWidth="1"/>
    <col min="5122" max="5122" width="5" style="17" bestFit="1" customWidth="1"/>
    <col min="5123" max="5123" width="13.42578125" style="17" bestFit="1" customWidth="1"/>
    <col min="5124" max="5124" width="47.28515625" style="17" bestFit="1" customWidth="1"/>
    <col min="5125" max="5125" width="18.7109375" style="17" bestFit="1" customWidth="1"/>
    <col min="5126" max="5128" width="14.85546875" style="17" bestFit="1" customWidth="1"/>
    <col min="5129" max="5129" width="10.85546875" style="17" bestFit="1" customWidth="1"/>
    <col min="5130" max="5130" width="5" style="17" bestFit="1" customWidth="1"/>
    <col min="5131" max="5131" width="13.140625" style="17" customWidth="1"/>
    <col min="5132" max="5377" width="8.85546875" style="17" customWidth="1"/>
    <col min="5378" max="5378" width="5" style="17" bestFit="1" customWidth="1"/>
    <col min="5379" max="5379" width="13.42578125" style="17" bestFit="1" customWidth="1"/>
    <col min="5380" max="5380" width="47.28515625" style="17" bestFit="1" customWidth="1"/>
    <col min="5381" max="5381" width="18.7109375" style="17" bestFit="1" customWidth="1"/>
    <col min="5382" max="5384" width="14.85546875" style="17" bestFit="1" customWidth="1"/>
    <col min="5385" max="5385" width="10.85546875" style="17" bestFit="1" customWidth="1"/>
    <col min="5386" max="5386" width="5" style="17" bestFit="1" customWidth="1"/>
    <col min="5387" max="5387" width="13.140625" style="17" customWidth="1"/>
    <col min="5388" max="5633" width="8.85546875" style="17" customWidth="1"/>
    <col min="5634" max="5634" width="5" style="17" bestFit="1" customWidth="1"/>
    <col min="5635" max="5635" width="13.42578125" style="17" bestFit="1" customWidth="1"/>
    <col min="5636" max="5636" width="47.28515625" style="17" bestFit="1" customWidth="1"/>
    <col min="5637" max="5637" width="18.7109375" style="17" bestFit="1" customWidth="1"/>
    <col min="5638" max="5640" width="14.85546875" style="17" bestFit="1" customWidth="1"/>
    <col min="5641" max="5641" width="10.85546875" style="17" bestFit="1" customWidth="1"/>
    <col min="5642" max="5642" width="5" style="17" bestFit="1" customWidth="1"/>
    <col min="5643" max="5643" width="13.140625" style="17" customWidth="1"/>
    <col min="5644" max="5889" width="8.85546875" style="17" customWidth="1"/>
    <col min="5890" max="5890" width="5" style="17" bestFit="1" customWidth="1"/>
    <col min="5891" max="5891" width="13.42578125" style="17" bestFit="1" customWidth="1"/>
    <col min="5892" max="5892" width="47.28515625" style="17" bestFit="1" customWidth="1"/>
    <col min="5893" max="5893" width="18.7109375" style="17" bestFit="1" customWidth="1"/>
    <col min="5894" max="5896" width="14.85546875" style="17" bestFit="1" customWidth="1"/>
    <col min="5897" max="5897" width="10.85546875" style="17" bestFit="1" customWidth="1"/>
    <col min="5898" max="5898" width="5" style="17" bestFit="1" customWidth="1"/>
    <col min="5899" max="5899" width="13.140625" style="17" customWidth="1"/>
    <col min="5900" max="6145" width="8.85546875" style="17" customWidth="1"/>
    <col min="6146" max="6146" width="5" style="17" bestFit="1" customWidth="1"/>
    <col min="6147" max="6147" width="13.42578125" style="17" bestFit="1" customWidth="1"/>
    <col min="6148" max="6148" width="47.28515625" style="17" bestFit="1" customWidth="1"/>
    <col min="6149" max="6149" width="18.7109375" style="17" bestFit="1" customWidth="1"/>
    <col min="6150" max="6152" width="14.85546875" style="17" bestFit="1" customWidth="1"/>
    <col min="6153" max="6153" width="10.85546875" style="17" bestFit="1" customWidth="1"/>
    <col min="6154" max="6154" width="5" style="17" bestFit="1" customWidth="1"/>
    <col min="6155" max="6155" width="13.140625" style="17" customWidth="1"/>
    <col min="6156" max="6401" width="8.85546875" style="17" customWidth="1"/>
    <col min="6402" max="6402" width="5" style="17" bestFit="1" customWidth="1"/>
    <col min="6403" max="6403" width="13.42578125" style="17" bestFit="1" customWidth="1"/>
    <col min="6404" max="6404" width="47.28515625" style="17" bestFit="1" customWidth="1"/>
    <col min="6405" max="6405" width="18.7109375" style="17" bestFit="1" customWidth="1"/>
    <col min="6406" max="6408" width="14.85546875" style="17" bestFit="1" customWidth="1"/>
    <col min="6409" max="6409" width="10.85546875" style="17" bestFit="1" customWidth="1"/>
    <col min="6410" max="6410" width="5" style="17" bestFit="1" customWidth="1"/>
    <col min="6411" max="6411" width="13.140625" style="17" customWidth="1"/>
    <col min="6412" max="6657" width="8.85546875" style="17" customWidth="1"/>
    <col min="6658" max="6658" width="5" style="17" bestFit="1" customWidth="1"/>
    <col min="6659" max="6659" width="13.42578125" style="17" bestFit="1" customWidth="1"/>
    <col min="6660" max="6660" width="47.28515625" style="17" bestFit="1" customWidth="1"/>
    <col min="6661" max="6661" width="18.7109375" style="17" bestFit="1" customWidth="1"/>
    <col min="6662" max="6664" width="14.85546875" style="17" bestFit="1" customWidth="1"/>
    <col min="6665" max="6665" width="10.85546875" style="17" bestFit="1" customWidth="1"/>
    <col min="6666" max="6666" width="5" style="17" bestFit="1" customWidth="1"/>
    <col min="6667" max="6667" width="13.140625" style="17" customWidth="1"/>
    <col min="6668" max="6913" width="8.85546875" style="17" customWidth="1"/>
    <col min="6914" max="6914" width="5" style="17" bestFit="1" customWidth="1"/>
    <col min="6915" max="6915" width="13.42578125" style="17" bestFit="1" customWidth="1"/>
    <col min="6916" max="6916" width="47.28515625" style="17" bestFit="1" customWidth="1"/>
    <col min="6917" max="6917" width="18.7109375" style="17" bestFit="1" customWidth="1"/>
    <col min="6918" max="6920" width="14.85546875" style="17" bestFit="1" customWidth="1"/>
    <col min="6921" max="6921" width="10.85546875" style="17" bestFit="1" customWidth="1"/>
    <col min="6922" max="6922" width="5" style="17" bestFit="1" customWidth="1"/>
    <col min="6923" max="6923" width="13.140625" style="17" customWidth="1"/>
    <col min="6924" max="7169" width="8.85546875" style="17" customWidth="1"/>
    <col min="7170" max="7170" width="5" style="17" bestFit="1" customWidth="1"/>
    <col min="7171" max="7171" width="13.42578125" style="17" bestFit="1" customWidth="1"/>
    <col min="7172" max="7172" width="47.28515625" style="17" bestFit="1" customWidth="1"/>
    <col min="7173" max="7173" width="18.7109375" style="17" bestFit="1" customWidth="1"/>
    <col min="7174" max="7176" width="14.85546875" style="17" bestFit="1" customWidth="1"/>
    <col min="7177" max="7177" width="10.85546875" style="17" bestFit="1" customWidth="1"/>
    <col min="7178" max="7178" width="5" style="17" bestFit="1" customWidth="1"/>
    <col min="7179" max="7179" width="13.140625" style="17" customWidth="1"/>
    <col min="7180" max="7425" width="8.85546875" style="17" customWidth="1"/>
    <col min="7426" max="7426" width="5" style="17" bestFit="1" customWidth="1"/>
    <col min="7427" max="7427" width="13.42578125" style="17" bestFit="1" customWidth="1"/>
    <col min="7428" max="7428" width="47.28515625" style="17" bestFit="1" customWidth="1"/>
    <col min="7429" max="7429" width="18.7109375" style="17" bestFit="1" customWidth="1"/>
    <col min="7430" max="7432" width="14.85546875" style="17" bestFit="1" customWidth="1"/>
    <col min="7433" max="7433" width="10.85546875" style="17" bestFit="1" customWidth="1"/>
    <col min="7434" max="7434" width="5" style="17" bestFit="1" customWidth="1"/>
    <col min="7435" max="7435" width="13.140625" style="17" customWidth="1"/>
    <col min="7436" max="7681" width="8.85546875" style="17" customWidth="1"/>
    <col min="7682" max="7682" width="5" style="17" bestFit="1" customWidth="1"/>
    <col min="7683" max="7683" width="13.42578125" style="17" bestFit="1" customWidth="1"/>
    <col min="7684" max="7684" width="47.28515625" style="17" bestFit="1" customWidth="1"/>
    <col min="7685" max="7685" width="18.7109375" style="17" bestFit="1" customWidth="1"/>
    <col min="7686" max="7688" width="14.85546875" style="17" bestFit="1" customWidth="1"/>
    <col min="7689" max="7689" width="10.85546875" style="17" bestFit="1" customWidth="1"/>
    <col min="7690" max="7690" width="5" style="17" bestFit="1" customWidth="1"/>
    <col min="7691" max="7691" width="13.140625" style="17" customWidth="1"/>
    <col min="7692" max="7937" width="8.85546875" style="17" customWidth="1"/>
    <col min="7938" max="7938" width="5" style="17" bestFit="1" customWidth="1"/>
    <col min="7939" max="7939" width="13.42578125" style="17" bestFit="1" customWidth="1"/>
    <col min="7940" max="7940" width="47.28515625" style="17" bestFit="1" customWidth="1"/>
    <col min="7941" max="7941" width="18.7109375" style="17" bestFit="1" customWidth="1"/>
    <col min="7942" max="7944" width="14.85546875" style="17" bestFit="1" customWidth="1"/>
    <col min="7945" max="7945" width="10.85546875" style="17" bestFit="1" customWidth="1"/>
    <col min="7946" max="7946" width="5" style="17" bestFit="1" customWidth="1"/>
    <col min="7947" max="7947" width="13.140625" style="17" customWidth="1"/>
    <col min="7948" max="8193" width="8.85546875" style="17" customWidth="1"/>
    <col min="8194" max="8194" width="5" style="17" bestFit="1" customWidth="1"/>
    <col min="8195" max="8195" width="13.42578125" style="17" bestFit="1" customWidth="1"/>
    <col min="8196" max="8196" width="47.28515625" style="17" bestFit="1" customWidth="1"/>
    <col min="8197" max="8197" width="18.7109375" style="17" bestFit="1" customWidth="1"/>
    <col min="8198" max="8200" width="14.85546875" style="17" bestFit="1" customWidth="1"/>
    <col min="8201" max="8201" width="10.85546875" style="17" bestFit="1" customWidth="1"/>
    <col min="8202" max="8202" width="5" style="17" bestFit="1" customWidth="1"/>
    <col min="8203" max="8203" width="13.140625" style="17" customWidth="1"/>
    <col min="8204" max="8449" width="8.85546875" style="17" customWidth="1"/>
    <col min="8450" max="8450" width="5" style="17" bestFit="1" customWidth="1"/>
    <col min="8451" max="8451" width="13.42578125" style="17" bestFit="1" customWidth="1"/>
    <col min="8452" max="8452" width="47.28515625" style="17" bestFit="1" customWidth="1"/>
    <col min="8453" max="8453" width="18.7109375" style="17" bestFit="1" customWidth="1"/>
    <col min="8454" max="8456" width="14.85546875" style="17" bestFit="1" customWidth="1"/>
    <col min="8457" max="8457" width="10.85546875" style="17" bestFit="1" customWidth="1"/>
    <col min="8458" max="8458" width="5" style="17" bestFit="1" customWidth="1"/>
    <col min="8459" max="8459" width="13.140625" style="17" customWidth="1"/>
    <col min="8460" max="8705" width="8.85546875" style="17" customWidth="1"/>
    <col min="8706" max="8706" width="5" style="17" bestFit="1" customWidth="1"/>
    <col min="8707" max="8707" width="13.42578125" style="17" bestFit="1" customWidth="1"/>
    <col min="8708" max="8708" width="47.28515625" style="17" bestFit="1" customWidth="1"/>
    <col min="8709" max="8709" width="18.7109375" style="17" bestFit="1" customWidth="1"/>
    <col min="8710" max="8712" width="14.85546875" style="17" bestFit="1" customWidth="1"/>
    <col min="8713" max="8713" width="10.85546875" style="17" bestFit="1" customWidth="1"/>
    <col min="8714" max="8714" width="5" style="17" bestFit="1" customWidth="1"/>
    <col min="8715" max="8715" width="13.140625" style="17" customWidth="1"/>
    <col min="8716" max="8961" width="8.85546875" style="17" customWidth="1"/>
    <col min="8962" max="8962" width="5" style="17" bestFit="1" customWidth="1"/>
    <col min="8963" max="8963" width="13.42578125" style="17" bestFit="1" customWidth="1"/>
    <col min="8964" max="8964" width="47.28515625" style="17" bestFit="1" customWidth="1"/>
    <col min="8965" max="8965" width="18.7109375" style="17" bestFit="1" customWidth="1"/>
    <col min="8966" max="8968" width="14.85546875" style="17" bestFit="1" customWidth="1"/>
    <col min="8969" max="8969" width="10.85546875" style="17" bestFit="1" customWidth="1"/>
    <col min="8970" max="8970" width="5" style="17" bestFit="1" customWidth="1"/>
    <col min="8971" max="8971" width="13.140625" style="17" customWidth="1"/>
    <col min="8972" max="9217" width="8.85546875" style="17" customWidth="1"/>
    <col min="9218" max="9218" width="5" style="17" bestFit="1" customWidth="1"/>
    <col min="9219" max="9219" width="13.42578125" style="17" bestFit="1" customWidth="1"/>
    <col min="9220" max="9220" width="47.28515625" style="17" bestFit="1" customWidth="1"/>
    <col min="9221" max="9221" width="18.7109375" style="17" bestFit="1" customWidth="1"/>
    <col min="9222" max="9224" width="14.85546875" style="17" bestFit="1" customWidth="1"/>
    <col min="9225" max="9225" width="10.85546875" style="17" bestFit="1" customWidth="1"/>
    <col min="9226" max="9226" width="5" style="17" bestFit="1" customWidth="1"/>
    <col min="9227" max="9227" width="13.140625" style="17" customWidth="1"/>
    <col min="9228" max="9473" width="8.85546875" style="17" customWidth="1"/>
    <col min="9474" max="9474" width="5" style="17" bestFit="1" customWidth="1"/>
    <col min="9475" max="9475" width="13.42578125" style="17" bestFit="1" customWidth="1"/>
    <col min="9476" max="9476" width="47.28515625" style="17" bestFit="1" customWidth="1"/>
    <col min="9477" max="9477" width="18.7109375" style="17" bestFit="1" customWidth="1"/>
    <col min="9478" max="9480" width="14.85546875" style="17" bestFit="1" customWidth="1"/>
    <col min="9481" max="9481" width="10.85546875" style="17" bestFit="1" customWidth="1"/>
    <col min="9482" max="9482" width="5" style="17" bestFit="1" customWidth="1"/>
    <col min="9483" max="9483" width="13.140625" style="17" customWidth="1"/>
    <col min="9484" max="9729" width="8.85546875" style="17" customWidth="1"/>
    <col min="9730" max="9730" width="5" style="17" bestFit="1" customWidth="1"/>
    <col min="9731" max="9731" width="13.42578125" style="17" bestFit="1" customWidth="1"/>
    <col min="9732" max="9732" width="47.28515625" style="17" bestFit="1" customWidth="1"/>
    <col min="9733" max="9733" width="18.7109375" style="17" bestFit="1" customWidth="1"/>
    <col min="9734" max="9736" width="14.85546875" style="17" bestFit="1" customWidth="1"/>
    <col min="9737" max="9737" width="10.85546875" style="17" bestFit="1" customWidth="1"/>
    <col min="9738" max="9738" width="5" style="17" bestFit="1" customWidth="1"/>
    <col min="9739" max="9739" width="13.140625" style="17" customWidth="1"/>
    <col min="9740" max="9985" width="8.85546875" style="17" customWidth="1"/>
    <col min="9986" max="9986" width="5" style="17" bestFit="1" customWidth="1"/>
    <col min="9987" max="9987" width="13.42578125" style="17" bestFit="1" customWidth="1"/>
    <col min="9988" max="9988" width="47.28515625" style="17" bestFit="1" customWidth="1"/>
    <col min="9989" max="9989" width="18.7109375" style="17" bestFit="1" customWidth="1"/>
    <col min="9990" max="9992" width="14.85546875" style="17" bestFit="1" customWidth="1"/>
    <col min="9993" max="9993" width="10.85546875" style="17" bestFit="1" customWidth="1"/>
    <col min="9994" max="9994" width="5" style="17" bestFit="1" customWidth="1"/>
    <col min="9995" max="9995" width="13.140625" style="17" customWidth="1"/>
    <col min="9996" max="10241" width="8.85546875" style="17" customWidth="1"/>
    <col min="10242" max="10242" width="5" style="17" bestFit="1" customWidth="1"/>
    <col min="10243" max="10243" width="13.42578125" style="17" bestFit="1" customWidth="1"/>
    <col min="10244" max="10244" width="47.28515625" style="17" bestFit="1" customWidth="1"/>
    <col min="10245" max="10245" width="18.7109375" style="17" bestFit="1" customWidth="1"/>
    <col min="10246" max="10248" width="14.85546875" style="17" bestFit="1" customWidth="1"/>
    <col min="10249" max="10249" width="10.85546875" style="17" bestFit="1" customWidth="1"/>
    <col min="10250" max="10250" width="5" style="17" bestFit="1" customWidth="1"/>
    <col min="10251" max="10251" width="13.140625" style="17" customWidth="1"/>
    <col min="10252" max="10497" width="8.85546875" style="17" customWidth="1"/>
    <col min="10498" max="10498" width="5" style="17" bestFit="1" customWidth="1"/>
    <col min="10499" max="10499" width="13.42578125" style="17" bestFit="1" customWidth="1"/>
    <col min="10500" max="10500" width="47.28515625" style="17" bestFit="1" customWidth="1"/>
    <col min="10501" max="10501" width="18.7109375" style="17" bestFit="1" customWidth="1"/>
    <col min="10502" max="10504" width="14.85546875" style="17" bestFit="1" customWidth="1"/>
    <col min="10505" max="10505" width="10.85546875" style="17" bestFit="1" customWidth="1"/>
    <col min="10506" max="10506" width="5" style="17" bestFit="1" customWidth="1"/>
    <col min="10507" max="10507" width="13.140625" style="17" customWidth="1"/>
    <col min="10508" max="10753" width="8.85546875" style="17" customWidth="1"/>
    <col min="10754" max="10754" width="5" style="17" bestFit="1" customWidth="1"/>
    <col min="10755" max="10755" width="13.42578125" style="17" bestFit="1" customWidth="1"/>
    <col min="10756" max="10756" width="47.28515625" style="17" bestFit="1" customWidth="1"/>
    <col min="10757" max="10757" width="18.7109375" style="17" bestFit="1" customWidth="1"/>
    <col min="10758" max="10760" width="14.85546875" style="17" bestFit="1" customWidth="1"/>
    <col min="10761" max="10761" width="10.85546875" style="17" bestFit="1" customWidth="1"/>
    <col min="10762" max="10762" width="5" style="17" bestFit="1" customWidth="1"/>
    <col min="10763" max="10763" width="13.140625" style="17" customWidth="1"/>
    <col min="10764" max="11009" width="8.85546875" style="17" customWidth="1"/>
    <col min="11010" max="11010" width="5" style="17" bestFit="1" customWidth="1"/>
    <col min="11011" max="11011" width="13.42578125" style="17" bestFit="1" customWidth="1"/>
    <col min="11012" max="11012" width="47.28515625" style="17" bestFit="1" customWidth="1"/>
    <col min="11013" max="11013" width="18.7109375" style="17" bestFit="1" customWidth="1"/>
    <col min="11014" max="11016" width="14.85546875" style="17" bestFit="1" customWidth="1"/>
    <col min="11017" max="11017" width="10.85546875" style="17" bestFit="1" customWidth="1"/>
    <col min="11018" max="11018" width="5" style="17" bestFit="1" customWidth="1"/>
    <col min="11019" max="11019" width="13.140625" style="17" customWidth="1"/>
    <col min="11020" max="11265" width="8.85546875" style="17" customWidth="1"/>
    <col min="11266" max="11266" width="5" style="17" bestFit="1" customWidth="1"/>
    <col min="11267" max="11267" width="13.42578125" style="17" bestFit="1" customWidth="1"/>
    <col min="11268" max="11268" width="47.28515625" style="17" bestFit="1" customWidth="1"/>
    <col min="11269" max="11269" width="18.7109375" style="17" bestFit="1" customWidth="1"/>
    <col min="11270" max="11272" width="14.85546875" style="17" bestFit="1" customWidth="1"/>
    <col min="11273" max="11273" width="10.85546875" style="17" bestFit="1" customWidth="1"/>
    <col min="11274" max="11274" width="5" style="17" bestFit="1" customWidth="1"/>
    <col min="11275" max="11275" width="13.140625" style="17" customWidth="1"/>
    <col min="11276" max="11521" width="8.85546875" style="17" customWidth="1"/>
    <col min="11522" max="11522" width="5" style="17" bestFit="1" customWidth="1"/>
    <col min="11523" max="11523" width="13.42578125" style="17" bestFit="1" customWidth="1"/>
    <col min="11524" max="11524" width="47.28515625" style="17" bestFit="1" customWidth="1"/>
    <col min="11525" max="11525" width="18.7109375" style="17" bestFit="1" customWidth="1"/>
    <col min="11526" max="11528" width="14.85546875" style="17" bestFit="1" customWidth="1"/>
    <col min="11529" max="11529" width="10.85546875" style="17" bestFit="1" customWidth="1"/>
    <col min="11530" max="11530" width="5" style="17" bestFit="1" customWidth="1"/>
    <col min="11531" max="11531" width="13.140625" style="17" customWidth="1"/>
    <col min="11532" max="11777" width="8.85546875" style="17" customWidth="1"/>
    <col min="11778" max="11778" width="5" style="17" bestFit="1" customWidth="1"/>
    <col min="11779" max="11779" width="13.42578125" style="17" bestFit="1" customWidth="1"/>
    <col min="11780" max="11780" width="47.28515625" style="17" bestFit="1" customWidth="1"/>
    <col min="11781" max="11781" width="18.7109375" style="17" bestFit="1" customWidth="1"/>
    <col min="11782" max="11784" width="14.85546875" style="17" bestFit="1" customWidth="1"/>
    <col min="11785" max="11785" width="10.85546875" style="17" bestFit="1" customWidth="1"/>
    <col min="11786" max="11786" width="5" style="17" bestFit="1" customWidth="1"/>
    <col min="11787" max="11787" width="13.140625" style="17" customWidth="1"/>
    <col min="11788" max="12033" width="8.85546875" style="17" customWidth="1"/>
    <col min="12034" max="12034" width="5" style="17" bestFit="1" customWidth="1"/>
    <col min="12035" max="12035" width="13.42578125" style="17" bestFit="1" customWidth="1"/>
    <col min="12036" max="12036" width="47.28515625" style="17" bestFit="1" customWidth="1"/>
    <col min="12037" max="12037" width="18.7109375" style="17" bestFit="1" customWidth="1"/>
    <col min="12038" max="12040" width="14.85546875" style="17" bestFit="1" customWidth="1"/>
    <col min="12041" max="12041" width="10.85546875" style="17" bestFit="1" customWidth="1"/>
    <col min="12042" max="12042" width="5" style="17" bestFit="1" customWidth="1"/>
    <col min="12043" max="12043" width="13.140625" style="17" customWidth="1"/>
    <col min="12044" max="12289" width="8.85546875" style="17" customWidth="1"/>
    <col min="12290" max="12290" width="5" style="17" bestFit="1" customWidth="1"/>
    <col min="12291" max="12291" width="13.42578125" style="17" bestFit="1" customWidth="1"/>
    <col min="12292" max="12292" width="47.28515625" style="17" bestFit="1" customWidth="1"/>
    <col min="12293" max="12293" width="18.7109375" style="17" bestFit="1" customWidth="1"/>
    <col min="12294" max="12296" width="14.85546875" style="17" bestFit="1" customWidth="1"/>
    <col min="12297" max="12297" width="10.85546875" style="17" bestFit="1" customWidth="1"/>
    <col min="12298" max="12298" width="5" style="17" bestFit="1" customWidth="1"/>
    <col min="12299" max="12299" width="13.140625" style="17" customWidth="1"/>
    <col min="12300" max="12545" width="8.85546875" style="17" customWidth="1"/>
    <col min="12546" max="12546" width="5" style="17" bestFit="1" customWidth="1"/>
    <col min="12547" max="12547" width="13.42578125" style="17" bestFit="1" customWidth="1"/>
    <col min="12548" max="12548" width="47.28515625" style="17" bestFit="1" customWidth="1"/>
    <col min="12549" max="12549" width="18.7109375" style="17" bestFit="1" customWidth="1"/>
    <col min="12550" max="12552" width="14.85546875" style="17" bestFit="1" customWidth="1"/>
    <col min="12553" max="12553" width="10.85546875" style="17" bestFit="1" customWidth="1"/>
    <col min="12554" max="12554" width="5" style="17" bestFit="1" customWidth="1"/>
    <col min="12555" max="12555" width="13.140625" style="17" customWidth="1"/>
    <col min="12556" max="12801" width="8.85546875" style="17" customWidth="1"/>
    <col min="12802" max="12802" width="5" style="17" bestFit="1" customWidth="1"/>
    <col min="12803" max="12803" width="13.42578125" style="17" bestFit="1" customWidth="1"/>
    <col min="12804" max="12804" width="47.28515625" style="17" bestFit="1" customWidth="1"/>
    <col min="12805" max="12805" width="18.7109375" style="17" bestFit="1" customWidth="1"/>
    <col min="12806" max="12808" width="14.85546875" style="17" bestFit="1" customWidth="1"/>
    <col min="12809" max="12809" width="10.85546875" style="17" bestFit="1" customWidth="1"/>
    <col min="12810" max="12810" width="5" style="17" bestFit="1" customWidth="1"/>
    <col min="12811" max="12811" width="13.140625" style="17" customWidth="1"/>
    <col min="12812" max="13057" width="8.85546875" style="17" customWidth="1"/>
    <col min="13058" max="13058" width="5" style="17" bestFit="1" customWidth="1"/>
    <col min="13059" max="13059" width="13.42578125" style="17" bestFit="1" customWidth="1"/>
    <col min="13060" max="13060" width="47.28515625" style="17" bestFit="1" customWidth="1"/>
    <col min="13061" max="13061" width="18.7109375" style="17" bestFit="1" customWidth="1"/>
    <col min="13062" max="13064" width="14.85546875" style="17" bestFit="1" customWidth="1"/>
    <col min="13065" max="13065" width="10.85546875" style="17" bestFit="1" customWidth="1"/>
    <col min="13066" max="13066" width="5" style="17" bestFit="1" customWidth="1"/>
    <col min="13067" max="13067" width="13.140625" style="17" customWidth="1"/>
    <col min="13068" max="13313" width="8.85546875" style="17" customWidth="1"/>
    <col min="13314" max="13314" width="5" style="17" bestFit="1" customWidth="1"/>
    <col min="13315" max="13315" width="13.42578125" style="17" bestFit="1" customWidth="1"/>
    <col min="13316" max="13316" width="47.28515625" style="17" bestFit="1" customWidth="1"/>
    <col min="13317" max="13317" width="18.7109375" style="17" bestFit="1" customWidth="1"/>
    <col min="13318" max="13320" width="14.85546875" style="17" bestFit="1" customWidth="1"/>
    <col min="13321" max="13321" width="10.85546875" style="17" bestFit="1" customWidth="1"/>
    <col min="13322" max="13322" width="5" style="17" bestFit="1" customWidth="1"/>
    <col min="13323" max="13323" width="13.140625" style="17" customWidth="1"/>
    <col min="13324" max="13569" width="8.85546875" style="17" customWidth="1"/>
    <col min="13570" max="13570" width="5" style="17" bestFit="1" customWidth="1"/>
    <col min="13571" max="13571" width="13.42578125" style="17" bestFit="1" customWidth="1"/>
    <col min="13572" max="13572" width="47.28515625" style="17" bestFit="1" customWidth="1"/>
    <col min="13573" max="13573" width="18.7109375" style="17" bestFit="1" customWidth="1"/>
    <col min="13574" max="13576" width="14.85546875" style="17" bestFit="1" customWidth="1"/>
    <col min="13577" max="13577" width="10.85546875" style="17" bestFit="1" customWidth="1"/>
    <col min="13578" max="13578" width="5" style="17" bestFit="1" customWidth="1"/>
    <col min="13579" max="13579" width="13.140625" style="17" customWidth="1"/>
    <col min="13580" max="13825" width="8.85546875" style="17" customWidth="1"/>
    <col min="13826" max="13826" width="5" style="17" bestFit="1" customWidth="1"/>
    <col min="13827" max="13827" width="13.42578125" style="17" bestFit="1" customWidth="1"/>
    <col min="13828" max="13828" width="47.28515625" style="17" bestFit="1" customWidth="1"/>
    <col min="13829" max="13829" width="18.7109375" style="17" bestFit="1" customWidth="1"/>
    <col min="13830" max="13832" width="14.85546875" style="17" bestFit="1" customWidth="1"/>
    <col min="13833" max="13833" width="10.85546875" style="17" bestFit="1" customWidth="1"/>
    <col min="13834" max="13834" width="5" style="17" bestFit="1" customWidth="1"/>
    <col min="13835" max="13835" width="13.140625" style="17" customWidth="1"/>
    <col min="13836" max="14081" width="8.85546875" style="17" customWidth="1"/>
    <col min="14082" max="14082" width="5" style="17" bestFit="1" customWidth="1"/>
    <col min="14083" max="14083" width="13.42578125" style="17" bestFit="1" customWidth="1"/>
    <col min="14084" max="14084" width="47.28515625" style="17" bestFit="1" customWidth="1"/>
    <col min="14085" max="14085" width="18.7109375" style="17" bestFit="1" customWidth="1"/>
    <col min="14086" max="14088" width="14.85546875" style="17" bestFit="1" customWidth="1"/>
    <col min="14089" max="14089" width="10.85546875" style="17" bestFit="1" customWidth="1"/>
    <col min="14090" max="14090" width="5" style="17" bestFit="1" customWidth="1"/>
    <col min="14091" max="14091" width="13.140625" style="17" customWidth="1"/>
    <col min="14092" max="14337" width="8.85546875" style="17" customWidth="1"/>
    <col min="14338" max="14338" width="5" style="17" bestFit="1" customWidth="1"/>
    <col min="14339" max="14339" width="13.42578125" style="17" bestFit="1" customWidth="1"/>
    <col min="14340" max="14340" width="47.28515625" style="17" bestFit="1" customWidth="1"/>
    <col min="14341" max="14341" width="18.7109375" style="17" bestFit="1" customWidth="1"/>
    <col min="14342" max="14344" width="14.85546875" style="17" bestFit="1" customWidth="1"/>
    <col min="14345" max="14345" width="10.85546875" style="17" bestFit="1" customWidth="1"/>
    <col min="14346" max="14346" width="5" style="17" bestFit="1" customWidth="1"/>
    <col min="14347" max="14347" width="13.140625" style="17" customWidth="1"/>
    <col min="14348" max="14593" width="8.85546875" style="17" customWidth="1"/>
    <col min="14594" max="14594" width="5" style="17" bestFit="1" customWidth="1"/>
    <col min="14595" max="14595" width="13.42578125" style="17" bestFit="1" customWidth="1"/>
    <col min="14596" max="14596" width="47.28515625" style="17" bestFit="1" customWidth="1"/>
    <col min="14597" max="14597" width="18.7109375" style="17" bestFit="1" customWidth="1"/>
    <col min="14598" max="14600" width="14.85546875" style="17" bestFit="1" customWidth="1"/>
    <col min="14601" max="14601" width="10.85546875" style="17" bestFit="1" customWidth="1"/>
    <col min="14602" max="14602" width="5" style="17" bestFit="1" customWidth="1"/>
    <col min="14603" max="14603" width="13.140625" style="17" customWidth="1"/>
    <col min="14604" max="14849" width="8.85546875" style="17" customWidth="1"/>
    <col min="14850" max="14850" width="5" style="17" bestFit="1" customWidth="1"/>
    <col min="14851" max="14851" width="13.42578125" style="17" bestFit="1" customWidth="1"/>
    <col min="14852" max="14852" width="47.28515625" style="17" bestFit="1" customWidth="1"/>
    <col min="14853" max="14853" width="18.7109375" style="17" bestFit="1" customWidth="1"/>
    <col min="14854" max="14856" width="14.85546875" style="17" bestFit="1" customWidth="1"/>
    <col min="14857" max="14857" width="10.85546875" style="17" bestFit="1" customWidth="1"/>
    <col min="14858" max="14858" width="5" style="17" bestFit="1" customWidth="1"/>
    <col min="14859" max="14859" width="13.140625" style="17" customWidth="1"/>
    <col min="14860" max="15105" width="8.85546875" style="17" customWidth="1"/>
    <col min="15106" max="15106" width="5" style="17" bestFit="1" customWidth="1"/>
    <col min="15107" max="15107" width="13.42578125" style="17" bestFit="1" customWidth="1"/>
    <col min="15108" max="15108" width="47.28515625" style="17" bestFit="1" customWidth="1"/>
    <col min="15109" max="15109" width="18.7109375" style="17" bestFit="1" customWidth="1"/>
    <col min="15110" max="15112" width="14.85546875" style="17" bestFit="1" customWidth="1"/>
    <col min="15113" max="15113" width="10.85546875" style="17" bestFit="1" customWidth="1"/>
    <col min="15114" max="15114" width="5" style="17" bestFit="1" customWidth="1"/>
    <col min="15115" max="15115" width="13.140625" style="17" customWidth="1"/>
    <col min="15116" max="15361" width="8.85546875" style="17" customWidth="1"/>
    <col min="15362" max="15362" width="5" style="17" bestFit="1" customWidth="1"/>
    <col min="15363" max="15363" width="13.42578125" style="17" bestFit="1" customWidth="1"/>
    <col min="15364" max="15364" width="47.28515625" style="17" bestFit="1" customWidth="1"/>
    <col min="15365" max="15365" width="18.7109375" style="17" bestFit="1" customWidth="1"/>
    <col min="15366" max="15368" width="14.85546875" style="17" bestFit="1" customWidth="1"/>
    <col min="15369" max="15369" width="10.85546875" style="17" bestFit="1" customWidth="1"/>
    <col min="15370" max="15370" width="5" style="17" bestFit="1" customWidth="1"/>
    <col min="15371" max="15371" width="13.140625" style="17" customWidth="1"/>
    <col min="15372" max="15617" width="8.85546875" style="17" customWidth="1"/>
    <col min="15618" max="15618" width="5" style="17" bestFit="1" customWidth="1"/>
    <col min="15619" max="15619" width="13.42578125" style="17" bestFit="1" customWidth="1"/>
    <col min="15620" max="15620" width="47.28515625" style="17" bestFit="1" customWidth="1"/>
    <col min="15621" max="15621" width="18.7109375" style="17" bestFit="1" customWidth="1"/>
    <col min="15622" max="15624" width="14.85546875" style="17" bestFit="1" customWidth="1"/>
    <col min="15625" max="15625" width="10.85546875" style="17" bestFit="1" customWidth="1"/>
    <col min="15626" max="15626" width="5" style="17" bestFit="1" customWidth="1"/>
    <col min="15627" max="15627" width="13.140625" style="17" customWidth="1"/>
    <col min="15628" max="15873" width="8.85546875" style="17" customWidth="1"/>
    <col min="15874" max="15874" width="5" style="17" bestFit="1" customWidth="1"/>
    <col min="15875" max="15875" width="13.42578125" style="17" bestFit="1" customWidth="1"/>
    <col min="15876" max="15876" width="47.28515625" style="17" bestFit="1" customWidth="1"/>
    <col min="15877" max="15877" width="18.7109375" style="17" bestFit="1" customWidth="1"/>
    <col min="15878" max="15880" width="14.85546875" style="17" bestFit="1" customWidth="1"/>
    <col min="15881" max="15881" width="10.85546875" style="17" bestFit="1" customWidth="1"/>
    <col min="15882" max="15882" width="5" style="17" bestFit="1" customWidth="1"/>
    <col min="15883" max="15883" width="13.140625" style="17" customWidth="1"/>
    <col min="15884" max="16129" width="8.85546875" style="17" customWidth="1"/>
    <col min="16130" max="16130" width="5" style="17" bestFit="1" customWidth="1"/>
    <col min="16131" max="16131" width="13.42578125" style="17" bestFit="1" customWidth="1"/>
    <col min="16132" max="16132" width="47.28515625" style="17" bestFit="1" customWidth="1"/>
    <col min="16133" max="16133" width="18.7109375" style="17" bestFit="1" customWidth="1"/>
    <col min="16134" max="16136" width="14.85546875" style="17" bestFit="1" customWidth="1"/>
    <col min="16137" max="16137" width="10.85546875" style="17" bestFit="1" customWidth="1"/>
    <col min="16138" max="16138" width="5" style="17" bestFit="1" customWidth="1"/>
    <col min="16139" max="16139" width="13.140625" style="17" customWidth="1"/>
    <col min="16140" max="16384" width="8.85546875" style="17" customWidth="1"/>
  </cols>
  <sheetData>
    <row r="1" spans="1:32" s="58" customFormat="1" ht="49.15" customHeight="1">
      <c r="B1" s="44" t="s">
        <v>0</v>
      </c>
      <c r="C1" s="45" t="s">
        <v>1</v>
      </c>
      <c r="D1" s="44" t="s">
        <v>2</v>
      </c>
      <c r="E1" s="46" t="s">
        <v>3</v>
      </c>
      <c r="F1" s="46" t="s">
        <v>4</v>
      </c>
      <c r="G1" s="46" t="s">
        <v>5</v>
      </c>
      <c r="H1" s="51" t="s">
        <v>6</v>
      </c>
      <c r="I1" s="51" t="s">
        <v>77</v>
      </c>
      <c r="J1" s="213" t="s">
        <v>112</v>
      </c>
      <c r="K1" s="213" t="s">
        <v>79</v>
      </c>
      <c r="L1" s="38" t="s">
        <v>94</v>
      </c>
      <c r="M1" s="38" t="s">
        <v>54</v>
      </c>
      <c r="N1" s="57"/>
      <c r="O1" s="62" t="s">
        <v>55</v>
      </c>
      <c r="P1" s="62" t="s">
        <v>64</v>
      </c>
      <c r="Q1" s="62" t="s">
        <v>56</v>
      </c>
      <c r="R1" s="63" t="s">
        <v>57</v>
      </c>
      <c r="S1" s="62" t="s">
        <v>30</v>
      </c>
      <c r="T1" s="62" t="s">
        <v>58</v>
      </c>
      <c r="U1" s="62" t="s">
        <v>36</v>
      </c>
      <c r="V1" s="62" t="s">
        <v>34</v>
      </c>
      <c r="W1" s="64" t="s">
        <v>59</v>
      </c>
      <c r="X1" s="64" t="s">
        <v>60</v>
      </c>
      <c r="Y1" s="64" t="s">
        <v>103</v>
      </c>
      <c r="Z1" s="65" t="s">
        <v>102</v>
      </c>
      <c r="AA1" s="65" t="s">
        <v>76</v>
      </c>
      <c r="AB1" s="65" t="s">
        <v>61</v>
      </c>
      <c r="AC1" s="65" t="s">
        <v>104</v>
      </c>
      <c r="AD1" s="65" t="s">
        <v>62</v>
      </c>
      <c r="AE1" s="64" t="s">
        <v>63</v>
      </c>
      <c r="AF1" s="63" t="s">
        <v>93</v>
      </c>
    </row>
    <row r="2" spans="1:32" ht="16.899999999999999" customHeight="1">
      <c r="A2" s="146"/>
      <c r="B2" s="147"/>
      <c r="C2" s="148"/>
      <c r="D2" s="147"/>
      <c r="E2" s="54"/>
      <c r="F2" s="54"/>
      <c r="G2" s="54"/>
      <c r="H2" s="149"/>
      <c r="I2" s="146"/>
      <c r="J2" s="17"/>
      <c r="K2" s="70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</row>
    <row r="3" spans="1:32" ht="16.899999999999999" customHeight="1">
      <c r="A3" s="146"/>
      <c r="B3" s="147"/>
      <c r="C3" s="148"/>
      <c r="D3" s="147"/>
      <c r="E3" s="54"/>
      <c r="F3" s="54"/>
      <c r="G3" s="54"/>
      <c r="H3" s="149"/>
      <c r="I3" s="146"/>
      <c r="J3" s="17"/>
      <c r="K3" s="17"/>
      <c r="N3" s="36"/>
      <c r="O3" s="36"/>
      <c r="P3" s="36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</row>
    <row r="4" spans="1:32" ht="16.899999999999999" customHeight="1">
      <c r="A4" s="146"/>
      <c r="B4" s="147"/>
      <c r="C4" s="28"/>
      <c r="D4" s="147"/>
      <c r="E4" s="54"/>
      <c r="F4" s="54"/>
      <c r="G4" s="54"/>
      <c r="H4" s="149"/>
      <c r="I4" s="146"/>
      <c r="J4" s="17"/>
      <c r="K4" s="17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</row>
    <row r="5" spans="1:32" ht="16.899999999999999" customHeight="1">
      <c r="A5" s="146"/>
      <c r="B5" s="147"/>
      <c r="C5" s="28"/>
      <c r="D5" s="147"/>
      <c r="E5" s="54"/>
      <c r="F5" s="54"/>
      <c r="G5" s="54"/>
      <c r="H5" s="149"/>
      <c r="I5" s="146"/>
      <c r="J5" s="17"/>
      <c r="K5" s="17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</row>
    <row r="6" spans="1:32" ht="16.899999999999999" customHeight="1">
      <c r="A6" s="146"/>
      <c r="B6" s="147"/>
      <c r="C6" s="28"/>
      <c r="D6" s="147"/>
      <c r="E6" s="54"/>
      <c r="F6" s="54"/>
      <c r="G6" s="54"/>
      <c r="H6" s="149"/>
      <c r="I6" s="146"/>
      <c r="J6" s="17"/>
      <c r="K6" s="17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</row>
    <row r="7" spans="1:32" ht="16.899999999999999" customHeight="1">
      <c r="A7" s="146"/>
      <c r="B7" s="147"/>
      <c r="C7" s="28"/>
      <c r="D7" s="147"/>
      <c r="E7" s="54"/>
      <c r="F7" s="54"/>
      <c r="G7" s="54"/>
      <c r="H7" s="149"/>
      <c r="I7" s="146"/>
      <c r="J7" s="17"/>
      <c r="K7" s="17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</row>
    <row r="8" spans="1:32" ht="16.899999999999999" customHeight="1">
      <c r="A8" s="146"/>
      <c r="B8" s="147"/>
      <c r="C8" s="148"/>
      <c r="D8" s="147"/>
      <c r="E8" s="54"/>
      <c r="F8" s="54"/>
      <c r="G8" s="54"/>
      <c r="H8" s="149"/>
      <c r="I8" s="146"/>
      <c r="J8" s="17"/>
      <c r="K8" s="17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</row>
    <row r="9" spans="1:32" ht="16.899999999999999" customHeight="1">
      <c r="A9" s="146"/>
      <c r="B9" s="147"/>
      <c r="C9" s="148"/>
      <c r="D9" s="147"/>
      <c r="E9" s="54"/>
      <c r="F9" s="54"/>
      <c r="G9" s="54"/>
      <c r="H9" s="149"/>
      <c r="I9" s="146"/>
      <c r="J9" s="17"/>
      <c r="K9" s="17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</row>
    <row r="10" spans="1:32" ht="16.899999999999999" customHeight="1">
      <c r="A10" s="146"/>
      <c r="B10" s="147"/>
      <c r="C10" s="148"/>
      <c r="D10" s="147"/>
      <c r="E10" s="54"/>
      <c r="F10" s="54"/>
      <c r="G10" s="54"/>
      <c r="H10" s="149"/>
      <c r="I10" s="146"/>
      <c r="J10" s="17"/>
      <c r="K10" s="17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</row>
    <row r="11" spans="1:32" ht="16.899999999999999" customHeight="1">
      <c r="A11" s="146"/>
      <c r="B11" s="147"/>
      <c r="C11" s="28"/>
      <c r="D11" s="147"/>
      <c r="E11" s="54"/>
      <c r="F11" s="54"/>
      <c r="G11" s="54"/>
      <c r="H11" s="149"/>
      <c r="I11" s="146"/>
      <c r="J11" s="17"/>
      <c r="K11" s="17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</row>
    <row r="12" spans="1:32" ht="16.899999999999999" customHeight="1">
      <c r="A12" s="146"/>
      <c r="B12" s="147"/>
      <c r="C12" s="148"/>
      <c r="D12" s="147"/>
      <c r="E12" s="54"/>
      <c r="F12" s="54"/>
      <c r="G12" s="54"/>
      <c r="H12" s="149"/>
      <c r="I12" s="146"/>
      <c r="J12" s="17"/>
      <c r="K12" s="17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</row>
    <row r="13" spans="1:32" ht="16.899999999999999" customHeight="1">
      <c r="A13" s="146"/>
      <c r="B13" s="147"/>
      <c r="C13" s="148"/>
      <c r="D13" s="147"/>
      <c r="E13" s="54"/>
      <c r="F13" s="54"/>
      <c r="G13" s="54"/>
      <c r="H13" s="149"/>
      <c r="I13" s="146"/>
      <c r="J13" s="17"/>
      <c r="K13" s="17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</row>
    <row r="14" spans="1:32" ht="16.899999999999999" customHeight="1">
      <c r="A14" s="146"/>
      <c r="B14" s="147"/>
      <c r="C14" s="148"/>
      <c r="D14" s="147"/>
      <c r="E14" s="54"/>
      <c r="F14" s="54"/>
      <c r="G14" s="54"/>
      <c r="H14" s="149"/>
      <c r="I14" s="146"/>
      <c r="J14" s="17"/>
      <c r="K14" s="17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</row>
    <row r="15" spans="1:32" ht="16.899999999999999" customHeight="1">
      <c r="A15" s="146"/>
      <c r="B15" s="147"/>
      <c r="C15" s="148"/>
      <c r="D15" s="147"/>
      <c r="E15" s="54"/>
      <c r="F15" s="54"/>
      <c r="G15" s="54"/>
      <c r="H15" s="149"/>
      <c r="I15" s="146"/>
      <c r="J15" s="17"/>
      <c r="K15" s="17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</row>
    <row r="16" spans="1:32" ht="16.899999999999999" customHeight="1">
      <c r="A16" s="146"/>
      <c r="B16" s="147"/>
      <c r="C16" s="148"/>
      <c r="D16" s="147"/>
      <c r="E16" s="54"/>
      <c r="F16" s="54"/>
      <c r="G16" s="54"/>
      <c r="H16" s="149"/>
      <c r="I16" s="146"/>
      <c r="J16" s="17"/>
      <c r="K16" s="17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</row>
    <row r="17" spans="1:30" ht="16.899999999999999" customHeight="1">
      <c r="A17" s="146"/>
      <c r="B17" s="147"/>
      <c r="C17" s="148"/>
      <c r="D17" s="147"/>
      <c r="E17" s="54"/>
      <c r="F17" s="54"/>
      <c r="G17" s="54"/>
      <c r="H17" s="149"/>
      <c r="I17" s="146"/>
      <c r="J17" s="17"/>
      <c r="K17" s="17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</row>
    <row r="18" spans="1:30" ht="16.899999999999999" customHeight="1">
      <c r="A18" s="146"/>
      <c r="B18" s="147"/>
      <c r="C18" s="148"/>
      <c r="D18" s="147"/>
      <c r="E18" s="54"/>
      <c r="F18" s="54"/>
      <c r="G18" s="54"/>
      <c r="H18" s="149"/>
      <c r="I18" s="146"/>
      <c r="J18" s="17"/>
      <c r="K18" s="17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</row>
    <row r="19" spans="1:30" ht="16.899999999999999" customHeight="1">
      <c r="A19" s="146"/>
      <c r="B19" s="147"/>
      <c r="C19" s="148"/>
      <c r="D19" s="147"/>
      <c r="E19" s="54"/>
      <c r="F19" s="54"/>
      <c r="G19" s="54"/>
      <c r="H19" s="149"/>
      <c r="I19" s="146"/>
      <c r="J19" s="17"/>
      <c r="K19" s="17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</row>
    <row r="20" spans="1:30" ht="16.899999999999999" customHeight="1">
      <c r="A20" s="146"/>
      <c r="B20" s="147"/>
      <c r="C20" s="148"/>
      <c r="D20" s="147"/>
      <c r="E20" s="54"/>
      <c r="F20" s="54"/>
      <c r="G20" s="54"/>
      <c r="H20" s="149"/>
      <c r="I20" s="146"/>
      <c r="J20" s="17"/>
      <c r="K20" s="17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</row>
    <row r="21" spans="1:30" ht="16.899999999999999" customHeight="1">
      <c r="A21" s="146"/>
      <c r="B21" s="147"/>
      <c r="C21" s="148"/>
      <c r="D21" s="147"/>
      <c r="E21" s="54"/>
      <c r="F21" s="54"/>
      <c r="G21" s="54"/>
      <c r="H21" s="149"/>
      <c r="I21" s="146"/>
      <c r="J21" s="17"/>
      <c r="K21" s="17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</row>
    <row r="22" spans="1:30" ht="16.899999999999999" customHeight="1">
      <c r="A22" s="146"/>
      <c r="B22" s="147"/>
      <c r="C22" s="148"/>
      <c r="D22" s="147"/>
      <c r="E22" s="54"/>
      <c r="F22" s="54"/>
      <c r="G22" s="54"/>
      <c r="H22" s="149"/>
      <c r="I22" s="146"/>
      <c r="J22" s="17"/>
      <c r="K22" s="17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</row>
    <row r="23" spans="1:30" ht="16.899999999999999" customHeight="1">
      <c r="A23" s="146"/>
      <c r="B23" s="147"/>
      <c r="C23" s="148"/>
      <c r="D23" s="147"/>
      <c r="E23" s="54"/>
      <c r="F23" s="54"/>
      <c r="G23" s="54"/>
      <c r="H23" s="149"/>
      <c r="I23" s="146"/>
      <c r="J23" s="17"/>
      <c r="K23" s="17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</row>
    <row r="24" spans="1:30" ht="16.899999999999999" customHeight="1">
      <c r="A24" s="146"/>
      <c r="B24" s="147"/>
      <c r="C24" s="148"/>
      <c r="D24" s="147"/>
      <c r="E24" s="54"/>
      <c r="F24" s="54"/>
      <c r="G24" s="54"/>
      <c r="H24" s="149"/>
      <c r="I24" s="146"/>
      <c r="J24" s="17"/>
      <c r="K24" s="17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</row>
    <row r="25" spans="1:30" ht="16.899999999999999" customHeight="1">
      <c r="A25" s="146"/>
      <c r="B25" s="147"/>
      <c r="C25" s="148"/>
      <c r="D25" s="147"/>
      <c r="E25" s="54"/>
      <c r="F25" s="54"/>
      <c r="G25" s="54"/>
      <c r="H25" s="149"/>
      <c r="I25" s="146"/>
      <c r="J25" s="17"/>
      <c r="K25" s="17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</row>
    <row r="26" spans="1:30" ht="16.899999999999999" customHeight="1">
      <c r="A26" s="146"/>
      <c r="B26" s="147"/>
      <c r="C26" s="148"/>
      <c r="D26" s="147"/>
      <c r="E26" s="54"/>
      <c r="F26" s="54"/>
      <c r="G26" s="54"/>
      <c r="H26" s="149"/>
      <c r="I26" s="146"/>
      <c r="J26" s="17"/>
      <c r="K26" s="17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</row>
    <row r="27" spans="1:30" ht="16.899999999999999" customHeight="1">
      <c r="A27" s="146"/>
      <c r="B27" s="147"/>
      <c r="C27" s="148"/>
      <c r="D27" s="147"/>
      <c r="E27" s="54"/>
      <c r="F27" s="54"/>
      <c r="G27" s="54"/>
      <c r="H27" s="149"/>
      <c r="I27" s="146"/>
      <c r="J27" s="17"/>
      <c r="K27" s="17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</row>
    <row r="28" spans="1:30" ht="16.899999999999999" customHeight="1">
      <c r="A28" s="146"/>
      <c r="B28" s="147"/>
      <c r="C28" s="148"/>
      <c r="D28" s="147"/>
      <c r="E28" s="54"/>
      <c r="F28" s="54"/>
      <c r="G28" s="54"/>
      <c r="H28" s="149"/>
      <c r="I28" s="146"/>
      <c r="J28" s="17"/>
      <c r="K28" s="17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1:30" ht="16.899999999999999" customHeight="1">
      <c r="A29" s="146"/>
      <c r="B29" s="147"/>
      <c r="C29" s="148"/>
      <c r="D29" s="147"/>
      <c r="E29" s="54"/>
      <c r="F29" s="54"/>
      <c r="G29" s="54"/>
      <c r="H29" s="149"/>
      <c r="I29" s="146"/>
      <c r="J29" s="17"/>
      <c r="K29" s="17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1:30" ht="16.899999999999999" customHeight="1">
      <c r="A30" s="146"/>
      <c r="B30" s="147"/>
      <c r="C30" s="148"/>
      <c r="D30" s="147"/>
      <c r="E30" s="54"/>
      <c r="F30" s="54"/>
      <c r="G30" s="54"/>
      <c r="H30" s="149"/>
      <c r="I30" s="146"/>
      <c r="J30" s="17"/>
      <c r="K30" s="17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</row>
    <row r="31" spans="1:30" ht="16.899999999999999" customHeight="1">
      <c r="A31" s="146"/>
      <c r="B31" s="147"/>
      <c r="C31" s="148"/>
      <c r="D31" s="147"/>
      <c r="E31" s="54"/>
      <c r="F31" s="54"/>
      <c r="G31" s="54"/>
      <c r="H31" s="149"/>
      <c r="I31" s="146"/>
      <c r="J31" s="17"/>
      <c r="K31" s="17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</row>
    <row r="32" spans="1:30" ht="16.899999999999999" customHeight="1">
      <c r="A32" s="146"/>
      <c r="B32" s="147"/>
      <c r="C32" s="148"/>
      <c r="D32" s="147"/>
      <c r="E32" s="54"/>
      <c r="F32" s="54"/>
      <c r="G32" s="54"/>
      <c r="H32" s="149"/>
      <c r="I32" s="146"/>
      <c r="J32" s="17"/>
      <c r="K32" s="17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1:30" ht="16.899999999999999" customHeight="1">
      <c r="A33" s="146"/>
      <c r="B33" s="147"/>
      <c r="C33" s="148"/>
      <c r="D33" s="147"/>
      <c r="E33" s="54"/>
      <c r="F33" s="54"/>
      <c r="G33" s="54"/>
      <c r="H33" s="149"/>
      <c r="I33" s="146"/>
      <c r="J33" s="17"/>
      <c r="K33" s="17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1:30" ht="16.899999999999999" customHeight="1">
      <c r="A34" s="146"/>
      <c r="B34" s="147"/>
      <c r="C34" s="148"/>
      <c r="D34" s="147"/>
      <c r="E34" s="54"/>
      <c r="F34" s="54"/>
      <c r="G34" s="54"/>
      <c r="H34" s="149"/>
      <c r="I34" s="146"/>
      <c r="J34" s="17"/>
      <c r="K34" s="17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</row>
    <row r="35" spans="1:30" ht="16.899999999999999" customHeight="1">
      <c r="A35" s="146"/>
      <c r="B35" s="147"/>
      <c r="C35" s="148"/>
      <c r="D35" s="147"/>
      <c r="E35" s="54"/>
      <c r="F35" s="54"/>
      <c r="G35" s="54"/>
      <c r="H35" s="149"/>
      <c r="I35" s="146"/>
      <c r="J35" s="17"/>
      <c r="K35" s="17"/>
      <c r="M35" s="31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1:30" ht="16.899999999999999" customHeight="1">
      <c r="A36" s="146"/>
      <c r="B36" s="147"/>
      <c r="C36" s="28"/>
      <c r="D36" s="147"/>
      <c r="E36" s="54"/>
      <c r="F36" s="54"/>
      <c r="G36" s="54"/>
      <c r="H36" s="149"/>
      <c r="I36" s="146"/>
      <c r="J36" s="17"/>
      <c r="K36" s="17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1:30" ht="16.899999999999999" customHeight="1">
      <c r="A37" s="146"/>
      <c r="B37" s="147"/>
      <c r="C37" s="28"/>
      <c r="D37" s="147"/>
      <c r="E37" s="54"/>
      <c r="F37" s="54"/>
      <c r="G37" s="54"/>
      <c r="H37" s="149"/>
      <c r="I37" s="146"/>
      <c r="J37" s="17"/>
      <c r="K37" s="17"/>
      <c r="L37" s="145"/>
      <c r="M37" s="103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6.899999999999999" customHeight="1">
      <c r="A38" s="146"/>
      <c r="B38" s="147"/>
      <c r="C38" s="28"/>
      <c r="D38" s="147"/>
      <c r="E38" s="54"/>
      <c r="F38" s="54"/>
      <c r="G38" s="54"/>
      <c r="H38" s="149"/>
      <c r="I38" s="146"/>
      <c r="J38" s="17"/>
      <c r="K38" s="150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1:30" ht="16.899999999999999" customHeight="1">
      <c r="A39" s="146"/>
      <c r="B39" s="147"/>
      <c r="C39" s="28"/>
      <c r="D39" s="147"/>
      <c r="E39" s="54"/>
      <c r="F39" s="54"/>
      <c r="G39" s="54"/>
      <c r="H39" s="149"/>
      <c r="I39" s="146"/>
      <c r="J39" s="17"/>
      <c r="K39" s="151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1:30" ht="16.899999999999999" customHeight="1">
      <c r="A40" s="146"/>
      <c r="B40" s="147"/>
      <c r="C40" s="28"/>
      <c r="D40" s="147"/>
      <c r="E40" s="54"/>
      <c r="F40" s="54"/>
      <c r="G40" s="54"/>
      <c r="H40" s="149"/>
      <c r="I40" s="146"/>
      <c r="J40" s="17"/>
      <c r="K40" s="151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1:30" ht="16.899999999999999" customHeight="1">
      <c r="A41" s="146"/>
      <c r="B41" s="147"/>
      <c r="C41" s="28"/>
      <c r="D41" s="147"/>
      <c r="E41" s="54"/>
      <c r="F41" s="54"/>
      <c r="G41" s="54"/>
      <c r="H41" s="149"/>
      <c r="I41" s="146"/>
      <c r="J41" s="17"/>
      <c r="K41" s="151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1:30" ht="16.899999999999999" customHeight="1">
      <c r="A42" s="146"/>
      <c r="B42" s="147"/>
      <c r="C42" s="28"/>
      <c r="D42" s="147"/>
      <c r="E42" s="54"/>
      <c r="F42" s="54"/>
      <c r="G42" s="54"/>
      <c r="H42" s="149"/>
      <c r="I42" s="146"/>
      <c r="J42" s="17"/>
      <c r="K42" s="151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1:30" ht="16.899999999999999" customHeight="1">
      <c r="A43" s="146"/>
      <c r="B43" s="147"/>
      <c r="C43" s="28"/>
      <c r="D43" s="147"/>
      <c r="E43" s="54"/>
      <c r="F43" s="54"/>
      <c r="G43" s="54"/>
      <c r="H43" s="149"/>
      <c r="I43" s="146"/>
      <c r="J43" s="17"/>
      <c r="K43" s="151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1:30" ht="16.899999999999999" customHeight="1">
      <c r="A44" s="146"/>
      <c r="B44" s="147"/>
      <c r="C44" s="148"/>
      <c r="D44" s="147"/>
      <c r="E44" s="54"/>
      <c r="F44" s="54"/>
      <c r="G44" s="54"/>
      <c r="H44" s="149"/>
      <c r="I44" s="146"/>
      <c r="J44" s="17"/>
      <c r="K44" s="151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1:30" ht="16.899999999999999" customHeight="1">
      <c r="A45" s="146"/>
      <c r="B45" s="147"/>
      <c r="C45" s="28"/>
      <c r="D45" s="147"/>
      <c r="E45" s="54"/>
      <c r="F45" s="54"/>
      <c r="G45" s="54"/>
      <c r="H45" s="149"/>
      <c r="I45" s="146"/>
      <c r="J45" s="17"/>
      <c r="K45" s="151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  <row r="46" spans="1:30" ht="16.899999999999999" customHeight="1">
      <c r="A46" s="146"/>
      <c r="B46" s="147"/>
      <c r="C46" s="28"/>
      <c r="D46" s="147"/>
      <c r="E46" s="54"/>
      <c r="F46" s="54"/>
      <c r="G46" s="54"/>
      <c r="H46" s="149"/>
      <c r="I46" s="146"/>
      <c r="J46" s="17"/>
      <c r="K46" s="142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</row>
    <row r="47" spans="1:30" ht="16.899999999999999" customHeight="1">
      <c r="A47" s="146"/>
      <c r="B47" s="147"/>
      <c r="C47" s="148"/>
      <c r="D47" s="147"/>
      <c r="E47" s="54"/>
      <c r="F47" s="54"/>
      <c r="G47" s="54"/>
      <c r="H47" s="149"/>
      <c r="I47" s="146"/>
      <c r="J47" s="17"/>
      <c r="K47" s="142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</row>
    <row r="48" spans="1:30" ht="16.899999999999999" customHeight="1">
      <c r="A48" s="146"/>
      <c r="B48" s="147"/>
      <c r="C48" s="148"/>
      <c r="D48" s="147"/>
      <c r="E48" s="54"/>
      <c r="F48" s="54"/>
      <c r="G48" s="54"/>
      <c r="H48" s="149"/>
      <c r="I48" s="146"/>
      <c r="J48" s="17"/>
      <c r="K48" s="142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</row>
    <row r="49" spans="1:30" ht="16.899999999999999" customHeight="1">
      <c r="A49" s="146"/>
      <c r="B49" s="147"/>
      <c r="C49" s="148"/>
      <c r="D49" s="147"/>
      <c r="E49" s="54"/>
      <c r="F49" s="54"/>
      <c r="G49" s="54"/>
      <c r="H49" s="149"/>
      <c r="I49" s="146"/>
      <c r="J49" s="17"/>
      <c r="K49" s="142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</row>
    <row r="50" spans="1:30" ht="16.899999999999999" customHeight="1">
      <c r="A50" s="146"/>
      <c r="B50" s="147"/>
      <c r="C50" s="148"/>
      <c r="D50" s="147"/>
      <c r="E50" s="54"/>
      <c r="F50" s="54"/>
      <c r="G50" s="54"/>
      <c r="H50" s="149"/>
      <c r="I50" s="146"/>
      <c r="K50" s="151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</row>
    <row r="51" spans="1:30" ht="16.899999999999999" customHeight="1">
      <c r="A51" s="146"/>
      <c r="B51" s="147"/>
      <c r="C51" s="148"/>
      <c r="D51" s="147"/>
      <c r="E51" s="54"/>
      <c r="F51" s="54"/>
      <c r="G51" s="54"/>
      <c r="H51" s="149"/>
      <c r="I51" s="146"/>
      <c r="K51" s="151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</row>
    <row r="52" spans="1:30" ht="16.899999999999999" customHeight="1">
      <c r="A52" s="146"/>
      <c r="B52" s="147"/>
      <c r="C52" s="148"/>
      <c r="D52" s="147"/>
      <c r="E52" s="54"/>
      <c r="F52" s="54"/>
      <c r="G52" s="54"/>
      <c r="H52" s="149"/>
      <c r="I52" s="146"/>
      <c r="K52" s="151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</row>
    <row r="53" spans="1:30" ht="16.899999999999999" customHeight="1">
      <c r="A53" s="146"/>
      <c r="B53" s="147"/>
      <c r="C53" s="148"/>
      <c r="D53" s="147"/>
      <c r="E53" s="54"/>
      <c r="F53" s="54"/>
      <c r="G53" s="54"/>
      <c r="H53" s="149"/>
      <c r="I53" s="146"/>
      <c r="K53" s="151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</row>
    <row r="54" spans="1:30" ht="16.899999999999999" customHeight="1">
      <c r="A54" s="146"/>
      <c r="B54" s="147"/>
      <c r="C54" s="148"/>
      <c r="D54" s="147"/>
      <c r="E54" s="54"/>
      <c r="F54" s="54"/>
      <c r="G54" s="54"/>
      <c r="H54" s="149"/>
      <c r="I54" s="146"/>
      <c r="K54" s="151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</row>
    <row r="55" spans="1:30" ht="16.899999999999999" customHeight="1">
      <c r="A55" s="146"/>
      <c r="B55" s="147"/>
      <c r="C55" s="148"/>
      <c r="D55" s="147"/>
      <c r="E55" s="54"/>
      <c r="F55" s="54"/>
      <c r="G55" s="54"/>
      <c r="H55" s="149"/>
      <c r="I55" s="146"/>
      <c r="K55" s="151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</row>
    <row r="56" spans="1:30" ht="16.899999999999999" customHeight="1">
      <c r="A56" s="146"/>
      <c r="B56" s="147"/>
      <c r="C56" s="148"/>
      <c r="D56" s="147"/>
      <c r="E56" s="54"/>
      <c r="F56" s="54"/>
      <c r="G56" s="54"/>
      <c r="H56" s="149"/>
      <c r="I56" s="146"/>
      <c r="K56" s="151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</row>
    <row r="57" spans="1:30" ht="16.899999999999999" customHeight="1">
      <c r="A57" s="146"/>
      <c r="B57" s="147"/>
      <c r="C57" s="28"/>
      <c r="D57" s="147"/>
      <c r="E57" s="54"/>
      <c r="F57" s="54"/>
      <c r="G57" s="54"/>
      <c r="H57" s="149"/>
      <c r="I57" s="146"/>
      <c r="K57" s="151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</row>
    <row r="58" spans="1:30" ht="16.899999999999999" customHeight="1">
      <c r="A58" s="146"/>
      <c r="B58" s="147"/>
      <c r="C58" s="28"/>
      <c r="D58" s="147"/>
      <c r="E58" s="54"/>
      <c r="F58" s="54"/>
      <c r="G58" s="54"/>
      <c r="H58" s="149"/>
      <c r="I58" s="146"/>
      <c r="K58" s="151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</row>
    <row r="59" spans="1:30" ht="16.899999999999999" customHeight="1">
      <c r="A59" s="146"/>
      <c r="B59" s="147"/>
      <c r="C59" s="28"/>
      <c r="D59" s="147"/>
      <c r="E59" s="54"/>
      <c r="F59" s="54"/>
      <c r="G59" s="54"/>
      <c r="H59" s="149"/>
      <c r="I59" s="146"/>
      <c r="K59" s="151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</row>
    <row r="60" spans="1:30" ht="16.899999999999999" customHeight="1">
      <c r="A60" s="146"/>
      <c r="B60" s="147"/>
      <c r="C60" s="28"/>
      <c r="D60" s="147"/>
      <c r="E60" s="54"/>
      <c r="F60" s="54"/>
      <c r="G60" s="54"/>
      <c r="H60" s="149"/>
      <c r="I60" s="146"/>
      <c r="K60" s="151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</row>
    <row r="61" spans="1:30" ht="16.899999999999999" customHeight="1">
      <c r="A61" s="146"/>
      <c r="B61" s="147"/>
      <c r="C61" s="28"/>
      <c r="D61" s="147"/>
      <c r="E61" s="54"/>
      <c r="F61" s="54"/>
      <c r="G61" s="54"/>
      <c r="H61" s="149"/>
      <c r="I61" s="146"/>
      <c r="K61" s="151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</row>
    <row r="62" spans="1:30" ht="16.899999999999999" customHeight="1">
      <c r="A62" s="146"/>
      <c r="B62" s="147"/>
      <c r="C62" s="28"/>
      <c r="D62" s="147"/>
      <c r="E62" s="54"/>
      <c r="F62" s="54"/>
      <c r="G62" s="54"/>
      <c r="H62" s="149"/>
      <c r="I62" s="146"/>
      <c r="J62" s="152"/>
      <c r="K62" s="151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</row>
    <row r="63" spans="1:30" ht="16.899999999999999" customHeight="1">
      <c r="A63" s="146"/>
      <c r="B63" s="147"/>
      <c r="C63" s="28"/>
      <c r="D63" s="147"/>
      <c r="E63" s="54"/>
      <c r="F63" s="54"/>
      <c r="G63" s="54"/>
      <c r="H63" s="149"/>
      <c r="I63" s="146"/>
      <c r="J63" s="152"/>
      <c r="K63" s="151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</row>
    <row r="64" spans="1:30" ht="16.899999999999999" customHeight="1">
      <c r="A64" s="146"/>
      <c r="B64" s="147"/>
      <c r="C64" s="28"/>
      <c r="D64" s="147"/>
      <c r="E64" s="54"/>
      <c r="F64" s="54"/>
      <c r="G64" s="54"/>
      <c r="H64" s="149"/>
      <c r="I64" s="146"/>
      <c r="K64" s="151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</row>
    <row r="65" spans="1:30" ht="16.899999999999999" customHeight="1">
      <c r="A65" s="146"/>
      <c r="B65" s="147"/>
      <c r="C65" s="28"/>
      <c r="D65" s="147"/>
      <c r="E65" s="54"/>
      <c r="F65" s="54"/>
      <c r="G65" s="54"/>
      <c r="H65" s="149"/>
      <c r="I65" s="146"/>
      <c r="J65" s="152"/>
      <c r="K65" s="151"/>
      <c r="L65" s="153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</row>
    <row r="66" spans="1:30" ht="16.899999999999999" customHeight="1">
      <c r="A66" s="146"/>
      <c r="B66" s="147"/>
      <c r="C66" s="28"/>
      <c r="D66" s="147"/>
      <c r="E66" s="54"/>
      <c r="F66" s="54"/>
      <c r="G66" s="54"/>
      <c r="H66" s="149"/>
      <c r="I66" s="146"/>
      <c r="K66" s="151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</row>
    <row r="67" spans="1:30" ht="16.899999999999999" customHeight="1">
      <c r="A67" s="146"/>
      <c r="B67" s="147"/>
      <c r="C67" s="28"/>
      <c r="D67" s="147"/>
      <c r="E67" s="54"/>
      <c r="F67" s="54"/>
      <c r="G67" s="54"/>
      <c r="H67" s="149"/>
      <c r="I67" s="146"/>
      <c r="K67" s="151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</row>
    <row r="68" spans="1:30" ht="16.899999999999999" customHeight="1">
      <c r="A68" s="146"/>
      <c r="B68" s="147"/>
      <c r="C68" s="28"/>
      <c r="D68" s="147"/>
      <c r="E68" s="54"/>
      <c r="F68" s="54"/>
      <c r="G68" s="54"/>
      <c r="H68" s="149"/>
      <c r="I68" s="146"/>
      <c r="K68" s="151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</row>
    <row r="69" spans="1:30" ht="16.899999999999999" customHeight="1">
      <c r="A69" s="146"/>
      <c r="B69" s="147"/>
      <c r="C69" s="28"/>
      <c r="D69" s="147"/>
      <c r="E69" s="54"/>
      <c r="F69" s="54"/>
      <c r="G69" s="54"/>
      <c r="H69" s="149"/>
      <c r="I69" s="146"/>
      <c r="K69" s="151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</row>
    <row r="70" spans="1:30" ht="16.899999999999999" customHeight="1">
      <c r="A70" s="146"/>
      <c r="B70" s="147"/>
      <c r="C70" s="28"/>
      <c r="D70" s="147"/>
      <c r="E70" s="54"/>
      <c r="F70" s="54"/>
      <c r="G70" s="54"/>
      <c r="H70" s="149"/>
      <c r="I70" s="146"/>
      <c r="K70" s="151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</row>
    <row r="71" spans="1:30" ht="16.899999999999999" customHeight="1">
      <c r="A71" s="146"/>
      <c r="B71" s="147"/>
      <c r="C71" s="28"/>
      <c r="D71" s="147"/>
      <c r="E71" s="54"/>
      <c r="F71" s="54"/>
      <c r="G71" s="54"/>
      <c r="H71" s="149"/>
      <c r="I71" s="146"/>
      <c r="K71" s="151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</row>
    <row r="72" spans="1:30" ht="16.899999999999999" customHeight="1">
      <c r="A72" s="146"/>
      <c r="B72" s="147"/>
      <c r="C72" s="28"/>
      <c r="D72" s="147"/>
      <c r="E72" s="54"/>
      <c r="F72" s="54"/>
      <c r="G72" s="54"/>
      <c r="H72" s="149"/>
      <c r="I72" s="146"/>
      <c r="K72" s="151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</row>
    <row r="73" spans="1:30" ht="16.899999999999999" customHeight="1">
      <c r="A73" s="146"/>
      <c r="B73" s="147"/>
      <c r="C73" s="28"/>
      <c r="D73" s="147"/>
      <c r="E73" s="54"/>
      <c r="F73" s="54"/>
      <c r="G73" s="54"/>
      <c r="H73" s="149"/>
      <c r="I73" s="146"/>
      <c r="K73" s="151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</row>
    <row r="74" spans="1:30" ht="16.899999999999999" customHeight="1">
      <c r="A74" s="146"/>
      <c r="B74" s="147"/>
      <c r="C74" s="28"/>
      <c r="D74" s="147"/>
      <c r="E74" s="54"/>
      <c r="F74" s="54"/>
      <c r="G74" s="54"/>
      <c r="H74" s="149"/>
      <c r="I74" s="146"/>
      <c r="K74" s="151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</row>
    <row r="75" spans="1:30" ht="16.899999999999999" customHeight="1">
      <c r="A75" s="146"/>
      <c r="B75" s="147"/>
      <c r="C75" s="28"/>
      <c r="D75" s="147"/>
      <c r="E75" s="54"/>
      <c r="F75" s="54"/>
      <c r="G75" s="54"/>
      <c r="H75" s="149"/>
      <c r="I75" s="146"/>
      <c r="K75" s="151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</row>
    <row r="76" spans="1:30" ht="16.899999999999999" customHeight="1">
      <c r="A76" s="146"/>
      <c r="B76" s="147"/>
      <c r="C76" s="28"/>
      <c r="D76" s="147"/>
      <c r="E76" s="54"/>
      <c r="F76" s="54"/>
      <c r="G76" s="54"/>
      <c r="H76" s="149"/>
      <c r="I76" s="146"/>
      <c r="K76" s="151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</row>
    <row r="77" spans="1:30" ht="16.899999999999999" customHeight="1">
      <c r="A77" s="146"/>
      <c r="B77" s="147"/>
      <c r="C77" s="28"/>
      <c r="D77" s="147"/>
      <c r="E77" s="54"/>
      <c r="F77" s="54"/>
      <c r="G77" s="54"/>
      <c r="H77" s="149"/>
      <c r="I77" s="146"/>
      <c r="K77" s="151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</row>
    <row r="78" spans="1:30" ht="16.899999999999999" customHeight="1">
      <c r="A78" s="146"/>
      <c r="B78" s="147"/>
      <c r="C78" s="28"/>
      <c r="D78" s="147"/>
      <c r="E78" s="54"/>
      <c r="F78" s="54"/>
      <c r="G78" s="54"/>
      <c r="H78" s="149"/>
      <c r="I78" s="146"/>
      <c r="K78" s="151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</row>
    <row r="79" spans="1:30" ht="16.899999999999999" customHeight="1">
      <c r="A79" s="146"/>
      <c r="B79" s="147"/>
      <c r="C79" s="28"/>
      <c r="D79" s="147"/>
      <c r="E79" s="54"/>
      <c r="F79" s="54"/>
      <c r="G79" s="54"/>
      <c r="H79" s="149"/>
      <c r="I79" s="146"/>
      <c r="K79" s="151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</row>
    <row r="80" spans="1:30" ht="16.899999999999999" customHeight="1">
      <c r="A80" s="146"/>
      <c r="B80" s="147"/>
      <c r="C80" s="28"/>
      <c r="D80" s="147"/>
      <c r="E80" s="54"/>
      <c r="F80" s="54"/>
      <c r="G80" s="54"/>
      <c r="H80" s="149"/>
      <c r="I80" s="146"/>
      <c r="K80" s="151"/>
      <c r="L80" s="154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</row>
    <row r="81" spans="1:30" ht="16.899999999999999" customHeight="1">
      <c r="A81" s="146"/>
      <c r="B81" s="147"/>
      <c r="C81" s="28"/>
      <c r="D81" s="147"/>
      <c r="E81" s="54"/>
      <c r="F81" s="54"/>
      <c r="G81" s="54"/>
      <c r="H81" s="149"/>
      <c r="I81" s="146"/>
      <c r="K81" s="151"/>
      <c r="L81" s="154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</row>
    <row r="82" spans="1:30" ht="16.899999999999999" customHeight="1">
      <c r="A82" s="146"/>
      <c r="B82" s="147"/>
      <c r="C82" s="28"/>
      <c r="D82" s="147"/>
      <c r="E82" s="54"/>
      <c r="F82" s="54"/>
      <c r="G82" s="54"/>
      <c r="H82" s="149"/>
      <c r="I82" s="146"/>
      <c r="K82" s="151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</row>
    <row r="83" spans="1:30" ht="16.899999999999999" customHeight="1">
      <c r="A83" s="146"/>
      <c r="B83" s="147"/>
      <c r="C83" s="28"/>
      <c r="D83" s="147"/>
      <c r="E83" s="54"/>
      <c r="F83" s="54"/>
      <c r="G83" s="54"/>
      <c r="H83" s="149"/>
      <c r="I83" s="146"/>
      <c r="K83" s="151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</row>
    <row r="84" spans="1:30" ht="16.899999999999999" customHeight="1">
      <c r="A84" s="146"/>
      <c r="B84" s="147"/>
      <c r="C84" s="28"/>
      <c r="D84" s="147"/>
      <c r="E84" s="54"/>
      <c r="F84" s="54"/>
      <c r="G84" s="54"/>
      <c r="H84" s="149"/>
      <c r="I84" s="146"/>
      <c r="K84" s="151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</row>
    <row r="85" spans="1:30" ht="16.899999999999999" customHeight="1">
      <c r="A85" s="146"/>
      <c r="B85" s="147"/>
      <c r="C85" s="28"/>
      <c r="D85" s="147"/>
      <c r="E85" s="54"/>
      <c r="F85" s="54"/>
      <c r="G85" s="54"/>
      <c r="H85" s="149"/>
      <c r="I85" s="146"/>
      <c r="K85" s="151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</row>
    <row r="86" spans="1:30" ht="16.899999999999999" customHeight="1">
      <c r="A86" s="146"/>
      <c r="B86" s="147"/>
      <c r="C86" s="148"/>
      <c r="D86" s="147"/>
      <c r="E86" s="54"/>
      <c r="F86" s="54"/>
      <c r="G86" s="54"/>
      <c r="H86" s="149"/>
      <c r="I86" s="146"/>
      <c r="K86" s="151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</row>
    <row r="87" spans="1:30" ht="16.899999999999999" customHeight="1">
      <c r="A87" s="146"/>
      <c r="B87" s="147"/>
      <c r="C87" s="148"/>
      <c r="D87" s="147"/>
      <c r="E87" s="54"/>
      <c r="F87" s="54"/>
      <c r="G87" s="54"/>
      <c r="H87" s="149"/>
      <c r="I87" s="146"/>
      <c r="K87" s="151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</row>
    <row r="88" spans="1:30" ht="15" customHeight="1">
      <c r="A88" s="146"/>
      <c r="B88" s="147"/>
      <c r="C88" s="148"/>
      <c r="D88" s="147"/>
      <c r="E88" s="54"/>
      <c r="F88" s="54"/>
      <c r="G88" s="54"/>
      <c r="H88" s="149"/>
      <c r="I88" s="146"/>
      <c r="K88" s="151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</row>
    <row r="89" spans="1:30" ht="15" customHeight="1">
      <c r="A89" s="146"/>
      <c r="B89" s="147"/>
      <c r="C89" s="148"/>
      <c r="D89" s="147"/>
      <c r="E89" s="54"/>
      <c r="F89" s="54"/>
      <c r="G89" s="54"/>
      <c r="H89" s="149"/>
      <c r="I89" s="146"/>
      <c r="K89" s="151"/>
      <c r="M89" s="124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</row>
    <row r="90" spans="1:30" ht="15" customHeight="1">
      <c r="A90" s="146"/>
      <c r="B90" s="147"/>
      <c r="C90" s="28"/>
      <c r="D90" s="147"/>
      <c r="E90" s="54"/>
      <c r="F90" s="54"/>
      <c r="G90" s="54"/>
      <c r="H90" s="149"/>
      <c r="I90" s="146"/>
      <c r="K90" s="142"/>
      <c r="M90" s="124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</row>
    <row r="91" spans="1:30" ht="16.899999999999999" customHeight="1">
      <c r="A91" s="146"/>
      <c r="B91" s="147"/>
      <c r="C91" s="148"/>
      <c r="D91" s="147"/>
      <c r="E91" s="54"/>
      <c r="F91" s="54"/>
      <c r="G91" s="54"/>
      <c r="H91" s="149"/>
      <c r="I91" s="146"/>
      <c r="K91" s="151"/>
      <c r="L91" s="14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</row>
    <row r="92" spans="1:30" ht="16.899999999999999" customHeight="1">
      <c r="A92" s="146"/>
      <c r="B92" s="147"/>
      <c r="C92" s="148"/>
      <c r="D92" s="147"/>
      <c r="E92" s="54"/>
      <c r="F92" s="54"/>
      <c r="G92" s="54"/>
      <c r="H92" s="149"/>
      <c r="I92" s="146"/>
      <c r="K92" s="151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</row>
    <row r="93" spans="1:30" ht="16.899999999999999" customHeight="1">
      <c r="A93" s="146"/>
      <c r="B93" s="147"/>
      <c r="C93" s="148"/>
      <c r="D93" s="147"/>
      <c r="E93" s="54"/>
      <c r="F93" s="54"/>
      <c r="G93" s="54"/>
      <c r="H93" s="149"/>
      <c r="I93" s="146"/>
      <c r="K93" s="151"/>
      <c r="M93" s="124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</row>
    <row r="94" spans="1:30" ht="16.899999999999999" customHeight="1">
      <c r="A94" s="146"/>
      <c r="B94" s="147"/>
      <c r="C94" s="148"/>
      <c r="D94" s="147"/>
      <c r="E94" s="54"/>
      <c r="F94" s="54"/>
      <c r="G94" s="54"/>
      <c r="H94" s="149"/>
      <c r="I94" s="146"/>
      <c r="K94" s="151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</row>
    <row r="95" spans="1:30" ht="16.899999999999999" customHeight="1">
      <c r="A95" s="146"/>
      <c r="B95" s="147"/>
      <c r="C95" s="148"/>
      <c r="D95" s="147"/>
      <c r="E95" s="54"/>
      <c r="F95" s="54"/>
      <c r="G95" s="54"/>
      <c r="H95" s="149"/>
      <c r="I95" s="146"/>
      <c r="K95" s="151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</row>
    <row r="96" spans="1:30" ht="16.899999999999999" customHeight="1">
      <c r="A96" s="146"/>
      <c r="B96" s="147"/>
      <c r="C96" s="148"/>
      <c r="D96" s="147"/>
      <c r="E96" s="54"/>
      <c r="F96" s="54"/>
      <c r="G96" s="54"/>
      <c r="H96" s="149"/>
      <c r="I96" s="146"/>
      <c r="K96" s="151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</row>
    <row r="97" spans="1:30" ht="16.899999999999999" customHeight="1">
      <c r="A97" s="146"/>
      <c r="B97" s="147"/>
      <c r="C97" s="148"/>
      <c r="D97" s="147"/>
      <c r="E97" s="54"/>
      <c r="F97" s="54"/>
      <c r="G97" s="54"/>
      <c r="H97" s="149"/>
      <c r="I97" s="146"/>
      <c r="K97" s="151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</row>
    <row r="98" spans="1:30" ht="16.899999999999999" customHeight="1">
      <c r="A98" s="146"/>
      <c r="B98" s="147"/>
      <c r="C98" s="148"/>
      <c r="D98" s="147"/>
      <c r="E98" s="54"/>
      <c r="F98" s="54"/>
      <c r="G98" s="54"/>
      <c r="H98" s="149"/>
      <c r="I98" s="146"/>
      <c r="K98" s="151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</row>
    <row r="99" spans="1:30" ht="16.899999999999999" customHeight="1">
      <c r="A99" s="146"/>
      <c r="B99" s="147"/>
      <c r="C99" s="148"/>
      <c r="D99" s="147"/>
      <c r="E99" s="54"/>
      <c r="F99" s="54"/>
      <c r="G99" s="54"/>
      <c r="H99" s="149"/>
      <c r="I99" s="146"/>
      <c r="K99" s="151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</row>
    <row r="100" spans="1:30" ht="16.899999999999999" customHeight="1">
      <c r="A100" s="146"/>
      <c r="B100" s="147"/>
      <c r="C100" s="148"/>
      <c r="D100" s="147"/>
      <c r="E100" s="54"/>
      <c r="F100" s="54"/>
      <c r="G100" s="54"/>
      <c r="H100" s="149"/>
      <c r="I100" s="146"/>
      <c r="K100" s="151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</row>
    <row r="101" spans="1:30" ht="16.899999999999999" customHeight="1">
      <c r="A101" s="146"/>
      <c r="B101" s="147"/>
      <c r="C101" s="148"/>
      <c r="D101" s="147"/>
      <c r="E101" s="54"/>
      <c r="F101" s="54"/>
      <c r="G101" s="54"/>
      <c r="H101" s="149"/>
      <c r="I101" s="146"/>
      <c r="K101" s="151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</row>
    <row r="102" spans="1:30" ht="16.899999999999999" customHeight="1">
      <c r="A102" s="146"/>
      <c r="B102" s="147"/>
      <c r="C102" s="148"/>
      <c r="D102" s="147"/>
      <c r="E102" s="54"/>
      <c r="F102" s="54"/>
      <c r="G102" s="54"/>
      <c r="H102" s="149"/>
      <c r="I102" s="146"/>
      <c r="K102" s="151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</row>
    <row r="103" spans="1:30" ht="16.899999999999999" customHeight="1">
      <c r="A103" s="146"/>
      <c r="B103" s="147"/>
      <c r="C103" s="148"/>
      <c r="D103" s="147"/>
      <c r="E103" s="54"/>
      <c r="F103" s="54"/>
      <c r="G103" s="54"/>
      <c r="H103" s="149"/>
      <c r="I103" s="146"/>
      <c r="K103" s="151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</row>
    <row r="104" spans="1:30" ht="16.899999999999999" customHeight="1">
      <c r="A104" s="146"/>
      <c r="B104" s="155"/>
      <c r="C104" s="148"/>
      <c r="D104" s="147"/>
      <c r="E104" s="54"/>
      <c r="F104" s="54"/>
      <c r="G104" s="54"/>
      <c r="H104" s="149"/>
      <c r="I104" s="146"/>
      <c r="K104" s="151"/>
      <c r="L104" s="145"/>
      <c r="M104" s="15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</row>
    <row r="105" spans="1:30" ht="16.899999999999999" customHeight="1">
      <c r="A105" s="146"/>
      <c r="B105" s="147"/>
      <c r="C105" s="148"/>
      <c r="D105" s="147"/>
      <c r="E105" s="54"/>
      <c r="F105" s="54"/>
      <c r="G105" s="54"/>
      <c r="H105" s="149"/>
      <c r="I105" s="146"/>
      <c r="K105" s="151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</row>
    <row r="106" spans="1:30">
      <c r="A106" s="146"/>
      <c r="B106" s="146"/>
      <c r="C106" s="28"/>
      <c r="D106" s="146"/>
      <c r="E106" s="157"/>
      <c r="F106" s="157"/>
      <c r="G106" s="157"/>
      <c r="H106" s="146"/>
      <c r="I106" s="146"/>
      <c r="K106" s="70"/>
      <c r="L106" s="29"/>
      <c r="M106" s="77"/>
      <c r="N106" s="36"/>
    </row>
    <row r="107" spans="1:30" ht="15.75">
      <c r="B107" s="78"/>
      <c r="K107" s="70"/>
      <c r="M107" s="80"/>
      <c r="N107" s="86"/>
      <c r="O107" s="86"/>
      <c r="P107" s="86"/>
      <c r="Q107" s="86"/>
      <c r="R107" s="86"/>
      <c r="S107" s="86"/>
      <c r="T107" s="86"/>
      <c r="U107" s="86"/>
      <c r="V107" s="86"/>
      <c r="W107" s="86"/>
      <c r="X107" s="86"/>
      <c r="Y107" s="86"/>
      <c r="Z107" s="86"/>
      <c r="AA107" s="86"/>
      <c r="AB107" s="86"/>
      <c r="AC107" s="86"/>
      <c r="AD107" s="86"/>
    </row>
    <row r="108" spans="1:30">
      <c r="K108" s="70"/>
      <c r="M108" s="36"/>
      <c r="X108" s="124"/>
      <c r="Y108" s="36"/>
    </row>
    <row r="109" spans="1:30" ht="15">
      <c r="B109" s="2"/>
      <c r="C109"/>
      <c r="D109" s="2"/>
      <c r="E109" s="81"/>
      <c r="F109" s="81"/>
      <c r="K109" s="70"/>
      <c r="M109" s="82"/>
      <c r="N109" s="14"/>
      <c r="O109" s="14"/>
      <c r="P109" s="14"/>
      <c r="Q109" s="14"/>
      <c r="R109" s="14"/>
      <c r="S109" s="83"/>
      <c r="T109" s="83"/>
      <c r="U109" s="83"/>
      <c r="V109" s="83"/>
      <c r="W109" s="83"/>
      <c r="X109" s="83"/>
      <c r="Y109" s="83"/>
      <c r="Z109" s="83"/>
      <c r="AA109" s="83"/>
      <c r="AB109"/>
    </row>
    <row r="110" spans="1:30">
      <c r="B110" s="15"/>
      <c r="E110" s="84"/>
      <c r="F110" s="84"/>
      <c r="K110" s="70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</row>
    <row r="111" spans="1:30">
      <c r="B111" s="15"/>
      <c r="E111" s="84"/>
      <c r="F111" s="84"/>
      <c r="K111" s="70"/>
      <c r="M111" s="36"/>
      <c r="N111" s="85"/>
      <c r="O111" s="36"/>
      <c r="P111" s="36"/>
      <c r="Q111" s="85"/>
      <c r="R111" s="36"/>
      <c r="S111" s="36"/>
      <c r="T111" s="85"/>
      <c r="U111" s="36"/>
      <c r="V111" s="36"/>
      <c r="W111" s="36"/>
      <c r="X111" s="36"/>
      <c r="Y111" s="36"/>
      <c r="Z111" s="36"/>
      <c r="AA111" s="36"/>
      <c r="AB111" s="86"/>
    </row>
    <row r="112" spans="1:30">
      <c r="B112" s="15"/>
      <c r="E112" s="84"/>
      <c r="F112" s="84"/>
      <c r="K112" s="70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  <c r="AA112" s="87"/>
      <c r="AB112"/>
    </row>
    <row r="113" spans="2:28">
      <c r="B113" s="15"/>
      <c r="E113" s="84"/>
      <c r="F113" s="84"/>
      <c r="K113" s="70"/>
      <c r="M113" s="88"/>
      <c r="N113" s="88"/>
      <c r="O113" s="87"/>
      <c r="P113" s="87"/>
      <c r="Q113" s="87"/>
      <c r="R113" s="87"/>
      <c r="S113" s="87"/>
      <c r="T113" s="87"/>
      <c r="U113" s="87"/>
      <c r="V113" s="87"/>
      <c r="W113" s="89"/>
      <c r="X113" s="87"/>
      <c r="Y113" s="87"/>
      <c r="Z113" s="87"/>
      <c r="AA113" s="87"/>
      <c r="AB113" s="87"/>
    </row>
    <row r="114" spans="2:28">
      <c r="B114" s="15"/>
      <c r="E114" s="84"/>
      <c r="F114" s="84"/>
      <c r="K114" s="70"/>
      <c r="M114" s="88"/>
      <c r="N114" s="88"/>
      <c r="O114" s="87"/>
      <c r="P114" s="87"/>
      <c r="Q114" s="87"/>
      <c r="R114" s="87"/>
      <c r="S114" s="87"/>
      <c r="T114" s="87"/>
      <c r="U114" s="87"/>
      <c r="V114" s="87"/>
      <c r="W114" s="89"/>
      <c r="X114" s="87"/>
      <c r="Y114" s="87"/>
      <c r="Z114" s="87"/>
      <c r="AA114" s="87"/>
      <c r="AB114" s="87"/>
    </row>
    <row r="115" spans="2:28">
      <c r="B115" s="15"/>
      <c r="E115" s="84"/>
      <c r="F115" s="84"/>
      <c r="K115" s="70"/>
      <c r="M115" s="88"/>
      <c r="N115" s="88"/>
      <c r="O115" s="88"/>
      <c r="P115" s="88"/>
      <c r="Q115" s="88"/>
      <c r="R115" s="88"/>
      <c r="S115" s="88"/>
      <c r="T115" s="88"/>
      <c r="U115" s="88"/>
      <c r="V115"/>
      <c r="W115"/>
      <c r="X115"/>
      <c r="Y115" s="87"/>
      <c r="Z115" s="88"/>
      <c r="AA115" s="88"/>
      <c r="AB115" s="88"/>
    </row>
    <row r="116" spans="2:28" ht="15">
      <c r="B116" s="15"/>
      <c r="E116" s="84"/>
      <c r="F116" s="84"/>
      <c r="K116" s="70"/>
      <c r="M116" s="82"/>
      <c r="N116" s="14"/>
      <c r="O116" s="14"/>
      <c r="P116" s="14"/>
      <c r="Q116" s="14"/>
      <c r="R116" s="14"/>
      <c r="S116" s="14"/>
      <c r="T116" s="88"/>
      <c r="U116" s="88"/>
      <c r="V116"/>
      <c r="W116"/>
      <c r="X116"/>
      <c r="Y116" s="87"/>
      <c r="Z116" s="88"/>
      <c r="AA116" s="88"/>
      <c r="AB116" s="88"/>
    </row>
    <row r="117" spans="2:28">
      <c r="B117" s="15"/>
      <c r="E117" s="84"/>
      <c r="F117" s="84"/>
      <c r="K117" s="70"/>
      <c r="M117" s="88"/>
      <c r="N117" s="88"/>
      <c r="O117" s="88"/>
      <c r="P117" s="88"/>
      <c r="Q117" s="88"/>
      <c r="R117" s="88"/>
      <c r="S117" s="88"/>
      <c r="T117" s="88"/>
      <c r="U117" s="88"/>
      <c r="V117"/>
      <c r="W117"/>
      <c r="X117"/>
      <c r="Y117" s="87"/>
      <c r="Z117"/>
      <c r="AA117"/>
      <c r="AB117"/>
    </row>
    <row r="118" spans="2:28" ht="15">
      <c r="B118" s="15"/>
      <c r="E118" s="84"/>
      <c r="F118" s="84"/>
      <c r="K118" s="70"/>
      <c r="M118" s="14"/>
      <c r="N118" s="90"/>
      <c r="O118" s="14"/>
      <c r="P118" s="14"/>
      <c r="Q118" s="91"/>
      <c r="R118" s="91"/>
      <c r="S118" s="14"/>
      <c r="T118" s="14"/>
      <c r="U118" s="82"/>
      <c r="V118"/>
      <c r="W118"/>
      <c r="X118"/>
      <c r="Y118" s="87"/>
      <c r="Z118" s="92"/>
      <c r="AA118" s="92"/>
      <c r="AB118" s="14"/>
    </row>
    <row r="119" spans="2:28" ht="15">
      <c r="B119" s="15"/>
      <c r="E119" s="84"/>
      <c r="F119" s="84"/>
      <c r="K119" s="70"/>
      <c r="M119" s="14"/>
      <c r="N119" s="93"/>
      <c r="O119" s="94"/>
      <c r="P119" s="95"/>
      <c r="Q119" s="91"/>
      <c r="R119" s="91"/>
      <c r="S119" s="14"/>
      <c r="T119" s="14"/>
      <c r="U119" s="82"/>
      <c r="V119" s="14"/>
      <c r="W119" s="14"/>
      <c r="X119" s="14"/>
      <c r="Y119" s="14"/>
      <c r="Z119" s="92"/>
      <c r="AA119" s="92"/>
      <c r="AB119" s="14"/>
    </row>
    <row r="120" spans="2:28" ht="15">
      <c r="B120" s="15"/>
      <c r="E120" s="84"/>
      <c r="F120" s="84"/>
      <c r="K120" s="70"/>
      <c r="M120" s="14"/>
      <c r="N120" s="94"/>
      <c r="O120" s="96"/>
      <c r="P120" s="14"/>
      <c r="Q120" s="91"/>
      <c r="R120" s="91"/>
      <c r="S120" s="14"/>
      <c r="T120" s="14"/>
      <c r="U120" s="82"/>
      <c r="V120" s="14"/>
      <c r="W120" s="14"/>
      <c r="X120" s="14"/>
      <c r="Y120" s="14"/>
      <c r="Z120" s="92"/>
      <c r="AA120" s="92"/>
      <c r="AB120" s="14"/>
    </row>
    <row r="121" spans="2:28">
      <c r="B121" s="15"/>
      <c r="E121" s="84"/>
      <c r="F121" s="84"/>
      <c r="K121" s="70"/>
      <c r="M121" s="43"/>
      <c r="N121" s="43"/>
      <c r="O121" s="43"/>
      <c r="P121" s="43"/>
      <c r="Q121" s="43"/>
      <c r="R121" s="43"/>
      <c r="S121" s="43"/>
      <c r="T121" s="14"/>
      <c r="U121" s="14"/>
      <c r="V121" s="14"/>
      <c r="W121" s="14"/>
      <c r="X121" s="14"/>
      <c r="Y121" s="97"/>
      <c r="Z121" s="97"/>
      <c r="AA121" s="97"/>
      <c r="AB121" s="14"/>
    </row>
    <row r="122" spans="2:28">
      <c r="B122" s="15"/>
      <c r="E122" s="84"/>
      <c r="F122" s="84"/>
      <c r="K122" s="70"/>
      <c r="M122" s="98"/>
      <c r="N122" s="14"/>
      <c r="O122" s="99"/>
      <c r="P122" s="90"/>
      <c r="Q122" s="100"/>
      <c r="R122" s="100"/>
      <c r="S122" s="90"/>
      <c r="T122" s="14"/>
      <c r="U122" s="98"/>
      <c r="V122" s="14"/>
      <c r="W122" s="14"/>
      <c r="X122" s="99"/>
      <c r="Y122" s="90"/>
      <c r="Z122" s="90"/>
      <c r="AA122" s="90"/>
      <c r="AB122" s="14"/>
    </row>
    <row r="123" spans="2:28">
      <c r="E123" s="84"/>
      <c r="F123" s="102"/>
      <c r="K123" s="70"/>
      <c r="M123" s="14"/>
      <c r="N123" s="14"/>
      <c r="O123" s="14"/>
      <c r="P123" s="90"/>
      <c r="Q123" s="101"/>
      <c r="R123" s="101"/>
      <c r="S123" s="90"/>
      <c r="T123" s="14"/>
      <c r="U123" s="98"/>
      <c r="V123" s="14"/>
      <c r="W123" s="14"/>
      <c r="X123" s="14"/>
      <c r="Y123" s="90"/>
      <c r="Z123" s="90"/>
      <c r="AA123" s="90"/>
      <c r="AB123" s="14"/>
    </row>
    <row r="124" spans="2:28">
      <c r="K124" s="70"/>
      <c r="M124" s="88"/>
      <c r="N124" s="88"/>
      <c r="O124" s="14"/>
      <c r="P124" s="90"/>
      <c r="Q124" s="101"/>
      <c r="R124" s="101"/>
      <c r="S124" s="90"/>
      <c r="T124" s="14"/>
      <c r="U124" s="98"/>
      <c r="V124" s="14"/>
      <c r="W124" s="14"/>
      <c r="X124" s="14"/>
      <c r="Y124" s="90"/>
      <c r="Z124" s="90"/>
      <c r="AA124" s="90"/>
      <c r="AB124" s="14"/>
    </row>
    <row r="125" spans="2:28">
      <c r="K125" s="70"/>
      <c r="M125" s="29"/>
      <c r="N125" s="14"/>
      <c r="O125" s="14"/>
      <c r="P125" s="14"/>
      <c r="Q125" s="14"/>
      <c r="R125" s="14"/>
      <c r="S125" s="90"/>
      <c r="T125" s="14"/>
      <c r="U125" s="98"/>
      <c r="V125" s="14"/>
      <c r="W125" s="14"/>
      <c r="X125" s="14"/>
      <c r="Y125" s="90"/>
      <c r="Z125" s="90"/>
      <c r="AA125" s="90"/>
      <c r="AB125" s="14"/>
    </row>
    <row r="126" spans="2:28">
      <c r="K126" s="70"/>
      <c r="M126" s="14"/>
      <c r="N126" s="14"/>
      <c r="O126" s="14"/>
      <c r="P126" s="14"/>
      <c r="Q126" s="101"/>
      <c r="R126" s="101"/>
      <c r="S126" s="90"/>
      <c r="T126" s="14"/>
      <c r="U126" s="98"/>
      <c r="V126" s="14"/>
      <c r="W126" s="14"/>
      <c r="X126" s="14"/>
      <c r="Y126" s="90"/>
      <c r="Z126" s="90"/>
      <c r="AA126" s="90"/>
      <c r="AB126" s="14"/>
    </row>
    <row r="127" spans="2:28">
      <c r="K127" s="70"/>
      <c r="M127" s="14"/>
      <c r="N127" s="14"/>
      <c r="O127" s="14"/>
      <c r="P127" s="14"/>
      <c r="Q127" s="14"/>
      <c r="R127" s="14"/>
      <c r="S127" s="90"/>
      <c r="T127" s="14"/>
      <c r="U127" s="98"/>
      <c r="V127" s="14"/>
      <c r="W127" s="14"/>
      <c r="X127" s="14"/>
      <c r="Y127" s="90"/>
      <c r="Z127" s="90"/>
      <c r="AA127" s="90"/>
      <c r="AB127" s="14"/>
    </row>
    <row r="128" spans="2:28">
      <c r="K128" s="70"/>
      <c r="M128" s="29"/>
      <c r="N128" s="14"/>
      <c r="O128" s="14"/>
      <c r="P128" s="14"/>
      <c r="Q128" s="14"/>
      <c r="R128" s="14"/>
      <c r="S128" s="90"/>
      <c r="T128" s="14"/>
      <c r="U128" s="98"/>
      <c r="V128" s="14"/>
      <c r="W128" s="14"/>
      <c r="X128" s="14"/>
      <c r="Y128" s="90"/>
      <c r="Z128" s="90"/>
      <c r="AA128" s="90"/>
      <c r="AB128" s="14"/>
    </row>
    <row r="129" spans="11:28">
      <c r="K129" s="70"/>
      <c r="M129" s="14"/>
      <c r="N129" s="14"/>
      <c r="O129" s="14"/>
      <c r="P129" s="14"/>
      <c r="Q129" s="14"/>
      <c r="R129" s="14"/>
      <c r="S129" s="90"/>
      <c r="T129" s="14"/>
      <c r="U129" s="98"/>
      <c r="V129" s="14"/>
      <c r="W129" s="14"/>
      <c r="X129" s="14"/>
      <c r="Y129" s="90"/>
      <c r="Z129" s="90"/>
      <c r="AA129" s="90"/>
      <c r="AB129" s="14"/>
    </row>
    <row r="130" spans="11:28">
      <c r="K130" s="70"/>
      <c r="M130" s="14"/>
      <c r="N130" s="14"/>
      <c r="O130" s="14"/>
      <c r="P130" s="14"/>
      <c r="Q130" s="14"/>
      <c r="R130" s="14"/>
      <c r="S130" s="90"/>
      <c r="T130" s="90"/>
      <c r="U130" s="14"/>
      <c r="V130" s="14"/>
      <c r="W130" s="14"/>
      <c r="X130" s="14"/>
      <c r="Y130" s="103"/>
      <c r="Z130" s="103"/>
      <c r="AA130" s="103"/>
      <c r="AB130" s="14"/>
    </row>
    <row r="131" spans="11:28">
      <c r="K131" s="70"/>
      <c r="M131" s="14"/>
      <c r="N131" s="14"/>
      <c r="O131" s="14"/>
      <c r="P131" s="14"/>
      <c r="Q131" s="14"/>
      <c r="R131" s="14"/>
      <c r="S131" s="14"/>
      <c r="T131" s="90"/>
      <c r="U131" s="90"/>
      <c r="V131" s="90"/>
      <c r="W131" s="90"/>
      <c r="X131" s="14"/>
      <c r="Y131" s="14"/>
      <c r="Z131" s="91"/>
      <c r="AA131" s="91"/>
      <c r="AB131" s="14"/>
    </row>
    <row r="132" spans="11:28" ht="15">
      <c r="K132" s="70"/>
      <c r="M132" s="104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</row>
    <row r="133" spans="11:28">
      <c r="K133" s="70"/>
      <c r="M133" s="14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</row>
    <row r="134" spans="11:28">
      <c r="K134" s="70"/>
      <c r="M134" s="1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</row>
    <row r="135" spans="11:28">
      <c r="K135" s="70"/>
      <c r="M135" s="14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</row>
    <row r="136" spans="11:28">
      <c r="K136" s="70"/>
      <c r="M136" s="43"/>
      <c r="N136" s="43"/>
      <c r="O136" s="43"/>
      <c r="P136" s="43"/>
      <c r="Q136" s="97"/>
      <c r="R136" s="97"/>
      <c r="S136" s="97"/>
      <c r="T136"/>
      <c r="U136"/>
      <c r="V136"/>
      <c r="W136"/>
      <c r="X136"/>
      <c r="Y136" s="97"/>
      <c r="Z136" s="97"/>
      <c r="AA136" s="97"/>
      <c r="AB136"/>
    </row>
    <row r="137" spans="11:28">
      <c r="K137" s="70"/>
      <c r="M137" s="98"/>
      <c r="N137" s="14"/>
      <c r="O137" s="105"/>
      <c r="P137" s="14"/>
      <c r="Q137"/>
      <c r="R137"/>
      <c r="S137" s="90"/>
      <c r="T137" s="31"/>
      <c r="U137" s="98"/>
      <c r="V137" s="14"/>
      <c r="W137" s="14"/>
      <c r="X137" s="99"/>
      <c r="Y137" s="90"/>
      <c r="Z137" s="90"/>
      <c r="AA137" s="90"/>
      <c r="AB137"/>
    </row>
    <row r="138" spans="11:28">
      <c r="K138" s="70"/>
      <c r="M138" s="98"/>
      <c r="N138" s="14"/>
      <c r="O138" s="105"/>
      <c r="P138" s="14"/>
      <c r="Q138"/>
      <c r="R138"/>
      <c r="S138" s="90"/>
      <c r="T138" s="31"/>
      <c r="U138" s="98"/>
      <c r="V138" s="14"/>
      <c r="W138" s="14"/>
      <c r="X138"/>
      <c r="Y138" s="90"/>
      <c r="Z138" s="90"/>
      <c r="AA138" s="90"/>
      <c r="AB138"/>
    </row>
    <row r="139" spans="11:28">
      <c r="K139" s="70"/>
      <c r="M139" s="98"/>
      <c r="N139" s="14"/>
      <c r="O139" s="105"/>
      <c r="P139" s="14"/>
      <c r="Q139"/>
      <c r="R139"/>
      <c r="S139" s="90"/>
      <c r="T139" s="106"/>
      <c r="U139" s="98"/>
      <c r="V139" s="14"/>
      <c r="W139" s="14"/>
      <c r="X139"/>
      <c r="Y139" s="90"/>
      <c r="Z139" s="90"/>
      <c r="AA139" s="90"/>
      <c r="AB139"/>
    </row>
    <row r="140" spans="11:28">
      <c r="K140" s="70"/>
      <c r="M140" s="98"/>
      <c r="N140" s="14"/>
      <c r="O140" s="105"/>
      <c r="P140" s="14"/>
      <c r="Q140"/>
      <c r="R140"/>
      <c r="S140" s="90"/>
      <c r="T140" s="106"/>
      <c r="U140" s="98"/>
      <c r="V140" s="14"/>
      <c r="W140" s="14"/>
      <c r="X140"/>
      <c r="Y140" s="90"/>
      <c r="Z140" s="90"/>
      <c r="AA140" s="90"/>
      <c r="AB140"/>
    </row>
    <row r="141" spans="11:28">
      <c r="M141"/>
      <c r="N141"/>
      <c r="O141"/>
      <c r="P141"/>
      <c r="Q141"/>
      <c r="R141"/>
      <c r="S141"/>
      <c r="T141" s="71"/>
      <c r="U141" s="98"/>
      <c r="V141" s="14"/>
      <c r="W141" s="14"/>
      <c r="X141"/>
      <c r="Y141" s="90"/>
      <c r="Z141" s="90"/>
      <c r="AA141" s="90"/>
      <c r="AB141"/>
    </row>
    <row r="142" spans="11:28">
      <c r="M142" s="98"/>
      <c r="N142" s="14"/>
      <c r="O142"/>
      <c r="P142"/>
      <c r="Q142" s="90"/>
      <c r="R142" s="90"/>
      <c r="S142" s="90"/>
      <c r="T142" s="90"/>
      <c r="U142" s="98"/>
      <c r="V142" s="14"/>
      <c r="W142" s="14"/>
      <c r="X142"/>
      <c r="Y142" s="90"/>
      <c r="Z142" s="90"/>
      <c r="AA142" s="90"/>
      <c r="AB142"/>
    </row>
    <row r="143" spans="11:28">
      <c r="M143"/>
      <c r="N143"/>
      <c r="O143"/>
      <c r="P143"/>
      <c r="Q143"/>
      <c r="R143"/>
      <c r="S143"/>
      <c r="T143"/>
      <c r="U143"/>
      <c r="V143"/>
      <c r="W143"/>
      <c r="X143"/>
      <c r="Y143" s="103"/>
      <c r="Z143" s="103"/>
      <c r="AA143" s="103"/>
      <c r="AB143"/>
    </row>
    <row r="144" spans="11:28">
      <c r="M144"/>
      <c r="N144"/>
      <c r="O144"/>
      <c r="P144"/>
      <c r="Q144" s="98"/>
      <c r="R144" s="98"/>
      <c r="S144" s="103"/>
      <c r="T144" s="90"/>
      <c r="U144"/>
      <c r="V144"/>
      <c r="W144"/>
      <c r="X144"/>
      <c r="Y144"/>
      <c r="Z144" s="91"/>
      <c r="AA144" s="107"/>
      <c r="AB144"/>
    </row>
    <row r="145" spans="21:26">
      <c r="Z145" s="108"/>
    </row>
    <row r="146" spans="21:26" ht="15">
      <c r="U146" s="33"/>
      <c r="V146" s="109"/>
      <c r="W146" s="110"/>
      <c r="X146"/>
      <c r="Y146" s="226"/>
      <c r="Z146" s="226"/>
    </row>
    <row r="147" spans="21:26">
      <c r="U147" s="112"/>
      <c r="V147" s="23"/>
      <c r="W147"/>
      <c r="X147"/>
      <c r="Y147" s="113"/>
      <c r="Z147" s="113"/>
    </row>
    <row r="148" spans="21:26">
      <c r="U148"/>
      <c r="V148"/>
      <c r="W148"/>
      <c r="X148"/>
      <c r="Y148"/>
      <c r="Z148"/>
    </row>
    <row r="149" spans="21:26">
      <c r="U149" s="40"/>
      <c r="V149" s="34"/>
      <c r="W149"/>
      <c r="X149"/>
      <c r="Y149" s="113"/>
      <c r="Z149" s="113"/>
    </row>
    <row r="150" spans="21:26">
      <c r="U150"/>
      <c r="V150"/>
      <c r="W150"/>
      <c r="X150"/>
      <c r="Y150"/>
      <c r="Z150"/>
    </row>
    <row r="151" spans="21:26">
      <c r="U151" s="114"/>
      <c r="V151" s="115"/>
      <c r="W151"/>
      <c r="X151"/>
      <c r="Y151"/>
      <c r="Z151"/>
    </row>
    <row r="152" spans="21:26">
      <c r="U152"/>
      <c r="V152"/>
      <c r="W152"/>
      <c r="X152"/>
      <c r="Y152"/>
      <c r="Z152"/>
    </row>
    <row r="153" spans="21:26">
      <c r="U153" s="12"/>
      <c r="V153" s="13"/>
      <c r="W153"/>
      <c r="X153"/>
      <c r="Y153" s="113"/>
      <c r="Z153" s="113"/>
    </row>
    <row r="154" spans="21:26">
      <c r="U154" s="109"/>
      <c r="V154" s="109"/>
      <c r="W154"/>
      <c r="X154"/>
      <c r="Y154" s="116"/>
      <c r="Z154" s="116"/>
    </row>
    <row r="155" spans="21:26">
      <c r="U155" s="66"/>
      <c r="V155" s="66"/>
      <c r="W155" s="66"/>
      <c r="X155"/>
      <c r="Y155" s="35"/>
      <c r="Z155" s="91"/>
    </row>
    <row r="158" spans="21:26" ht="15">
      <c r="U158" s="33"/>
      <c r="V158" s="109"/>
      <c r="W158" s="110"/>
      <c r="X158"/>
      <c r="Y158" s="226"/>
      <c r="Z158" s="226"/>
    </row>
    <row r="159" spans="21:26">
      <c r="U159" s="112"/>
      <c r="V159" s="23"/>
      <c r="W159"/>
      <c r="X159"/>
      <c r="Y159" s="113"/>
      <c r="Z159" s="113"/>
    </row>
    <row r="160" spans="21:26">
      <c r="U160" s="40"/>
      <c r="V160" s="34"/>
      <c r="W160"/>
      <c r="X160"/>
      <c r="Y160" s="113"/>
      <c r="Z160" s="113"/>
    </row>
    <row r="161" spans="21:26">
      <c r="U161" s="12"/>
      <c r="V161" s="13"/>
      <c r="W161"/>
      <c r="X161"/>
      <c r="Y161" s="113"/>
      <c r="Z161" s="113"/>
    </row>
    <row r="162" spans="21:26">
      <c r="U162" s="109"/>
      <c r="V162" s="109"/>
      <c r="W162"/>
      <c r="X162"/>
      <c r="Y162" s="116"/>
      <c r="Z162" s="116"/>
    </row>
    <row r="163" spans="21:26">
      <c r="U163" s="66"/>
      <c r="V163" s="66"/>
      <c r="W163" s="66"/>
      <c r="X163"/>
      <c r="Y163" s="35"/>
      <c r="Z163" s="91"/>
    </row>
    <row r="164" spans="21:26">
      <c r="U164" s="66"/>
      <c r="V164" s="66"/>
      <c r="W164" s="66"/>
      <c r="X164"/>
      <c r="Y164" s="35"/>
      <c r="Z164" s="127"/>
    </row>
    <row r="165" spans="21:26">
      <c r="U165" s="117"/>
      <c r="V165" s="117"/>
      <c r="W165"/>
      <c r="X165"/>
      <c r="Y165" s="116"/>
      <c r="Z165" s="116"/>
    </row>
    <row r="166" spans="21:26" ht="15">
      <c r="U166" s="33"/>
      <c r="V166" s="118"/>
      <c r="W166" s="109"/>
      <c r="X166"/>
      <c r="Y166" s="226"/>
      <c r="Z166" s="226"/>
    </row>
    <row r="167" spans="21:26">
      <c r="U167" s="25"/>
      <c r="V167" s="22"/>
      <c r="W167"/>
      <c r="X167" s="119"/>
      <c r="Y167" s="113"/>
      <c r="Z167" s="113"/>
    </row>
    <row r="168" spans="21:26">
      <c r="U168" s="25"/>
      <c r="V168" s="22"/>
      <c r="W168"/>
      <c r="X168" s="119"/>
      <c r="Y168" s="113"/>
      <c r="Z168" s="113"/>
    </row>
    <row r="169" spans="21:26">
      <c r="U169" s="25"/>
      <c r="V169" s="22"/>
      <c r="W169"/>
      <c r="X169" s="119"/>
      <c r="Y169" s="113"/>
      <c r="Z169" s="113"/>
    </row>
    <row r="170" spans="21:26">
      <c r="U170" s="25"/>
      <c r="V170" s="22"/>
      <c r="W170"/>
      <c r="X170" s="120"/>
      <c r="Y170" s="113"/>
      <c r="Z170" s="113"/>
    </row>
    <row r="171" spans="21:26">
      <c r="U171" s="25"/>
      <c r="V171" s="22"/>
      <c r="W171"/>
      <c r="X171" s="121"/>
      <c r="Y171" s="113"/>
      <c r="Z171" s="113"/>
    </row>
    <row r="172" spans="21:26">
      <c r="U172" s="25"/>
      <c r="V172" s="22"/>
      <c r="W172"/>
      <c r="X172" s="120"/>
      <c r="Y172" s="113"/>
      <c r="Z172" s="113"/>
    </row>
    <row r="173" spans="21:26">
      <c r="U173" s="25"/>
      <c r="V173" s="22"/>
      <c r="W173"/>
      <c r="X173" s="120"/>
      <c r="Y173" s="113"/>
      <c r="Z173" s="113"/>
    </row>
    <row r="174" spans="21:26">
      <c r="U174" s="25"/>
      <c r="V174" s="22"/>
      <c r="W174"/>
      <c r="X174" s="120"/>
      <c r="Y174" s="113"/>
      <c r="Z174" s="113"/>
    </row>
    <row r="175" spans="21:26">
      <c r="U175" s="25"/>
      <c r="V175" s="22"/>
      <c r="W175"/>
      <c r="X175" s="120"/>
      <c r="Y175" s="113"/>
      <c r="Z175" s="113"/>
    </row>
    <row r="176" spans="21:26">
      <c r="U176" s="25"/>
      <c r="V176" s="22"/>
      <c r="W176"/>
      <c r="X176" s="120"/>
      <c r="Y176" s="113"/>
      <c r="Z176" s="113"/>
    </row>
    <row r="177" spans="20:26">
      <c r="U177" s="25"/>
      <c r="V177" s="22"/>
      <c r="W177"/>
      <c r="X177" s="120"/>
      <c r="Y177" s="113"/>
      <c r="Z177" s="113"/>
    </row>
    <row r="178" spans="20:26">
      <c r="U178" s="25"/>
      <c r="V178" s="22"/>
      <c r="W178"/>
      <c r="X178" s="120"/>
      <c r="Y178" s="113"/>
      <c r="Z178" s="113"/>
    </row>
    <row r="179" spans="20:26">
      <c r="U179" s="25"/>
      <c r="V179" s="22"/>
      <c r="W179"/>
      <c r="X179" s="121"/>
      <c r="Y179" s="113"/>
      <c r="Z179" s="113"/>
    </row>
    <row r="180" spans="20:26">
      <c r="T180" s="122"/>
      <c r="U180" s="25"/>
      <c r="V180" s="22"/>
      <c r="W180"/>
      <c r="X180" s="121"/>
      <c r="Y180" s="123"/>
      <c r="Z180" s="113"/>
    </row>
    <row r="181" spans="20:26">
      <c r="T181" s="122"/>
      <c r="U181" s="25"/>
      <c r="V181" s="22"/>
      <c r="W181"/>
      <c r="X181" s="121"/>
      <c r="Y181" s="123"/>
      <c r="Z181" s="113"/>
    </row>
    <row r="182" spans="20:26">
      <c r="T182" s="122"/>
      <c r="U182" s="25"/>
      <c r="V182" s="22"/>
      <c r="W182"/>
      <c r="X182" s="121"/>
      <c r="Y182" s="113"/>
      <c r="Z182" s="113"/>
    </row>
    <row r="183" spans="20:26">
      <c r="U183" s="25"/>
      <c r="V183" s="23"/>
      <c r="W183"/>
      <c r="X183" s="121"/>
      <c r="Y183" s="113"/>
      <c r="Z183" s="113"/>
    </row>
    <row r="184" spans="20:26">
      <c r="U184" s="25"/>
      <c r="V184" s="22"/>
      <c r="W184"/>
      <c r="X184" s="121"/>
      <c r="Y184" s="113"/>
      <c r="Z184" s="113"/>
    </row>
    <row r="185" spans="20:26">
      <c r="T185" s="48"/>
      <c r="U185" s="25"/>
      <c r="V185" s="22"/>
      <c r="W185"/>
      <c r="X185" s="121"/>
      <c r="Y185" s="113"/>
      <c r="Z185" s="113"/>
    </row>
    <row r="186" spans="20:26">
      <c r="T186" s="48"/>
      <c r="U186" s="25"/>
      <c r="V186" s="22"/>
      <c r="W186"/>
      <c r="X186" s="121"/>
      <c r="Y186" s="113"/>
      <c r="Z186" s="113"/>
    </row>
    <row r="187" spans="20:26">
      <c r="U187" s="25"/>
      <c r="V187" s="22"/>
      <c r="W187"/>
      <c r="X187" s="121"/>
      <c r="Y187" s="113"/>
      <c r="Z187" s="113"/>
    </row>
    <row r="188" spans="20:26">
      <c r="U188" s="25"/>
      <c r="V188" s="22"/>
      <c r="W188"/>
      <c r="X188" s="121"/>
      <c r="Y188" s="113"/>
      <c r="Z188" s="113"/>
    </row>
    <row r="189" spans="20:26">
      <c r="T189" s="28"/>
      <c r="U189" s="25"/>
      <c r="V189" s="22"/>
      <c r="W189"/>
      <c r="X189" s="121"/>
      <c r="Y189" s="113"/>
      <c r="Z189" s="113"/>
    </row>
    <row r="190" spans="20:26">
      <c r="T190" s="122"/>
      <c r="U190" s="25"/>
      <c r="V190" s="22"/>
      <c r="W190"/>
      <c r="X190" s="121"/>
      <c r="Y190" s="123"/>
      <c r="Z190" s="113"/>
    </row>
    <row r="191" spans="20:26">
      <c r="T191" s="122"/>
      <c r="U191" s="25"/>
      <c r="V191" s="22"/>
      <c r="W191"/>
      <c r="X191" s="121"/>
      <c r="Y191" s="123"/>
      <c r="Z191" s="113"/>
    </row>
    <row r="192" spans="20:26">
      <c r="T192" s="122"/>
      <c r="U192" s="25"/>
      <c r="V192" s="22"/>
      <c r="W192"/>
      <c r="X192" s="121"/>
      <c r="Y192" s="123"/>
      <c r="Z192" s="113"/>
    </row>
    <row r="193" spans="20:27">
      <c r="U193" s="25"/>
      <c r="V193" s="22"/>
      <c r="W193"/>
      <c r="X193" s="121"/>
      <c r="Y193" s="113"/>
      <c r="Z193" s="113"/>
    </row>
    <row r="194" spans="20:27">
      <c r="U194" s="25"/>
      <c r="V194" s="22"/>
      <c r="W194"/>
      <c r="X194" s="120"/>
      <c r="Y194" s="113"/>
      <c r="Z194" s="113"/>
      <c r="AA194" s="91"/>
    </row>
    <row r="195" spans="20:27">
      <c r="U195" s="25"/>
      <c r="V195" s="22"/>
      <c r="W195"/>
      <c r="X195" s="120"/>
      <c r="Y195" s="113"/>
      <c r="Z195" s="113"/>
    </row>
    <row r="196" spans="20:27">
      <c r="T196" s="48"/>
      <c r="U196" s="29"/>
      <c r="V196"/>
      <c r="W196"/>
      <c r="X196" s="120"/>
      <c r="Y196" s="113"/>
      <c r="Z196" s="113"/>
    </row>
    <row r="197" spans="20:27">
      <c r="U197" s="25"/>
      <c r="V197" s="22"/>
      <c r="W197"/>
      <c r="X197" s="120"/>
      <c r="Y197" s="113"/>
      <c r="Z197" s="113"/>
    </row>
    <row r="198" spans="20:27">
      <c r="U198" s="112"/>
      <c r="V198" s="23"/>
      <c r="W198"/>
      <c r="X198"/>
      <c r="Y198" s="113"/>
      <c r="Z198" s="113"/>
    </row>
    <row r="199" spans="20:27">
      <c r="U199" s="112"/>
      <c r="V199" s="23"/>
      <c r="W199"/>
      <c r="X199"/>
      <c r="Y199" s="113"/>
      <c r="Z199" s="113"/>
      <c r="AA199" s="124"/>
    </row>
    <row r="200" spans="20:27">
      <c r="U200" s="117"/>
      <c r="V200" s="117"/>
      <c r="W200"/>
      <c r="X200"/>
      <c r="Y200" s="116"/>
      <c r="Z200" s="116"/>
    </row>
    <row r="201" spans="20:27">
      <c r="U201" s="66"/>
      <c r="V201" s="36"/>
      <c r="W201"/>
      <c r="X201"/>
      <c r="Y201" s="67"/>
      <c r="Z201" s="91"/>
    </row>
    <row r="202" spans="20:27">
      <c r="U202" s="109"/>
      <c r="V202" s="109"/>
      <c r="W202" s="125"/>
      <c r="X202"/>
      <c r="Y202" s="126"/>
      <c r="Z202" s="127"/>
    </row>
    <row r="203" spans="20:27" ht="15">
      <c r="U203" s="104"/>
      <c r="V203"/>
      <c r="W203" s="71"/>
      <c r="X203" s="47"/>
      <c r="Y203" s="126"/>
      <c r="Z203" s="128"/>
    </row>
    <row r="204" spans="20:27" ht="15">
      <c r="U204" s="33"/>
      <c r="V204" s="109"/>
      <c r="W204" s="109"/>
      <c r="X204"/>
      <c r="Y204" s="226"/>
      <c r="Z204" s="226"/>
    </row>
    <row r="205" spans="20:27">
      <c r="U205" s="112"/>
      <c r="V205" s="23"/>
      <c r="W205"/>
      <c r="X205"/>
      <c r="Y205" s="113"/>
      <c r="Z205" s="113"/>
    </row>
    <row r="206" spans="20:27">
      <c r="U206" s="40"/>
      <c r="V206" s="34"/>
      <c r="W206"/>
      <c r="X206"/>
      <c r="Y206" s="113"/>
      <c r="Z206" s="113"/>
    </row>
    <row r="207" spans="20:27">
      <c r="U207" s="12"/>
      <c r="V207" s="13"/>
      <c r="W207"/>
      <c r="X207"/>
      <c r="Y207" s="113"/>
      <c r="Z207" s="113"/>
    </row>
    <row r="208" spans="20:27">
      <c r="U208" s="109"/>
      <c r="V208" s="109"/>
      <c r="W208"/>
      <c r="X208"/>
      <c r="Y208" s="116"/>
      <c r="Z208" s="116"/>
    </row>
    <row r="209" spans="21:26">
      <c r="U209" s="66"/>
      <c r="V209" s="66"/>
      <c r="W209" s="66"/>
      <c r="X209"/>
      <c r="Y209" s="35"/>
      <c r="Z209" s="91"/>
    </row>
    <row r="210" spans="21:26">
      <c r="U210" s="117"/>
      <c r="V210" s="117"/>
      <c r="W210"/>
      <c r="X210"/>
      <c r="Y210" s="116"/>
      <c r="Z210" s="116"/>
    </row>
    <row r="211" spans="21:26">
      <c r="U211" s="109"/>
      <c r="V211" s="109"/>
      <c r="W211" s="109"/>
      <c r="X211"/>
      <c r="Y211" s="116"/>
      <c r="Z211" s="129"/>
    </row>
    <row r="212" spans="21:26" ht="15">
      <c r="U212" s="37"/>
      <c r="V212" s="118"/>
      <c r="W212" s="109"/>
      <c r="X212"/>
      <c r="Y212" s="226"/>
      <c r="Z212" s="226"/>
    </row>
    <row r="213" spans="21:26">
      <c r="U213" s="25"/>
      <c r="V213" s="22"/>
      <c r="W213"/>
      <c r="X213"/>
      <c r="Y213" s="113"/>
      <c r="Z213" s="113"/>
    </row>
    <row r="214" spans="21:26">
      <c r="U214" s="25"/>
      <c r="V214" s="22"/>
      <c r="W214"/>
      <c r="X214"/>
      <c r="Y214" s="113"/>
      <c r="Z214" s="113"/>
    </row>
    <row r="215" spans="21:26">
      <c r="U215" s="42"/>
      <c r="V215" s="22"/>
      <c r="W215"/>
      <c r="X215"/>
      <c r="Y215" s="113"/>
      <c r="Z215" s="113"/>
    </row>
    <row r="216" spans="21:26">
      <c r="U216" s="109"/>
      <c r="V216" s="109"/>
      <c r="W216"/>
      <c r="X216"/>
      <c r="Y216" s="116"/>
      <c r="Z216" s="116"/>
    </row>
    <row r="217" spans="21:26">
      <c r="U217" s="66"/>
      <c r="V217" s="66"/>
      <c r="W217" s="66"/>
      <c r="X217"/>
      <c r="Y217" s="35"/>
      <c r="Z217" s="91"/>
    </row>
    <row r="218" spans="21:26">
      <c r="U218" s="109"/>
      <c r="V218" s="109"/>
      <c r="W218" s="109"/>
      <c r="X218"/>
      <c r="Y218" s="129"/>
      <c r="Z218" s="130"/>
    </row>
    <row r="219" spans="21:26">
      <c r="U219"/>
      <c r="V219"/>
      <c r="W219"/>
      <c r="X219"/>
      <c r="Y219"/>
      <c r="Z219"/>
    </row>
    <row r="220" spans="21:26" ht="15">
      <c r="U220" s="37"/>
      <c r="V220"/>
      <c r="W220"/>
      <c r="X220"/>
      <c r="Y220"/>
      <c r="Z220"/>
    </row>
    <row r="221" spans="21:26">
      <c r="U221" s="8"/>
      <c r="V221" s="132"/>
      <c r="W221"/>
      <c r="X221"/>
      <c r="Y221" s="113"/>
      <c r="Z221"/>
    </row>
    <row r="222" spans="21:26">
      <c r="U222" s="8"/>
      <c r="V222" s="132"/>
      <c r="W222"/>
      <c r="X222"/>
      <c r="Y222" s="113"/>
      <c r="Z222"/>
    </row>
    <row r="223" spans="21:26">
      <c r="U223" s="8"/>
      <c r="V223" s="132"/>
      <c r="W223"/>
      <c r="X223"/>
      <c r="Y223" s="31"/>
      <c r="Z223"/>
    </row>
    <row r="224" spans="21:26" ht="15">
      <c r="U224"/>
      <c r="V224" s="133"/>
      <c r="W224"/>
      <c r="X224"/>
      <c r="Y224"/>
      <c r="Z224"/>
    </row>
    <row r="225" spans="21:26">
      <c r="U225"/>
      <c r="V225" s="132"/>
      <c r="W225"/>
      <c r="X225"/>
      <c r="Y225" s="113"/>
      <c r="Z225"/>
    </row>
    <row r="226" spans="21:26">
      <c r="U226"/>
      <c r="V226"/>
      <c r="W226"/>
      <c r="X226"/>
      <c r="Y226"/>
      <c r="Z226"/>
    </row>
  </sheetData>
  <mergeCells count="5">
    <mergeCell ref="Y158:Z158"/>
    <mergeCell ref="Y166:Z166"/>
    <mergeCell ref="Y204:Z204"/>
    <mergeCell ref="Y212:Z212"/>
    <mergeCell ref="Y146:Z146"/>
  </mergeCells>
  <conditionalFormatting sqref="G107 F123">
    <cfRule type="cellIs" dxfId="24" priority="20" operator="equal">
      <formula>0</formula>
    </cfRule>
    <cfRule type="cellIs" dxfId="23" priority="21" operator="notEqual">
      <formula>0</formula>
    </cfRule>
  </conditionalFormatting>
  <conditionalFormatting sqref="M108 T130:T131 Z131 T144 Z144">
    <cfRule type="cellIs" dxfId="22" priority="22" operator="equal">
      <formula>0</formula>
    </cfRule>
    <cfRule type="cellIs" dxfId="21" priority="23" operator="notEqual">
      <formula>0</formula>
    </cfRule>
  </conditionalFormatting>
  <conditionalFormatting sqref="T142">
    <cfRule type="cellIs" dxfId="20" priority="17" operator="equal">
      <formula>0</formula>
    </cfRule>
    <cfRule type="cellIs" dxfId="19" priority="18" operator="notEqual">
      <formula>0</formula>
    </cfRule>
  </conditionalFormatting>
  <conditionalFormatting sqref="U146:U147 U153:U155">
    <cfRule type="duplicateValues" dxfId="18" priority="4" stopIfTrue="1"/>
  </conditionalFormatting>
  <conditionalFormatting sqref="U149">
    <cfRule type="duplicateValues" dxfId="17" priority="1" stopIfTrue="1"/>
  </conditionalFormatting>
  <conditionalFormatting sqref="U158">
    <cfRule type="duplicateValues" dxfId="16" priority="5" stopIfTrue="1"/>
  </conditionalFormatting>
  <conditionalFormatting sqref="U159:U165 U226 V221:V225 U203:U220">
    <cfRule type="duplicateValues" dxfId="15" priority="19" stopIfTrue="1"/>
  </conditionalFormatting>
  <conditionalFormatting sqref="U166:U202">
    <cfRule type="duplicateValues" dxfId="14" priority="10" stopIfTrue="1"/>
  </conditionalFormatting>
  <conditionalFormatting sqref="Z155">
    <cfRule type="cellIs" dxfId="13" priority="2" operator="equal">
      <formula>0</formula>
    </cfRule>
    <cfRule type="cellIs" dxfId="12" priority="3" operator="notEqual">
      <formula>0</formula>
    </cfRule>
  </conditionalFormatting>
  <conditionalFormatting sqref="Z163:Z164">
    <cfRule type="cellIs" dxfId="11" priority="15" operator="equal">
      <formula>0</formula>
    </cfRule>
    <cfRule type="cellIs" dxfId="10" priority="16" operator="notEqual">
      <formula>0</formula>
    </cfRule>
  </conditionalFormatting>
  <conditionalFormatting sqref="Z201:Z202">
    <cfRule type="cellIs" dxfId="9" priority="6" operator="equal">
      <formula>0</formula>
    </cfRule>
    <cfRule type="cellIs" dxfId="8" priority="7" operator="notEqual">
      <formula>0</formula>
    </cfRule>
  </conditionalFormatting>
  <conditionalFormatting sqref="Z209">
    <cfRule type="cellIs" dxfId="7" priority="13" operator="equal">
      <formula>0</formula>
    </cfRule>
    <cfRule type="cellIs" dxfId="6" priority="14" operator="notEqual">
      <formula>0</formula>
    </cfRule>
  </conditionalFormatting>
  <conditionalFormatting sqref="Z217">
    <cfRule type="cellIs" dxfId="5" priority="11" operator="equal">
      <formula>0</formula>
    </cfRule>
    <cfRule type="cellIs" dxfId="4" priority="12" operator="notEqual">
      <formula>0</formula>
    </cfRule>
  </conditionalFormatting>
  <conditionalFormatting sqref="AA194">
    <cfRule type="cellIs" dxfId="3" priority="8" operator="equal">
      <formula>0</formula>
    </cfRule>
    <cfRule type="cellIs" dxfId="2" priority="9" operator="notEqual">
      <formula>0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22A2-C80A-4F06-AAEA-36F8F0EBD45C}">
  <sheetPr codeName="Hoja6"/>
  <dimension ref="A1:H87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RowHeight="12.75"/>
  <cols>
    <col min="1" max="1" width="5.42578125" customWidth="1"/>
    <col min="2" max="2" width="11.85546875" style="58" customWidth="1"/>
    <col min="3" max="3" width="78.28515625" customWidth="1"/>
    <col min="4" max="4" width="20.140625" customWidth="1"/>
    <col min="5" max="5" width="33.5703125" bestFit="1" customWidth="1"/>
    <col min="6" max="6" width="9.85546875" style="29" customWidth="1"/>
    <col min="7" max="7" width="35.7109375" customWidth="1"/>
    <col min="8" max="8" width="34.28515625" bestFit="1" customWidth="1"/>
    <col min="261" max="261" width="78.28515625" customWidth="1"/>
    <col min="262" max="262" width="9.28515625" customWidth="1"/>
    <col min="263" max="263" width="18" customWidth="1"/>
    <col min="517" max="517" width="78.28515625" customWidth="1"/>
    <col min="518" max="518" width="9.28515625" customWidth="1"/>
    <col min="519" max="519" width="18" customWidth="1"/>
    <col min="773" max="773" width="78.28515625" customWidth="1"/>
    <col min="774" max="774" width="9.28515625" customWidth="1"/>
    <col min="775" max="775" width="18" customWidth="1"/>
    <col min="1029" max="1029" width="78.28515625" customWidth="1"/>
    <col min="1030" max="1030" width="9.28515625" customWidth="1"/>
    <col min="1031" max="1031" width="18" customWidth="1"/>
    <col min="1285" max="1285" width="78.28515625" customWidth="1"/>
    <col min="1286" max="1286" width="9.28515625" customWidth="1"/>
    <col min="1287" max="1287" width="18" customWidth="1"/>
    <col min="1541" max="1541" width="78.28515625" customWidth="1"/>
    <col min="1542" max="1542" width="9.28515625" customWidth="1"/>
    <col min="1543" max="1543" width="18" customWidth="1"/>
    <col min="1797" max="1797" width="78.28515625" customWidth="1"/>
    <col min="1798" max="1798" width="9.28515625" customWidth="1"/>
    <col min="1799" max="1799" width="18" customWidth="1"/>
    <col min="2053" max="2053" width="78.28515625" customWidth="1"/>
    <col min="2054" max="2054" width="9.28515625" customWidth="1"/>
    <col min="2055" max="2055" width="18" customWidth="1"/>
    <col min="2309" max="2309" width="78.28515625" customWidth="1"/>
    <col min="2310" max="2310" width="9.28515625" customWidth="1"/>
    <col min="2311" max="2311" width="18" customWidth="1"/>
    <col min="2565" max="2565" width="78.28515625" customWidth="1"/>
    <col min="2566" max="2566" width="9.28515625" customWidth="1"/>
    <col min="2567" max="2567" width="18" customWidth="1"/>
    <col min="2821" max="2821" width="78.28515625" customWidth="1"/>
    <col min="2822" max="2822" width="9.28515625" customWidth="1"/>
    <col min="2823" max="2823" width="18" customWidth="1"/>
    <col min="3077" max="3077" width="78.28515625" customWidth="1"/>
    <col min="3078" max="3078" width="9.28515625" customWidth="1"/>
    <col min="3079" max="3079" width="18" customWidth="1"/>
    <col min="3333" max="3333" width="78.28515625" customWidth="1"/>
    <col min="3334" max="3334" width="9.28515625" customWidth="1"/>
    <col min="3335" max="3335" width="18" customWidth="1"/>
    <col min="3589" max="3589" width="78.28515625" customWidth="1"/>
    <col min="3590" max="3590" width="9.28515625" customWidth="1"/>
    <col min="3591" max="3591" width="18" customWidth="1"/>
    <col min="3845" max="3845" width="78.28515625" customWidth="1"/>
    <col min="3846" max="3846" width="9.28515625" customWidth="1"/>
    <col min="3847" max="3847" width="18" customWidth="1"/>
    <col min="4101" max="4101" width="78.28515625" customWidth="1"/>
    <col min="4102" max="4102" width="9.28515625" customWidth="1"/>
    <col min="4103" max="4103" width="18" customWidth="1"/>
    <col min="4357" max="4357" width="78.28515625" customWidth="1"/>
    <col min="4358" max="4358" width="9.28515625" customWidth="1"/>
    <col min="4359" max="4359" width="18" customWidth="1"/>
    <col min="4613" max="4613" width="78.28515625" customWidth="1"/>
    <col min="4614" max="4614" width="9.28515625" customWidth="1"/>
    <col min="4615" max="4615" width="18" customWidth="1"/>
    <col min="4869" max="4869" width="78.28515625" customWidth="1"/>
    <col min="4870" max="4870" width="9.28515625" customWidth="1"/>
    <col min="4871" max="4871" width="18" customWidth="1"/>
    <col min="5125" max="5125" width="78.28515625" customWidth="1"/>
    <col min="5126" max="5126" width="9.28515625" customWidth="1"/>
    <col min="5127" max="5127" width="18" customWidth="1"/>
    <col min="5381" max="5381" width="78.28515625" customWidth="1"/>
    <col min="5382" max="5382" width="9.28515625" customWidth="1"/>
    <col min="5383" max="5383" width="18" customWidth="1"/>
    <col min="5637" max="5637" width="78.28515625" customWidth="1"/>
    <col min="5638" max="5638" width="9.28515625" customWidth="1"/>
    <col min="5639" max="5639" width="18" customWidth="1"/>
    <col min="5893" max="5893" width="78.28515625" customWidth="1"/>
    <col min="5894" max="5894" width="9.28515625" customWidth="1"/>
    <col min="5895" max="5895" width="18" customWidth="1"/>
    <col min="6149" max="6149" width="78.28515625" customWidth="1"/>
    <col min="6150" max="6150" width="9.28515625" customWidth="1"/>
    <col min="6151" max="6151" width="18" customWidth="1"/>
    <col min="6405" max="6405" width="78.28515625" customWidth="1"/>
    <col min="6406" max="6406" width="9.28515625" customWidth="1"/>
    <col min="6407" max="6407" width="18" customWidth="1"/>
    <col min="6661" max="6661" width="78.28515625" customWidth="1"/>
    <col min="6662" max="6662" width="9.28515625" customWidth="1"/>
    <col min="6663" max="6663" width="18" customWidth="1"/>
    <col min="6917" max="6917" width="78.28515625" customWidth="1"/>
    <col min="6918" max="6918" width="9.28515625" customWidth="1"/>
    <col min="6919" max="6919" width="18" customWidth="1"/>
    <col min="7173" max="7173" width="78.28515625" customWidth="1"/>
    <col min="7174" max="7174" width="9.28515625" customWidth="1"/>
    <col min="7175" max="7175" width="18" customWidth="1"/>
    <col min="7429" max="7429" width="78.28515625" customWidth="1"/>
    <col min="7430" max="7430" width="9.28515625" customWidth="1"/>
    <col min="7431" max="7431" width="18" customWidth="1"/>
    <col min="7685" max="7685" width="78.28515625" customWidth="1"/>
    <col min="7686" max="7686" width="9.28515625" customWidth="1"/>
    <col min="7687" max="7687" width="18" customWidth="1"/>
    <col min="7941" max="7941" width="78.28515625" customWidth="1"/>
    <col min="7942" max="7942" width="9.28515625" customWidth="1"/>
    <col min="7943" max="7943" width="18" customWidth="1"/>
    <col min="8197" max="8197" width="78.28515625" customWidth="1"/>
    <col min="8198" max="8198" width="9.28515625" customWidth="1"/>
    <col min="8199" max="8199" width="18" customWidth="1"/>
    <col min="8453" max="8453" width="78.28515625" customWidth="1"/>
    <col min="8454" max="8454" width="9.28515625" customWidth="1"/>
    <col min="8455" max="8455" width="18" customWidth="1"/>
    <col min="8709" max="8709" width="78.28515625" customWidth="1"/>
    <col min="8710" max="8710" width="9.28515625" customWidth="1"/>
    <col min="8711" max="8711" width="18" customWidth="1"/>
    <col min="8965" max="8965" width="78.28515625" customWidth="1"/>
    <col min="8966" max="8966" width="9.28515625" customWidth="1"/>
    <col min="8967" max="8967" width="18" customWidth="1"/>
    <col min="9221" max="9221" width="78.28515625" customWidth="1"/>
    <col min="9222" max="9222" width="9.28515625" customWidth="1"/>
    <col min="9223" max="9223" width="18" customWidth="1"/>
    <col min="9477" max="9477" width="78.28515625" customWidth="1"/>
    <col min="9478" max="9478" width="9.28515625" customWidth="1"/>
    <col min="9479" max="9479" width="18" customWidth="1"/>
    <col min="9733" max="9733" width="78.28515625" customWidth="1"/>
    <col min="9734" max="9734" width="9.28515625" customWidth="1"/>
    <col min="9735" max="9735" width="18" customWidth="1"/>
    <col min="9989" max="9989" width="78.28515625" customWidth="1"/>
    <col min="9990" max="9990" width="9.28515625" customWidth="1"/>
    <col min="9991" max="9991" width="18" customWidth="1"/>
    <col min="10245" max="10245" width="78.28515625" customWidth="1"/>
    <col min="10246" max="10246" width="9.28515625" customWidth="1"/>
    <col min="10247" max="10247" width="18" customWidth="1"/>
    <col min="10501" max="10501" width="78.28515625" customWidth="1"/>
    <col min="10502" max="10502" width="9.28515625" customWidth="1"/>
    <col min="10503" max="10503" width="18" customWidth="1"/>
    <col min="10757" max="10757" width="78.28515625" customWidth="1"/>
    <col min="10758" max="10758" width="9.28515625" customWidth="1"/>
    <col min="10759" max="10759" width="18" customWidth="1"/>
    <col min="11013" max="11013" width="78.28515625" customWidth="1"/>
    <col min="11014" max="11014" width="9.28515625" customWidth="1"/>
    <col min="11015" max="11015" width="18" customWidth="1"/>
    <col min="11269" max="11269" width="78.28515625" customWidth="1"/>
    <col min="11270" max="11270" width="9.28515625" customWidth="1"/>
    <col min="11271" max="11271" width="18" customWidth="1"/>
    <col min="11525" max="11525" width="78.28515625" customWidth="1"/>
    <col min="11526" max="11526" width="9.28515625" customWidth="1"/>
    <col min="11527" max="11527" width="18" customWidth="1"/>
    <col min="11781" max="11781" width="78.28515625" customWidth="1"/>
    <col min="11782" max="11782" width="9.28515625" customWidth="1"/>
    <col min="11783" max="11783" width="18" customWidth="1"/>
    <col min="12037" max="12037" width="78.28515625" customWidth="1"/>
    <col min="12038" max="12038" width="9.28515625" customWidth="1"/>
    <col min="12039" max="12039" width="18" customWidth="1"/>
    <col min="12293" max="12293" width="78.28515625" customWidth="1"/>
    <col min="12294" max="12294" width="9.28515625" customWidth="1"/>
    <col min="12295" max="12295" width="18" customWidth="1"/>
    <col min="12549" max="12549" width="78.28515625" customWidth="1"/>
    <col min="12550" max="12550" width="9.28515625" customWidth="1"/>
    <col min="12551" max="12551" width="18" customWidth="1"/>
    <col min="12805" max="12805" width="78.28515625" customWidth="1"/>
    <col min="12806" max="12806" width="9.28515625" customWidth="1"/>
    <col min="12807" max="12807" width="18" customWidth="1"/>
    <col min="13061" max="13061" width="78.28515625" customWidth="1"/>
    <col min="13062" max="13062" width="9.28515625" customWidth="1"/>
    <col min="13063" max="13063" width="18" customWidth="1"/>
    <col min="13317" max="13317" width="78.28515625" customWidth="1"/>
    <col min="13318" max="13318" width="9.28515625" customWidth="1"/>
    <col min="13319" max="13319" width="18" customWidth="1"/>
    <col min="13573" max="13573" width="78.28515625" customWidth="1"/>
    <col min="13574" max="13574" width="9.28515625" customWidth="1"/>
    <col min="13575" max="13575" width="18" customWidth="1"/>
    <col min="13829" max="13829" width="78.28515625" customWidth="1"/>
    <col min="13830" max="13830" width="9.28515625" customWidth="1"/>
    <col min="13831" max="13831" width="18" customWidth="1"/>
    <col min="14085" max="14085" width="78.28515625" customWidth="1"/>
    <col min="14086" max="14086" width="9.28515625" customWidth="1"/>
    <col min="14087" max="14087" width="18" customWidth="1"/>
    <col min="14341" max="14341" width="78.28515625" customWidth="1"/>
    <col min="14342" max="14342" width="9.28515625" customWidth="1"/>
    <col min="14343" max="14343" width="18" customWidth="1"/>
    <col min="14597" max="14597" width="78.28515625" customWidth="1"/>
    <col min="14598" max="14598" width="9.28515625" customWidth="1"/>
    <col min="14599" max="14599" width="18" customWidth="1"/>
    <col min="14853" max="14853" width="78.28515625" customWidth="1"/>
    <col min="14854" max="14854" width="9.28515625" customWidth="1"/>
    <col min="14855" max="14855" width="18" customWidth="1"/>
    <col min="15109" max="15109" width="78.28515625" customWidth="1"/>
    <col min="15110" max="15110" width="9.28515625" customWidth="1"/>
    <col min="15111" max="15111" width="18" customWidth="1"/>
    <col min="15365" max="15365" width="78.28515625" customWidth="1"/>
    <col min="15366" max="15366" width="9.28515625" customWidth="1"/>
    <col min="15367" max="15367" width="18" customWidth="1"/>
    <col min="15621" max="15621" width="78.28515625" customWidth="1"/>
    <col min="15622" max="15622" width="9.28515625" customWidth="1"/>
    <col min="15623" max="15623" width="18" customWidth="1"/>
    <col min="15877" max="15877" width="78.28515625" customWidth="1"/>
    <col min="15878" max="15878" width="9.28515625" customWidth="1"/>
    <col min="15879" max="15879" width="18" customWidth="1"/>
    <col min="16133" max="16133" width="78.28515625" customWidth="1"/>
    <col min="16134" max="16134" width="9.28515625" customWidth="1"/>
    <col min="16135" max="16135" width="18" customWidth="1"/>
  </cols>
  <sheetData>
    <row r="1" spans="1:8">
      <c r="A1" s="196"/>
      <c r="B1" s="206" t="s">
        <v>6</v>
      </c>
      <c r="C1" s="197" t="s">
        <v>1</v>
      </c>
      <c r="D1" s="197" t="s">
        <v>112</v>
      </c>
      <c r="E1" s="197" t="s">
        <v>79</v>
      </c>
      <c r="F1" s="197" t="s">
        <v>77</v>
      </c>
      <c r="G1" s="197" t="s">
        <v>78</v>
      </c>
      <c r="H1" s="197"/>
    </row>
    <row r="3" spans="1:8">
      <c r="A3" s="3" t="s">
        <v>31</v>
      </c>
      <c r="B3" s="207"/>
      <c r="C3" s="10" t="s">
        <v>24</v>
      </c>
      <c r="D3" s="198" t="s">
        <v>91</v>
      </c>
      <c r="E3" s="29" t="s">
        <v>58</v>
      </c>
      <c r="F3" s="200"/>
      <c r="G3" s="34" t="s">
        <v>84</v>
      </c>
    </row>
    <row r="4" spans="1:8">
      <c r="A4" s="3" t="s">
        <v>31</v>
      </c>
      <c r="B4" s="207"/>
      <c r="C4" s="10" t="s">
        <v>51</v>
      </c>
      <c r="D4" s="198" t="s">
        <v>91</v>
      </c>
      <c r="E4" s="29" t="s">
        <v>58</v>
      </c>
      <c r="F4" s="200"/>
      <c r="G4" s="34" t="s">
        <v>84</v>
      </c>
    </row>
    <row r="5" spans="1:8" ht="13.15" customHeight="1">
      <c r="A5" s="3" t="s">
        <v>31</v>
      </c>
      <c r="B5" s="207"/>
      <c r="C5" s="10" t="s">
        <v>26</v>
      </c>
      <c r="D5" s="198" t="s">
        <v>91</v>
      </c>
      <c r="E5" s="29" t="s">
        <v>58</v>
      </c>
      <c r="F5" s="201"/>
    </row>
    <row r="6" spans="1:8" ht="13.15" customHeight="1">
      <c r="A6" s="3" t="s">
        <v>27</v>
      </c>
      <c r="B6" s="207"/>
      <c r="C6" s="10" t="s">
        <v>25</v>
      </c>
      <c r="D6" s="198" t="s">
        <v>91</v>
      </c>
      <c r="E6" s="29" t="s">
        <v>58</v>
      </c>
    </row>
    <row r="7" spans="1:8" ht="13.15" customHeight="1">
      <c r="A7" s="3"/>
      <c r="B7" s="207"/>
      <c r="C7" s="10"/>
      <c r="D7" s="198"/>
      <c r="E7" s="29"/>
    </row>
    <row r="8" spans="1:8">
      <c r="B8" s="5"/>
      <c r="C8" s="10"/>
      <c r="D8" s="212"/>
      <c r="E8" s="9"/>
    </row>
    <row r="9" spans="1:8">
      <c r="A9" s="3" t="s">
        <v>27</v>
      </c>
      <c r="B9" s="207"/>
      <c r="C9" s="10" t="s">
        <v>40</v>
      </c>
      <c r="D9" s="198" t="s">
        <v>111</v>
      </c>
      <c r="E9" s="9"/>
      <c r="F9" s="202"/>
      <c r="G9" s="11"/>
    </row>
    <row r="10" spans="1:8">
      <c r="A10" s="3"/>
      <c r="B10" s="207"/>
      <c r="C10" s="10"/>
      <c r="D10" s="198"/>
      <c r="E10" s="9"/>
      <c r="F10" s="202"/>
      <c r="G10" s="11"/>
    </row>
    <row r="11" spans="1:8">
      <c r="A11" s="3" t="s">
        <v>31</v>
      </c>
      <c r="B11" s="207"/>
      <c r="C11" s="10" t="s">
        <v>22</v>
      </c>
      <c r="D11" s="198" t="s">
        <v>113</v>
      </c>
      <c r="E11" s="9" t="s">
        <v>64</v>
      </c>
      <c r="F11" s="202"/>
      <c r="G11" s="11" t="s">
        <v>32</v>
      </c>
    </row>
    <row r="12" spans="1:8">
      <c r="A12" s="3" t="s">
        <v>31</v>
      </c>
      <c r="B12" s="207"/>
      <c r="C12" s="6" t="s">
        <v>140</v>
      </c>
      <c r="D12" s="198" t="s">
        <v>113</v>
      </c>
      <c r="E12" s="49" t="s">
        <v>64</v>
      </c>
      <c r="F12" s="203"/>
      <c r="G12" s="13" t="s">
        <v>83</v>
      </c>
    </row>
    <row r="13" spans="1:8">
      <c r="A13" s="3"/>
      <c r="B13" s="207"/>
      <c r="C13" s="6"/>
      <c r="D13" s="198"/>
      <c r="E13" s="49"/>
      <c r="F13" s="203"/>
      <c r="G13" s="13"/>
    </row>
    <row r="14" spans="1:8">
      <c r="A14" s="3"/>
      <c r="B14" s="207"/>
      <c r="C14" s="6"/>
      <c r="D14" s="198"/>
      <c r="E14" s="49"/>
      <c r="F14" s="203"/>
      <c r="G14" s="13"/>
    </row>
    <row r="15" spans="1:8">
      <c r="A15" s="3" t="s">
        <v>27</v>
      </c>
      <c r="B15" s="5"/>
      <c r="C15" s="10" t="s">
        <v>117</v>
      </c>
      <c r="D15" s="198" t="s">
        <v>110</v>
      </c>
      <c r="E15" s="27" t="s">
        <v>59</v>
      </c>
      <c r="F15" s="204"/>
      <c r="G15" s="39" t="s">
        <v>59</v>
      </c>
    </row>
    <row r="16" spans="1:8">
      <c r="A16" s="3" t="s">
        <v>27</v>
      </c>
      <c r="B16" s="208"/>
      <c r="C16" s="16" t="s">
        <v>52</v>
      </c>
      <c r="D16" s="198" t="s">
        <v>110</v>
      </c>
      <c r="E16" s="27" t="s">
        <v>59</v>
      </c>
      <c r="F16" s="204"/>
      <c r="G16" s="39" t="s">
        <v>59</v>
      </c>
    </row>
    <row r="17" spans="1:7">
      <c r="A17" s="3" t="s">
        <v>27</v>
      </c>
      <c r="B17" s="208"/>
      <c r="C17" s="16" t="s">
        <v>7</v>
      </c>
      <c r="D17" s="198" t="s">
        <v>110</v>
      </c>
      <c r="E17" s="27" t="s">
        <v>59</v>
      </c>
      <c r="F17" s="204"/>
      <c r="G17" s="39" t="s">
        <v>59</v>
      </c>
    </row>
    <row r="18" spans="1:7">
      <c r="A18" s="3" t="s">
        <v>27</v>
      </c>
      <c r="B18" s="208"/>
      <c r="C18" s="16" t="s">
        <v>38</v>
      </c>
      <c r="D18" s="198" t="s">
        <v>110</v>
      </c>
      <c r="E18" s="27" t="s">
        <v>59</v>
      </c>
      <c r="F18" s="204"/>
      <c r="G18" s="39" t="s">
        <v>59</v>
      </c>
    </row>
    <row r="19" spans="1:7">
      <c r="A19" s="3" t="s">
        <v>27</v>
      </c>
      <c r="B19" s="208"/>
      <c r="C19" s="16" t="s">
        <v>39</v>
      </c>
      <c r="D19" s="198" t="s">
        <v>110</v>
      </c>
      <c r="E19" s="27" t="s">
        <v>59</v>
      </c>
      <c r="F19" s="204"/>
      <c r="G19" s="39" t="s">
        <v>59</v>
      </c>
    </row>
    <row r="20" spans="1:7">
      <c r="A20" s="3" t="s">
        <v>27</v>
      </c>
      <c r="B20" s="208"/>
      <c r="C20" s="16" t="s">
        <v>8</v>
      </c>
      <c r="D20" s="198" t="s">
        <v>110</v>
      </c>
      <c r="E20" s="27" t="s">
        <v>59</v>
      </c>
      <c r="F20" s="204"/>
      <c r="G20" s="39" t="s">
        <v>59</v>
      </c>
    </row>
    <row r="21" spans="1:7">
      <c r="A21" s="3" t="s">
        <v>27</v>
      </c>
      <c r="B21" s="208"/>
      <c r="C21" s="18" t="s">
        <v>142</v>
      </c>
      <c r="D21" s="198" t="s">
        <v>110</v>
      </c>
      <c r="E21" s="27" t="s">
        <v>59</v>
      </c>
      <c r="F21" s="204"/>
      <c r="G21" s="39" t="s">
        <v>59</v>
      </c>
    </row>
    <row r="22" spans="1:7">
      <c r="A22" s="3" t="s">
        <v>27</v>
      </c>
      <c r="B22" s="208"/>
      <c r="C22" s="18" t="s">
        <v>141</v>
      </c>
      <c r="D22" s="198" t="s">
        <v>110</v>
      </c>
      <c r="E22" s="27" t="s">
        <v>59</v>
      </c>
      <c r="F22" s="204"/>
      <c r="G22" s="32" t="s">
        <v>59</v>
      </c>
    </row>
    <row r="23" spans="1:7">
      <c r="A23" s="3" t="s">
        <v>27</v>
      </c>
      <c r="B23" s="208"/>
      <c r="C23" s="16" t="s">
        <v>9</v>
      </c>
      <c r="D23" s="198" t="s">
        <v>110</v>
      </c>
      <c r="E23" s="27" t="s">
        <v>59</v>
      </c>
      <c r="F23" s="204"/>
      <c r="G23" s="39" t="s">
        <v>59</v>
      </c>
    </row>
    <row r="24" spans="1:7">
      <c r="A24" s="3" t="s">
        <v>27</v>
      </c>
      <c r="B24" s="208"/>
      <c r="C24" s="18" t="s">
        <v>41</v>
      </c>
      <c r="D24" s="198" t="s">
        <v>110</v>
      </c>
      <c r="E24" s="27" t="s">
        <v>59</v>
      </c>
      <c r="F24" s="204"/>
      <c r="G24" s="39" t="s">
        <v>59</v>
      </c>
    </row>
    <row r="25" spans="1:7">
      <c r="A25" s="3" t="s">
        <v>27</v>
      </c>
      <c r="B25" s="208"/>
      <c r="C25" s="16" t="s">
        <v>42</v>
      </c>
      <c r="D25" s="198" t="s">
        <v>110</v>
      </c>
      <c r="E25" s="27" t="s">
        <v>59</v>
      </c>
      <c r="F25" s="204"/>
      <c r="G25" s="39" t="s">
        <v>59</v>
      </c>
    </row>
    <row r="26" spans="1:7">
      <c r="A26" s="3" t="s">
        <v>27</v>
      </c>
      <c r="B26" s="209"/>
      <c r="C26" s="19" t="s">
        <v>47</v>
      </c>
      <c r="D26" s="198" t="s">
        <v>110</v>
      </c>
      <c r="E26" s="27" t="s">
        <v>59</v>
      </c>
      <c r="F26" s="204"/>
      <c r="G26" s="39" t="s">
        <v>59</v>
      </c>
    </row>
    <row r="27" spans="1:7">
      <c r="A27" s="3" t="s">
        <v>27</v>
      </c>
      <c r="B27" s="209"/>
      <c r="C27" s="19" t="s">
        <v>49</v>
      </c>
      <c r="D27" s="198" t="s">
        <v>110</v>
      </c>
      <c r="E27" s="27" t="s">
        <v>59</v>
      </c>
      <c r="F27" s="204"/>
      <c r="G27" s="39" t="s">
        <v>59</v>
      </c>
    </row>
    <row r="28" spans="1:7">
      <c r="A28" s="3" t="s">
        <v>27</v>
      </c>
      <c r="B28" s="208"/>
      <c r="C28" s="16" t="s">
        <v>53</v>
      </c>
      <c r="D28" s="198" t="s">
        <v>110</v>
      </c>
      <c r="E28" s="27" t="s">
        <v>59</v>
      </c>
      <c r="F28" s="204"/>
      <c r="G28" s="39" t="s">
        <v>59</v>
      </c>
    </row>
    <row r="29" spans="1:7">
      <c r="A29" s="3" t="s">
        <v>27</v>
      </c>
      <c r="B29" s="208"/>
      <c r="C29" s="18" t="s">
        <v>88</v>
      </c>
      <c r="D29" s="198" t="s">
        <v>110</v>
      </c>
      <c r="E29" s="27" t="s">
        <v>59</v>
      </c>
      <c r="F29" s="204"/>
      <c r="G29" s="39" t="s">
        <v>59</v>
      </c>
    </row>
    <row r="30" spans="1:7">
      <c r="A30" s="3" t="s">
        <v>27</v>
      </c>
      <c r="B30" s="209"/>
      <c r="C30" s="19" t="s">
        <v>143</v>
      </c>
      <c r="D30" s="198" t="s">
        <v>110</v>
      </c>
      <c r="E30" s="27" t="s">
        <v>59</v>
      </c>
      <c r="F30" s="204"/>
      <c r="G30" s="39" t="s">
        <v>59</v>
      </c>
    </row>
    <row r="31" spans="1:7">
      <c r="C31" s="19"/>
      <c r="D31" s="19"/>
      <c r="E31" s="27"/>
    </row>
    <row r="32" spans="1:7">
      <c r="A32" s="3" t="s">
        <v>27</v>
      </c>
      <c r="B32" s="209"/>
      <c r="C32" s="19" t="s">
        <v>45</v>
      </c>
      <c r="D32" s="198" t="s">
        <v>110</v>
      </c>
      <c r="E32" s="29" t="s">
        <v>76</v>
      </c>
      <c r="F32" s="204"/>
      <c r="G32" s="32" t="s">
        <v>86</v>
      </c>
    </row>
    <row r="33" spans="1:8">
      <c r="A33" s="3" t="s">
        <v>27</v>
      </c>
      <c r="B33" s="208"/>
      <c r="C33" s="16" t="s">
        <v>14</v>
      </c>
      <c r="D33" s="198" t="s">
        <v>110</v>
      </c>
      <c r="E33" s="27" t="s">
        <v>102</v>
      </c>
      <c r="F33" s="204"/>
      <c r="G33" s="214" t="s">
        <v>85</v>
      </c>
    </row>
    <row r="34" spans="1:8">
      <c r="A34" s="3" t="s">
        <v>27</v>
      </c>
      <c r="B34" s="208"/>
      <c r="C34" s="16" t="s">
        <v>16</v>
      </c>
      <c r="D34" s="198" t="s">
        <v>110</v>
      </c>
      <c r="E34" s="27" t="s">
        <v>62</v>
      </c>
      <c r="F34" s="215"/>
      <c r="G34" s="168" t="s">
        <v>80</v>
      </c>
    </row>
    <row r="35" spans="1:8">
      <c r="A35" s="3" t="s">
        <v>27</v>
      </c>
      <c r="B35" s="208"/>
      <c r="C35" s="10" t="s">
        <v>95</v>
      </c>
      <c r="D35" s="198" t="s">
        <v>110</v>
      </c>
      <c r="E35" s="27" t="s">
        <v>62</v>
      </c>
      <c r="F35" s="215"/>
      <c r="G35" s="168" t="s">
        <v>80</v>
      </c>
    </row>
    <row r="36" spans="1:8">
      <c r="C36" s="19"/>
      <c r="D36" s="19"/>
      <c r="E36" s="27"/>
    </row>
    <row r="37" spans="1:8">
      <c r="C37" s="19"/>
      <c r="D37" s="19"/>
    </row>
    <row r="38" spans="1:8">
      <c r="A38" s="3" t="s">
        <v>27</v>
      </c>
      <c r="B38" s="208"/>
      <c r="C38" s="16" t="s">
        <v>10</v>
      </c>
      <c r="D38" s="198" t="s">
        <v>110</v>
      </c>
      <c r="E38" s="27" t="s">
        <v>103</v>
      </c>
      <c r="F38" s="205"/>
      <c r="G38" s="41" t="s">
        <v>81</v>
      </c>
    </row>
    <row r="39" spans="1:8">
      <c r="A39" s="3" t="s">
        <v>27</v>
      </c>
      <c r="B39" s="208"/>
      <c r="C39" s="16" t="s">
        <v>12</v>
      </c>
      <c r="D39" s="198" t="s">
        <v>110</v>
      </c>
      <c r="E39" s="27" t="s">
        <v>60</v>
      </c>
      <c r="F39" s="205"/>
      <c r="G39" s="41" t="s">
        <v>81</v>
      </c>
    </row>
    <row r="41" spans="1:8">
      <c r="A41" s="3"/>
      <c r="B41" s="209"/>
      <c r="C41" s="19"/>
      <c r="D41" s="19"/>
      <c r="E41" s="29"/>
      <c r="F41" s="98"/>
      <c r="G41" s="14"/>
    </row>
    <row r="42" spans="1:8">
      <c r="A42" s="3"/>
      <c r="B42" s="208"/>
      <c r="C42" s="18"/>
      <c r="D42" s="198"/>
      <c r="E42" s="199"/>
    </row>
    <row r="44" spans="1:8">
      <c r="A44" s="3" t="s">
        <v>27</v>
      </c>
      <c r="C44" s="4" t="s">
        <v>144</v>
      </c>
      <c r="D44" s="198" t="s">
        <v>111</v>
      </c>
      <c r="E44" s="55" t="s">
        <v>30</v>
      </c>
      <c r="G44" t="s">
        <v>28</v>
      </c>
    </row>
    <row r="45" spans="1:8">
      <c r="C45" s="18"/>
      <c r="D45" s="18"/>
    </row>
    <row r="46" spans="1:8">
      <c r="C46" s="18"/>
      <c r="D46" s="18"/>
    </row>
    <row r="47" spans="1:8">
      <c r="A47" s="3" t="s">
        <v>27</v>
      </c>
      <c r="B47" s="210"/>
      <c r="C47" s="73" t="s">
        <v>145</v>
      </c>
      <c r="D47" s="198" t="s">
        <v>111</v>
      </c>
      <c r="E47" s="27" t="s">
        <v>30</v>
      </c>
      <c r="G47" s="22" t="s">
        <v>65</v>
      </c>
      <c r="H47" s="26"/>
    </row>
    <row r="48" spans="1:8">
      <c r="A48" s="3" t="s">
        <v>27</v>
      </c>
      <c r="B48" s="207"/>
      <c r="C48" s="10" t="s">
        <v>146</v>
      </c>
      <c r="D48" s="198" t="s">
        <v>111</v>
      </c>
      <c r="E48" s="27" t="s">
        <v>30</v>
      </c>
      <c r="G48" s="22" t="s">
        <v>65</v>
      </c>
      <c r="H48" s="26"/>
    </row>
    <row r="49" spans="1:8">
      <c r="A49" s="3" t="s">
        <v>27</v>
      </c>
      <c r="B49" s="208"/>
      <c r="C49" s="16" t="s">
        <v>147</v>
      </c>
      <c r="D49" s="198" t="s">
        <v>111</v>
      </c>
      <c r="E49" s="27" t="s">
        <v>30</v>
      </c>
      <c r="F49" s="25"/>
      <c r="G49" s="22" t="s">
        <v>65</v>
      </c>
      <c r="H49" s="26"/>
    </row>
    <row r="50" spans="1:8">
      <c r="A50" s="3" t="s">
        <v>27</v>
      </c>
      <c r="B50" s="207"/>
      <c r="C50" s="7" t="s">
        <v>73</v>
      </c>
      <c r="D50" s="198" t="s">
        <v>111</v>
      </c>
      <c r="E50" s="27" t="s">
        <v>30</v>
      </c>
      <c r="F50" s="98"/>
      <c r="G50" t="s">
        <v>29</v>
      </c>
      <c r="H50" s="9"/>
    </row>
    <row r="51" spans="1:8">
      <c r="A51" s="3" t="s">
        <v>27</v>
      </c>
      <c r="B51" s="208"/>
      <c r="C51" s="16" t="s">
        <v>40</v>
      </c>
      <c r="D51" s="16"/>
      <c r="E51" s="16"/>
    </row>
    <row r="52" spans="1:8">
      <c r="A52" s="3"/>
      <c r="B52" s="208"/>
      <c r="C52" s="18"/>
      <c r="D52" s="18"/>
      <c r="E52" s="18"/>
    </row>
    <row r="53" spans="1:8">
      <c r="A53" s="3" t="s">
        <v>27</v>
      </c>
      <c r="B53" s="211"/>
      <c r="C53" s="24" t="s">
        <v>43</v>
      </c>
      <c r="D53" s="198" t="s">
        <v>111</v>
      </c>
      <c r="E53" s="27" t="s">
        <v>30</v>
      </c>
      <c r="F53" s="25"/>
      <c r="G53" s="22" t="s">
        <v>70</v>
      </c>
      <c r="H53" s="26" t="s">
        <v>71</v>
      </c>
    </row>
    <row r="54" spans="1:8">
      <c r="A54" s="3" t="s">
        <v>27</v>
      </c>
      <c r="B54" s="211"/>
      <c r="C54" s="24" t="s">
        <v>44</v>
      </c>
      <c r="D54" s="198" t="s">
        <v>111</v>
      </c>
      <c r="E54" s="27" t="s">
        <v>30</v>
      </c>
      <c r="F54" s="25"/>
      <c r="G54" s="22" t="s">
        <v>70</v>
      </c>
      <c r="H54" s="26" t="s">
        <v>72</v>
      </c>
    </row>
    <row r="55" spans="1:8">
      <c r="A55" s="3"/>
      <c r="C55" s="18"/>
      <c r="D55" s="18"/>
      <c r="E55" s="48"/>
    </row>
    <row r="56" spans="1:8">
      <c r="A56" s="3"/>
      <c r="B56" s="208"/>
      <c r="C56" s="21"/>
      <c r="D56" s="198"/>
      <c r="E56" s="27"/>
      <c r="F56" s="25"/>
      <c r="G56" s="22"/>
      <c r="H56" s="26"/>
    </row>
    <row r="57" spans="1:8" ht="14.45" customHeight="1">
      <c r="A57" s="3" t="s">
        <v>27</v>
      </c>
      <c r="B57" s="5"/>
      <c r="C57" s="10" t="s">
        <v>109</v>
      </c>
      <c r="D57" s="198" t="s">
        <v>111</v>
      </c>
      <c r="E57" s="9" t="s">
        <v>36</v>
      </c>
      <c r="F57" s="25"/>
      <c r="G57" s="22" t="s">
        <v>29</v>
      </c>
    </row>
    <row r="58" spans="1:8">
      <c r="A58" s="3" t="s">
        <v>27</v>
      </c>
      <c r="B58" s="208"/>
      <c r="C58" s="16" t="s">
        <v>20</v>
      </c>
      <c r="D58" s="198" t="s">
        <v>111</v>
      </c>
      <c r="E58" s="9" t="s">
        <v>36</v>
      </c>
      <c r="F58" s="25"/>
      <c r="G58" s="22" t="s">
        <v>66</v>
      </c>
      <c r="H58" s="26" t="s">
        <v>67</v>
      </c>
    </row>
    <row r="59" spans="1:8">
      <c r="A59" s="3" t="s">
        <v>27</v>
      </c>
      <c r="B59" s="208"/>
      <c r="C59" s="16" t="s">
        <v>18</v>
      </c>
      <c r="D59" s="198" t="s">
        <v>111</v>
      </c>
      <c r="E59" s="9" t="s">
        <v>36</v>
      </c>
      <c r="F59" s="25"/>
      <c r="G59" s="22" t="s">
        <v>68</v>
      </c>
      <c r="H59" s="26" t="s">
        <v>69</v>
      </c>
    </row>
    <row r="60" spans="1:8">
      <c r="A60" s="3" t="s">
        <v>27</v>
      </c>
      <c r="B60" s="208"/>
      <c r="C60" s="16" t="s">
        <v>19</v>
      </c>
      <c r="D60" s="198" t="s">
        <v>111</v>
      </c>
      <c r="E60" s="9" t="s">
        <v>36</v>
      </c>
      <c r="G60" s="14" t="s">
        <v>36</v>
      </c>
    </row>
    <row r="61" spans="1:8">
      <c r="A61" s="3" t="s">
        <v>27</v>
      </c>
      <c r="B61" s="208"/>
      <c r="C61" s="16" t="s">
        <v>37</v>
      </c>
      <c r="D61" s="198" t="s">
        <v>111</v>
      </c>
      <c r="E61" s="9" t="s">
        <v>36</v>
      </c>
      <c r="G61" s="14" t="s">
        <v>36</v>
      </c>
    </row>
    <row r="62" spans="1:8">
      <c r="A62" s="3" t="s">
        <v>27</v>
      </c>
      <c r="B62" s="208"/>
      <c r="C62" s="16" t="s">
        <v>21</v>
      </c>
      <c r="D62" s="198" t="s">
        <v>111</v>
      </c>
      <c r="E62" s="9" t="s">
        <v>36</v>
      </c>
      <c r="G62" s="14" t="s">
        <v>36</v>
      </c>
    </row>
    <row r="63" spans="1:8">
      <c r="A63" s="3"/>
      <c r="B63" s="208"/>
      <c r="C63" s="16"/>
      <c r="D63" s="198"/>
      <c r="E63" s="9"/>
      <c r="G63" s="14"/>
    </row>
    <row r="65" spans="1:8" ht="13.15" customHeight="1">
      <c r="E65" s="29"/>
    </row>
    <row r="66" spans="1:8">
      <c r="E66" s="29"/>
    </row>
    <row r="67" spans="1:8">
      <c r="A67" s="3" t="s">
        <v>27</v>
      </c>
      <c r="C67" s="6" t="s">
        <v>148</v>
      </c>
      <c r="D67" s="198" t="s">
        <v>111</v>
      </c>
      <c r="E67" s="9" t="s">
        <v>36</v>
      </c>
      <c r="G67" s="14" t="s">
        <v>36</v>
      </c>
    </row>
    <row r="68" spans="1:8">
      <c r="C68" s="10"/>
      <c r="D68" s="73"/>
    </row>
    <row r="69" spans="1:8">
      <c r="C69" s="10"/>
      <c r="D69" s="73"/>
    </row>
    <row r="70" spans="1:8">
      <c r="C70" s="10"/>
      <c r="D70" s="73"/>
    </row>
    <row r="71" spans="1:8">
      <c r="A71" s="14" t="s">
        <v>31</v>
      </c>
      <c r="B71" s="210"/>
      <c r="C71" s="73" t="s">
        <v>149</v>
      </c>
      <c r="D71" s="198" t="s">
        <v>113</v>
      </c>
      <c r="E71" s="29" t="s">
        <v>57</v>
      </c>
      <c r="F71" s="25"/>
      <c r="G71" s="22" t="s">
        <v>87</v>
      </c>
    </row>
    <row r="75" spans="1:8">
      <c r="A75" s="3" t="s">
        <v>27</v>
      </c>
      <c r="B75" s="207"/>
      <c r="C75" s="6" t="s">
        <v>33</v>
      </c>
      <c r="D75" s="198" t="s">
        <v>111</v>
      </c>
      <c r="E75" s="9" t="s">
        <v>34</v>
      </c>
      <c r="F75" s="203"/>
      <c r="G75" s="13" t="s">
        <v>82</v>
      </c>
      <c r="H75" s="9"/>
    </row>
    <row r="76" spans="1:8">
      <c r="A76" s="3" t="s">
        <v>27</v>
      </c>
      <c r="B76" s="207"/>
      <c r="C76" s="6" t="s">
        <v>35</v>
      </c>
      <c r="D76" s="198" t="s">
        <v>111</v>
      </c>
      <c r="E76" s="9" t="s">
        <v>34</v>
      </c>
      <c r="F76" s="203"/>
      <c r="G76" s="13" t="s">
        <v>82</v>
      </c>
      <c r="H76" s="9"/>
    </row>
    <row r="77" spans="1:8">
      <c r="A77" s="3" t="s">
        <v>27</v>
      </c>
      <c r="B77" s="208"/>
      <c r="C77" s="10" t="s">
        <v>90</v>
      </c>
      <c r="D77" s="198" t="s">
        <v>111</v>
      </c>
      <c r="E77" s="9" t="s">
        <v>34</v>
      </c>
      <c r="F77" s="203"/>
      <c r="G77" s="13" t="s">
        <v>82</v>
      </c>
    </row>
    <row r="78" spans="1:8">
      <c r="A78" s="3" t="s">
        <v>27</v>
      </c>
      <c r="B78" s="208"/>
      <c r="C78" s="19" t="s">
        <v>50</v>
      </c>
      <c r="D78" s="198" t="s">
        <v>111</v>
      </c>
      <c r="E78" s="9" t="s">
        <v>34</v>
      </c>
      <c r="F78" s="203"/>
      <c r="G78" s="13" t="s">
        <v>82</v>
      </c>
    </row>
    <row r="79" spans="1:8">
      <c r="A79" s="3" t="s">
        <v>27</v>
      </c>
      <c r="B79" s="208"/>
      <c r="C79" s="10" t="s">
        <v>96</v>
      </c>
      <c r="D79" s="198" t="s">
        <v>111</v>
      </c>
      <c r="E79" s="9" t="s">
        <v>34</v>
      </c>
      <c r="F79" s="203"/>
      <c r="G79" s="13" t="s">
        <v>82</v>
      </c>
    </row>
    <row r="80" spans="1:8">
      <c r="A80" s="3" t="s">
        <v>27</v>
      </c>
      <c r="B80" s="208"/>
      <c r="C80" s="10" t="s">
        <v>121</v>
      </c>
      <c r="D80" s="198" t="s">
        <v>111</v>
      </c>
      <c r="E80" s="9" t="s">
        <v>34</v>
      </c>
      <c r="F80" s="203"/>
      <c r="G80" s="13" t="s">
        <v>82</v>
      </c>
    </row>
    <row r="81" spans="1:8">
      <c r="C81" s="10"/>
    </row>
    <row r="82" spans="1:8">
      <c r="C82" s="10"/>
    </row>
    <row r="83" spans="1:8">
      <c r="C83" s="10"/>
    </row>
    <row r="84" spans="1:8">
      <c r="A84" s="3" t="s">
        <v>27</v>
      </c>
      <c r="B84" s="216"/>
      <c r="C84" s="30" t="s">
        <v>115</v>
      </c>
      <c r="D84" s="198" t="s">
        <v>91</v>
      </c>
      <c r="E84" s="145" t="s">
        <v>114</v>
      </c>
      <c r="G84" s="17" t="s">
        <v>114</v>
      </c>
    </row>
    <row r="85" spans="1:8">
      <c r="A85" s="3" t="s">
        <v>31</v>
      </c>
      <c r="B85" s="208"/>
      <c r="C85" s="30" t="s">
        <v>138</v>
      </c>
      <c r="D85" s="198" t="s">
        <v>91</v>
      </c>
      <c r="E85" s="29" t="s">
        <v>92</v>
      </c>
      <c r="G85" s="29" t="s">
        <v>92</v>
      </c>
      <c r="H85" s="14"/>
    </row>
    <row r="86" spans="1:8">
      <c r="B86" s="218"/>
      <c r="C86" s="50" t="s">
        <v>89</v>
      </c>
      <c r="D86" s="198" t="s">
        <v>91</v>
      </c>
      <c r="E86" s="9" t="s">
        <v>93</v>
      </c>
      <c r="F86" s="202"/>
      <c r="G86" s="11" t="s">
        <v>32</v>
      </c>
      <c r="H86" s="9"/>
    </row>
    <row r="87" spans="1:8" ht="15">
      <c r="A87" s="3" t="s">
        <v>27</v>
      </c>
      <c r="B87" s="219"/>
      <c r="C87" s="220" t="s">
        <v>139</v>
      </c>
      <c r="D87" s="198" t="s">
        <v>91</v>
      </c>
      <c r="E87" s="217" t="s">
        <v>55</v>
      </c>
      <c r="G87" s="17" t="s">
        <v>116</v>
      </c>
    </row>
  </sheetData>
  <conditionalFormatting sqref="E87">
    <cfRule type="duplicateValues" dxfId="0" priority="2" stopIfTrue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Menu</vt:lpstr>
      <vt:lpstr>Banco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REFERENCIAS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Alejandra Oppizzi</dc:creator>
  <cp:lastModifiedBy>Andrea Magali Corimayo</cp:lastModifiedBy>
  <cp:lastPrinted>2024-12-10T14:08:21Z</cp:lastPrinted>
  <dcterms:created xsi:type="dcterms:W3CDTF">2024-08-19T15:40:54Z</dcterms:created>
  <dcterms:modified xsi:type="dcterms:W3CDTF">2025-12-11T01:05:18Z</dcterms:modified>
</cp:coreProperties>
</file>